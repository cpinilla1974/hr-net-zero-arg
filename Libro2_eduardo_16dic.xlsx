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8_{AA6DC4F8-377F-4083-9D70-D0F66C708FEA}" xr6:coauthVersionLast="47" xr6:coauthVersionMax="47" xr10:uidLastSave="{00000000-0000-0000-0000-000000000000}"/>
  <bookViews>
    <workbookView xWindow="-120" yWindow="-120" windowWidth="20730" windowHeight="11160" xr2:uid="{167ACF65-C6DB-41F8-9385-57F73EDDCF66}"/>
  </bookViews>
  <sheets>
    <sheet name="tareas" sheetId="1" r:id="rId1"/>
  </sheets>
  <definedNames>
    <definedName name="_xlnm._FilterDatabase" localSheetId="0" hidden="1">tareas!$B$2:$G$240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6" i="1"/>
  <c r="B5" i="1"/>
  <c r="B4" i="1"/>
  <c r="G1" i="1"/>
</calcChain>
</file>

<file path=xl/sharedStrings.xml><?xml version="1.0" encoding="utf-8"?>
<sst xmlns="http://schemas.openxmlformats.org/spreadsheetml/2006/main" count="801" uniqueCount="309">
  <si>
    <t>N°</t>
  </si>
  <si>
    <t>FECHA</t>
  </si>
  <si>
    <t>PROYECTO</t>
  </si>
  <si>
    <t>COMPROMISO</t>
  </si>
  <si>
    <t>RESP.</t>
  </si>
  <si>
    <t>STATUS</t>
  </si>
  <si>
    <t>3C Moctezuma V2</t>
  </si>
  <si>
    <t>Preparar MOU</t>
  </si>
  <si>
    <t>EGP</t>
  </si>
  <si>
    <t>F</t>
  </si>
  <si>
    <t>3C Pacasmayo</t>
  </si>
  <si>
    <t xml:space="preserve">Avance Proyecto: Data concreto procesando. Solicitar a CPSAA los avances visualizaciones PowerBi. 17-01-25. Posibilidad Miercoles </t>
  </si>
  <si>
    <t>CPM/EGP</t>
  </si>
  <si>
    <t>Definir estrategia Gabriel Mansilla sobre documentacion FICEM</t>
  </si>
  <si>
    <t>3C Progreso</t>
  </si>
  <si>
    <t>Contestar correo a Juan Ramón Aguilar</t>
  </si>
  <si>
    <t>CPM</t>
  </si>
  <si>
    <t xml:space="preserve">Progreso: Responder correo a Ludwin declinando el avance del demo 2C </t>
  </si>
  <si>
    <t>RPS</t>
  </si>
  <si>
    <t>3C Yura</t>
  </si>
  <si>
    <t>Agendar CPM-EGP</t>
  </si>
  <si>
    <t>Yura: Firma por parte de Yura Pedir OC y Redactar correo con aclaración objeto.</t>
  </si>
  <si>
    <t>PFR</t>
  </si>
  <si>
    <t>Estudio BID</t>
  </si>
  <si>
    <t>Espera respuesta Michelle para estartegia de cierre</t>
  </si>
  <si>
    <t>Revisión Estudio BID consolidado - capitulo cemento CPM</t>
  </si>
  <si>
    <t>Informe Cierre LACCW23</t>
  </si>
  <si>
    <t>Cerrar proyecto Semana del Clima</t>
  </si>
  <si>
    <t>RPS/EGP</t>
  </si>
  <si>
    <t>Estudio ACV Argentina</t>
  </si>
  <si>
    <t>Estudio ACV: Definir conclusiones para capítulo de cierre</t>
  </si>
  <si>
    <t>FICEM SSO</t>
  </si>
  <si>
    <t>Protocolo SSO validado. Revisión legal</t>
  </si>
  <si>
    <t>EGP/PFR</t>
  </si>
  <si>
    <t>GCCA</t>
  </si>
  <si>
    <t>Responder encuesta marcos regulatorios</t>
  </si>
  <si>
    <t>GNR V4</t>
  </si>
  <si>
    <t>Solicitar Grabación Taller Protocolo V4</t>
  </si>
  <si>
    <t>Verificar versión del protocolo que será capacitado</t>
  </si>
  <si>
    <t>HR NZ Argentina</t>
  </si>
  <si>
    <t>Carga data 2030 y 2050 con AFCP</t>
  </si>
  <si>
    <t>HR NZ FICEM</t>
  </si>
  <si>
    <t>Análisis de portadas en PPT. Comparativas con otros sectores</t>
  </si>
  <si>
    <t>Análisis comparativo índicadores en Excel. Hojas cementeras, otros.</t>
  </si>
  <si>
    <t>Revisar V0. Agendar actividad</t>
  </si>
  <si>
    <t>Citar a grupos de trabajo. Definir temario a tratar</t>
  </si>
  <si>
    <t>Propuesta definición 2030. Comparativo metas al 2030</t>
  </si>
  <si>
    <t>Agendar reunión viernes seguimiento avances/revisar iconografía. Definición ejes</t>
  </si>
  <si>
    <t>Desarrollar V1. Capítulo de seguimiento (3C) y entrenamiento (Academia)</t>
  </si>
  <si>
    <t>Informe IPC 2024</t>
  </si>
  <si>
    <t>Modificaciones y propuesta de índice en V0</t>
  </si>
  <si>
    <t>Desarrollar infografía Informe 2024. Presentar 01-08 Junta Directiva FICEM</t>
  </si>
  <si>
    <t>Finalizar Informe</t>
  </si>
  <si>
    <t>Informe LedsLAC</t>
  </si>
  <si>
    <t>Informe V0 PFR</t>
  </si>
  <si>
    <t>Informe V1 RPS</t>
  </si>
  <si>
    <t>Informe V2 ASOCEM</t>
  </si>
  <si>
    <t>Informe V3 LedsLAC</t>
  </si>
  <si>
    <t>Informe V4 LedsLAC</t>
  </si>
  <si>
    <t>MOU CANACEM</t>
  </si>
  <si>
    <t>Agendar reunión presencial</t>
  </si>
  <si>
    <t>MOU Generico</t>
  </si>
  <si>
    <t>Elaborar Template FICEM (Acuerdo genérico). Enviar a Loly</t>
  </si>
  <si>
    <t>Protocolo GNR</t>
  </si>
  <si>
    <t>Protocolo V.4 Programar reunion con GCCA. Resumen Observaciones a RPS.</t>
  </si>
  <si>
    <t>Proyectos FICEM</t>
  </si>
  <si>
    <t>Agendar reunión revisión Flujograma proyectos</t>
  </si>
  <si>
    <t>Agendar Reunion para jueves 18-07 a las 13:30</t>
  </si>
  <si>
    <t>PwC</t>
  </si>
  <si>
    <t xml:space="preserve">Consultar a María Ignacia Garcia nuevos montos proyectos verificación </t>
  </si>
  <si>
    <t>Calcular y transmitir nuevos valores a Argentina y Chile</t>
  </si>
  <si>
    <t>Reunion Coordinacion RAPS</t>
  </si>
  <si>
    <t>Agendar reunión semanal</t>
  </si>
  <si>
    <t>Revista FICEM</t>
  </si>
  <si>
    <t>Artículo Calculadora</t>
  </si>
  <si>
    <t>Artículo Hoja de Ruta</t>
  </si>
  <si>
    <t>Artículo Marco Regulatorio</t>
  </si>
  <si>
    <t>Taller Marcos Regulatorios</t>
  </si>
  <si>
    <t>Agendar Perú antes del 30-08-24</t>
  </si>
  <si>
    <t>INECYC - Taller Marcos Regulatorios</t>
  </si>
  <si>
    <t>Solicitar V°B° informe taller</t>
  </si>
  <si>
    <t>ICH - Taller Marcos Regulatorios</t>
  </si>
  <si>
    <t>A. Holmberg dio V°B° informe taller. Preparar respuesta de cierre a ICH c/c FICEM. Standard de cierre Ecuador INECYC</t>
  </si>
  <si>
    <t>2C Votorantim</t>
  </si>
  <si>
    <t>Agendar Reunión con Fabio Cirilo</t>
  </si>
  <si>
    <t>3C Loma Negra</t>
  </si>
  <si>
    <t>Determinar Fecha Reunión con Gastón Fornasier. Propuesta Jueves 18-07</t>
  </si>
  <si>
    <t>CPM/RPS/EGP</t>
  </si>
  <si>
    <t>3C Melon</t>
  </si>
  <si>
    <t>Avance versus MOU</t>
  </si>
  <si>
    <t>3C Melon: Revision Gantt por parte Melon</t>
  </si>
  <si>
    <t>Solicitar reunión con Ivan Marinado</t>
  </si>
  <si>
    <t>3C Moctezuma</t>
  </si>
  <si>
    <t>Revisar Pagos</t>
  </si>
  <si>
    <t>Enviar correo de cierre a RPS. Definir fecha de cierre</t>
  </si>
  <si>
    <t>Definir entregables MOU V2.0</t>
  </si>
  <si>
    <t>Verificar actividades de cierre. Facturación y talleres presenciales.</t>
  </si>
  <si>
    <t>OLADE</t>
  </si>
  <si>
    <t>Olade: agendar reunión con OLADE para MOU (otra semana)</t>
  </si>
  <si>
    <t>Informe Cierre Taller Perú</t>
  </si>
  <si>
    <t>GNR</t>
  </si>
  <si>
    <t>Hacer tabla indicadores de HR globales y regionales</t>
  </si>
  <si>
    <t>HR</t>
  </si>
  <si>
    <t>Configurar Planilla GNR 2012 a 2022</t>
  </si>
  <si>
    <t>CEMOSA coordinará reunión kickoff técnico (enero) del proyecto. Modificaciones MOU</t>
  </si>
  <si>
    <t>Revisar Piezas difusión e incluir a otras Compañías</t>
  </si>
  <si>
    <t>PFR/EGP</t>
  </si>
  <si>
    <t>Formato gráfico e informe a formato FICEM (fondo oscuro, tendencias, desagrupados, etc). En excel a PPT para Yura</t>
  </si>
  <si>
    <t>HR Peru</t>
  </si>
  <si>
    <t>Valores PwC. Inicio proyecto HR</t>
  </si>
  <si>
    <t>MRV Perú</t>
  </si>
  <si>
    <t>Stand by hasta que ASOCEM resuelva la situación con PRODUCE</t>
  </si>
  <si>
    <t>RPS/PFR</t>
  </si>
  <si>
    <t>Publicación BID</t>
  </si>
  <si>
    <t>Revisión preguntas Jed Beily sobre Publicación de descarbonización - Capítulo cemento</t>
  </si>
  <si>
    <t>Cambiar escala eje produccion</t>
  </si>
  <si>
    <t>GNR Peru</t>
  </si>
  <si>
    <t>Consolidado Peru 2021 y 2023 proxima semana.</t>
  </si>
  <si>
    <t>HR Argentina ONUDI</t>
  </si>
  <si>
    <t>ONUDI: informe inicial --&gt; 27 febrero</t>
  </si>
  <si>
    <t>RPS/PFR/EGP</t>
  </si>
  <si>
    <t>BID</t>
  </si>
  <si>
    <t>BID: Seguimiento de pagos pendientes a RPS y cierre informe CPM</t>
  </si>
  <si>
    <t>RPS/CPM/EGP</t>
  </si>
  <si>
    <t>BID: Incluir box de escoria e hidrógeno en el documento cemento con Carlos. Enviar a Christiaan. Enviado 11-03-25</t>
  </si>
  <si>
    <t>EGP/CPM</t>
  </si>
  <si>
    <t>GNR LATAM</t>
  </si>
  <si>
    <t>Obtener valores de referencia de posición legal para eliminar seudonomización y correr año vencido (abogado de la plaza)</t>
  </si>
  <si>
    <r>
      <t xml:space="preserve">Chequear los años de reportabilidad en </t>
    </r>
    <r>
      <rPr>
        <u/>
        <sz val="11"/>
        <rFont val="Avenir Next LT Pro"/>
        <family val="2"/>
      </rPr>
      <t>OLADE,</t>
    </r>
    <r>
      <rPr>
        <sz val="11"/>
        <rFont val="Avenir Next LT Pro"/>
        <family val="2"/>
      </rPr>
      <t xml:space="preserve"> EIA, CEPAL, INGEI. Para justificar reportabilidad año vencido. Enviar correo a OLADE por posible apoyo. OK</t>
    </r>
  </si>
  <si>
    <t>Verificar metas 2030, 2050 HRs locales, regionales principales indicadores</t>
  </si>
  <si>
    <t>JUNTA DIRECTIVA</t>
  </si>
  <si>
    <t>indicadores para la HR 2050; mapa emisiones</t>
  </si>
  <si>
    <t>Firma MOUs</t>
  </si>
  <si>
    <t>Obtener inscripción del poder a MJG en Panamá</t>
  </si>
  <si>
    <t>MOUs</t>
  </si>
  <si>
    <t>Comunicar a Compañías el proceso de regularización de firmas MOU</t>
  </si>
  <si>
    <t>GNR Chile</t>
  </si>
  <si>
    <t>Revisar Ultima versión Consolidado</t>
  </si>
  <si>
    <t>3C Yura/Pacasmayo</t>
  </si>
  <si>
    <t>Emitir carta a Compañias explicando situación del nuevo poder de MJG</t>
  </si>
  <si>
    <t>Agendar revisión data SSO</t>
  </si>
  <si>
    <t>CSRD</t>
  </si>
  <si>
    <t>Investigar modelo descarbonizacion (en vez de SBTi)</t>
  </si>
  <si>
    <t>FICEM</t>
  </si>
  <si>
    <t>Contratos Confidencialidad Equipo Interno</t>
  </si>
  <si>
    <t>RPS hablará con Tomás Guilliot (GCCA) sobre la certificación de empresas y las metodologías aplicables. EGP hará cronograma actividades.</t>
  </si>
  <si>
    <t>Reunion para presentar parámetros Ecoinvent requeridos por FICEM (lunes 18-08 AM)</t>
  </si>
  <si>
    <t>GNR Peru/Chile</t>
  </si>
  <si>
    <t>PwC: Price ajustará MOU con poder MJG</t>
  </si>
  <si>
    <t>SOBOCE</t>
  </si>
  <si>
    <t>Soboce: borrador MOU (25k USD). Espera propuesta</t>
  </si>
  <si>
    <t>Curso Hoja de Ruta</t>
  </si>
  <si>
    <t>Definir Programa Curso Hoja de Ruta. Programar reunión miercoles 22. 11:00 a 13:00</t>
  </si>
  <si>
    <t>Taller MR</t>
  </si>
  <si>
    <t>Definir fecha taller marco regulatorio México. 26 febrero 2025</t>
  </si>
  <si>
    <t xml:space="preserve">Definir fecha taller marco regulatorio República Dominicana (13 y 14 Mayo) </t>
  </si>
  <si>
    <t>HR R. Dominicana</t>
  </si>
  <si>
    <t>Resumen HR Julissa. Corregir observaciones y enviar</t>
  </si>
  <si>
    <t>Informe Perú MRV</t>
  </si>
  <si>
    <t>Cierre México</t>
  </si>
  <si>
    <t>PFR/RPS</t>
  </si>
  <si>
    <t>Informe Chile PwC. Con Loly: compromiso pago deuda total (36) en 12 meses</t>
  </si>
  <si>
    <t>3C Yura. Coordinar Reunión con Sebastian Mattos</t>
  </si>
  <si>
    <t>Laminas curso PPT a Matias. Enviadas (11-03-25)</t>
  </si>
  <si>
    <t>Coordinar reunión con Jair y Ricardo CEMOSA</t>
  </si>
  <si>
    <t>Cerrar Marco Regulatorio México</t>
  </si>
  <si>
    <t>HR Argentina. Acuerdos y tareas primera reunion seguimiento</t>
  </si>
  <si>
    <t>SSO. Inicio campaña 2024</t>
  </si>
  <si>
    <t>GNR año 2023 verificación. Agendar reunion 23 o 24</t>
  </si>
  <si>
    <t>Definir Agenda Taller Argentina</t>
  </si>
  <si>
    <t>Incluir en planilla los cronogramas de proyectos</t>
  </si>
  <si>
    <t>PPT para justificar ampliación MOU Perú</t>
  </si>
  <si>
    <t>Datos Colombia GNR 2023 (Con CPM ver posibilidad acceso datos)</t>
  </si>
  <si>
    <t>Semana del Clima Panamá definir cierre con Empresas distintas a CEMEX</t>
  </si>
  <si>
    <t>Adiciones y combustibles planilla plantas Argentina</t>
  </si>
  <si>
    <t>Mexico: Coordinar con Matías P. el cierre del proyecto</t>
  </si>
  <si>
    <t>CEMOSA: Solicitar EPD</t>
  </si>
  <si>
    <t>HR Moctezuma: Iniciar proceso entregable para HR</t>
  </si>
  <si>
    <t>YURA: Generar Carta Gantt actualizada. Validar Carta Gantt</t>
  </si>
  <si>
    <t>Normas y Ecoinvent: coordinar reunión con Matías</t>
  </si>
  <si>
    <t>Negociar con ICH pago directo a PwC</t>
  </si>
  <si>
    <t>Reporte Taller y Compromisos UNIDO</t>
  </si>
  <si>
    <t>UNIDO: solicitar información AFCP y Matías. Agendar reunion semanal interna HR Argentina. Agendar con MLL para Stakeholders</t>
  </si>
  <si>
    <t>UNIDO: Definir plan comunicacional HR Argentina</t>
  </si>
  <si>
    <t>Moctezuma: agendar reunion inicio HR Moctezuma próxima semana</t>
  </si>
  <si>
    <t>Melon: elaborar Carta Gantt</t>
  </si>
  <si>
    <t>Cerrar Contrato ASOCEM-FICEM (Abril 2024 - Marzo 2025)</t>
  </si>
  <si>
    <t>GNR V.4 Posición FICEM</t>
  </si>
  <si>
    <t>3C Yura: Coordinar reunión (proponer 2 de mayo prox reunion)</t>
  </si>
  <si>
    <t>Taller MR RD: publicar agenda del taller (23 al 26 de junio)</t>
  </si>
  <si>
    <r>
      <t xml:space="preserve">SOBOCE: Revisar facturación (factura) </t>
    </r>
    <r>
      <rPr>
        <b/>
        <sz val="11"/>
        <color theme="4"/>
        <rFont val="Avenir Next LT Pro"/>
        <family val="2"/>
      </rPr>
      <t>(facturado 20% el 01-07)</t>
    </r>
  </si>
  <si>
    <t>Calculadora FICEM: Sistematizar Base de Datos y Definir indicadores</t>
  </si>
  <si>
    <t>Ejecutar reunión ECOINVENT. Matias y Carlos</t>
  </si>
  <si>
    <t>Reunion Moctezuma 18-agosto agendar PM (propuesta HR y factores emision en calculadora)</t>
  </si>
  <si>
    <t>Reunión presentación Jessica a MLL HR Argentina (Comunicaciones)-Lunes 21</t>
  </si>
  <si>
    <t>YURA: presentar resultado datos y pasos a seguir</t>
  </si>
  <si>
    <t>Acceder EPD Tool GCCA para CPM. Consultar a Carlos</t>
  </si>
  <si>
    <t>Solicitar carta Gantt a Jessica</t>
  </si>
  <si>
    <t>Protocolo GCCA V.4: Consolidar observaciones y enviar a ASH. Incluir observaciones a word on line</t>
  </si>
  <si>
    <t>Determinar texto para asegurar confidencialidad (a quienes corresponda)</t>
  </si>
  <si>
    <t>Carta Gantt acciones Protocolo GCCA V.4. (Enviado). (Enviar a Pato)</t>
  </si>
  <si>
    <t>Cotizar GNR V.4 para SOBOCE</t>
  </si>
  <si>
    <t>Solicitar a Abhishek la ultima version del Excel V.4</t>
  </si>
  <si>
    <t>SOBOCE: Inicio HR - Cronograma</t>
  </si>
  <si>
    <t>Informar Aldo Cerda requisitos reunión Moctezuma (insetting, offsetting)</t>
  </si>
  <si>
    <t>Coordinar reunión 3C (Moctezuma, CPSAA, Melon, Loma Negra) resultados banding</t>
  </si>
  <si>
    <t>Solicitar a Aldo formularios (in &amp; out) compensaciones Moctezuma</t>
  </si>
  <si>
    <t>Coordinar viaje Bs Aires (RPS, CPM, PFR, MP). Coordinar visita plantas con MLL/MP</t>
  </si>
  <si>
    <t>Preparar temario lunes ASOCEM (HR, Produce, otros)</t>
  </si>
  <si>
    <t>Agendar reunión Carolina Vallejos Argos Calculadora FICEM</t>
  </si>
  <si>
    <t>Informe CBAM aplicación en Guayana Francesa. Enviar Segunda Versión</t>
  </si>
  <si>
    <r>
      <t xml:space="preserve">Citar Ecoinvent español con Matias (jueves 26 12:00 AM) </t>
    </r>
    <r>
      <rPr>
        <b/>
        <sz val="11"/>
        <color theme="4"/>
        <rFont val="Avenir Next LT Pro"/>
        <family val="2"/>
      </rPr>
      <t>(Reunion realizada 17-07)</t>
    </r>
  </si>
  <si>
    <t>Agendar reunión con Loly pasos a seguir ICH (esta semana)</t>
  </si>
  <si>
    <t>Firmar acuerdo de pago ICH (acordado esperando firma ICH)</t>
  </si>
  <si>
    <t>Cotizar neutralización evento GCCA (Solicitar a Aldo Cerda, 250 personas Mexico)</t>
  </si>
  <si>
    <t>Solicitar fichas para registro insetting y offsetting Moctezuma</t>
  </si>
  <si>
    <t>Cotizar pasajes a Buenos Aires (martes 20/05 20:00 app - RPS, PFR, EGP + MP)</t>
  </si>
  <si>
    <t>Solicitar a Matías su cotización para viaje a Buenos Aires</t>
  </si>
  <si>
    <t>Solicitar reunion con MLL para coordinar detalle Taller</t>
  </si>
  <si>
    <r>
      <t xml:space="preserve">Coordinar reunión con R. Hermosilla (MP, PFR) revisión Protocolo SSO </t>
    </r>
    <r>
      <rPr>
        <b/>
        <sz val="11"/>
        <color theme="4"/>
        <rFont val="Avenir Next LT Pro"/>
        <family val="2"/>
      </rPr>
      <t>(semana 28-07)</t>
    </r>
  </si>
  <si>
    <t>Agendar reunión FICEM ONUDI Proyecto Mercurio-El Caribe</t>
  </si>
  <si>
    <t>Agendar jueves 07-08 SOBOCE para auditoría Paper ECRA</t>
  </si>
  <si>
    <r>
      <t xml:space="preserve">Agendar reunión Moctezuma Segunda Etapa (HR) </t>
    </r>
    <r>
      <rPr>
        <b/>
        <sz val="11"/>
        <color theme="4"/>
        <rFont val="Avenir Next LT Pro"/>
        <family val="2"/>
      </rPr>
      <t>(realizada 18-07)</t>
    </r>
  </si>
  <si>
    <t>Agendar reunión con Abhishek (data Mexico en GNR) con traducción</t>
  </si>
  <si>
    <t>Agendar reunión para definir la revisión Protocolo GCCA V.4 (18-06; 15:00 hrs)</t>
  </si>
  <si>
    <t>Agendar reunión presencial con Melon en Celerino (Angela Reinoso lunes 11, 15 a 16)</t>
  </si>
  <si>
    <t>Elaborar Carta Gantt y Proyecto Metodología Metano (Camila)</t>
  </si>
  <si>
    <t>Elaborar Carta Gantt SbN (Camila)</t>
  </si>
  <si>
    <t>Adjudicar contratos HR Argentina (E. Irassar, M. Fravega, A. Cerda) con Loly</t>
  </si>
  <si>
    <t>Confirmar pago ICH a PwC (confirmar aceptación modo pago de PwC)</t>
  </si>
  <si>
    <t>Agendar pasajes a Perú 02-06 (RPS y EGP)</t>
  </si>
  <si>
    <t>Agendar reunion J. Escalona cierre Proyecto Melon (tentativo 01-07-25)</t>
  </si>
  <si>
    <t>Confeccionar Paper FICEM posición banding GCCA</t>
  </si>
  <si>
    <t>Enviar propuesta especialista HR (M. Vilarino y G. Guzzo)</t>
  </si>
  <si>
    <t>Javier Garcia ASCC coordinar reunion tema APL</t>
  </si>
  <si>
    <t>Elaborar demo HR Compañías</t>
  </si>
  <si>
    <t>Invitar CEOs Argentina a Asamblea FICEM</t>
  </si>
  <si>
    <t>Agendar reunión de inicio MOU Ecuador</t>
  </si>
  <si>
    <t>Elaborar propuesta Clubes Climáticos Chile</t>
  </si>
  <si>
    <t>P</t>
  </si>
  <si>
    <t>Agendar reunión Argos proyecto CEJAS</t>
  </si>
  <si>
    <t>Agendar reunión ASOCEM cerrar paso actual</t>
  </si>
  <si>
    <t>Comprar pasajes Argentina</t>
  </si>
  <si>
    <t>Definir salón evento Taller 3 HR Argentina</t>
  </si>
  <si>
    <t>Recordar ASOCEM revisión Informe Taller 2</t>
  </si>
  <si>
    <t>Enviar propuesta alianza ONUDI-ASOCEM-FICEM</t>
  </si>
  <si>
    <t>Retomar MRV Peru - Agendar reunión (lunes 11, de 16 a 17 horas)</t>
  </si>
  <si>
    <t>Agendar reunión ASOCEM - FICEM (lunes 08-09, de 18 a 19 horas)</t>
  </si>
  <si>
    <t>Enviar datos SOBOCE a Carlos</t>
  </si>
  <si>
    <t xml:space="preserve">Agendar reunión Interna SOBOCE (martes 12, de 10 a 12). </t>
  </si>
  <si>
    <t>Enviar info del taller a UNIDO</t>
  </si>
  <si>
    <t>Enviar info a Camila HR Peru</t>
  </si>
  <si>
    <t>Enviar información filtrada a Ecoinvent</t>
  </si>
  <si>
    <t>Solicitar respuesta Planilla GCCA a Moctezuma (solicitar suave)</t>
  </si>
  <si>
    <t>Agendar reunión seguimiento Moctezuma (viernes 05-09 --&gt; 16:00 horas chile )</t>
  </si>
  <si>
    <t>Proceso facturacion Chile (PwC), asegurar pago + adm FICEM (Carlos) - FINALIZADO</t>
  </si>
  <si>
    <t>Agendar reunión presentacion DEMO Calc 3C AFCP</t>
  </si>
  <si>
    <t>PFR adecuación de contratos con Profesionales HR Argentina</t>
  </si>
  <si>
    <t>Solicitar cambio SOBOCE para 11-09 PM. Data GCCA 2030-2050. Light Report a CPM</t>
  </si>
  <si>
    <t>Solicitar a PFR el cierre actividades Gantt ASOCEM</t>
  </si>
  <si>
    <t>Preparar informe estadístico Chile con reporte 2022</t>
  </si>
  <si>
    <t>Preparar HR Peru respecto última versión HR Argentina</t>
  </si>
  <si>
    <t>Enviar metodologia y fecha de firma del MOU metano Ecuador</t>
  </si>
  <si>
    <t>Agendar reunion HR Costa Rica</t>
  </si>
  <si>
    <t>Definir propuesta precio al carbono para R. Dominicana</t>
  </si>
  <si>
    <t>SOBOCE: preparar calculadora SOBOCE con proyecciones light reporter</t>
  </si>
  <si>
    <t>Agendar reunión con Maria Laura (para miércoles AM)</t>
  </si>
  <si>
    <t>Agendar reunión con Manuel Frávega (antes de MLL AM) - REALIZADO</t>
  </si>
  <si>
    <t>Agendar reunión con E. Irassar REALIZADO</t>
  </si>
  <si>
    <t>Enviar HR Argentina a Anne D.</t>
  </si>
  <si>
    <t>Preparar GPT para informe ejecutivo HR Argentina (CAMBIO NOMBRE) ENVIADO A JESSI</t>
  </si>
  <si>
    <t>Agendar reunión seguimiento MOU Ecuador</t>
  </si>
  <si>
    <t>Cotizar PwC GNR para Colombia (350 UF) INFORMADO A MANUEL LASCARRO</t>
  </si>
  <si>
    <t>Solicitar a Ludwin planilla prueba protocolo GCCA INSISITIDO</t>
  </si>
  <si>
    <t>Reunión cierre Melón 3C</t>
  </si>
  <si>
    <t>Coordinar reunión con Moctezuma (solicitar con tarea 182)</t>
  </si>
  <si>
    <t>Entrega Cierre e Informe Final Perú - Preparar Dropobox Final para enviar y facturar</t>
  </si>
  <si>
    <t>Renovar contrato ASOCEM-FICEM</t>
  </si>
  <si>
    <t>Elaborar Carta Gantt nuevo Contrato ASOCEM 2025-2026 (Prio: doc y 4C)</t>
  </si>
  <si>
    <t>Agendar reunión interna para Gantt ASOCEM (viernes 03-10) - CPM, RPS, JS 10:00 AM</t>
  </si>
  <si>
    <t>Desarrollo estrategia Marco Regulatorio Bolivia - Soboce LUNES PFR AVANCE</t>
  </si>
  <si>
    <t>Responder observaciones INTI al informe ACV-AFCP</t>
  </si>
  <si>
    <t>Propuesta Reestructuración ICH</t>
  </si>
  <si>
    <t>Definir apoyo técnico para Proyecto Metano Ecuador</t>
  </si>
  <si>
    <t>Seguimiento Propuesta HR Costa Rica ENVIADAS OBSERVACIONES AL TDR</t>
  </si>
  <si>
    <t>Revisar Informe BID - Capítulo Cemento</t>
  </si>
  <si>
    <t>Plan Estratégico Cruz Azul</t>
  </si>
  <si>
    <t>Planilla GNR 4.0 solicitar Abhishek</t>
  </si>
  <si>
    <t>Proceso facturacion Informe PwC Peru</t>
  </si>
  <si>
    <t>Agendar reunion periodica seguimiento ASOCEM (primera viernes 17-10; 12:00 PM)</t>
  </si>
  <si>
    <t>Preparar presentacion Proyecto 4C País</t>
  </si>
  <si>
    <t>Informe sobre Taller SbN</t>
  </si>
  <si>
    <r>
      <t xml:space="preserve">Preparar Agenda Taller Cierre Noviembre: </t>
    </r>
    <r>
      <rPr>
        <sz val="8"/>
        <rFont val="Avenir Next LT Pro"/>
        <family val="2"/>
      </rPr>
      <t>presentación HdR, MRegulatorio, productos, coprocesamiento</t>
    </r>
  </si>
  <si>
    <t>Agenda firma MOU Ecuador</t>
  </si>
  <si>
    <t>Responder contrapropuesta cotización PwC a PROCEMCO</t>
  </si>
  <si>
    <t>Coordinar Reunion con Carolina (SOBOCE) para ver tema calculadora (2 semanas más)</t>
  </si>
  <si>
    <r>
      <t xml:space="preserve">Coordinar con Loly cierre de Proyectos (jueves 5 de 11 a 12) </t>
    </r>
    <r>
      <rPr>
        <sz val="11"/>
        <color rgb="FFFF0000"/>
        <rFont val="Avenir Next LT Pro"/>
        <family val="2"/>
      </rPr>
      <t>Revisar Jessica</t>
    </r>
  </si>
  <si>
    <t>Carta cierre a Patricio con ultimo pago</t>
  </si>
  <si>
    <t>Coordinar reunion interna Ricardo Carlos Eduardo revisión proyectos (plan de cierre viernes 6)</t>
  </si>
  <si>
    <t>Agendar visita a Moctezumacon Maribel</t>
  </si>
  <si>
    <t>Agendar reunión con ONUDI de cierre HR Argentina (viernes 12-dic)</t>
  </si>
  <si>
    <t>Agendar jueves 11-12, a las 09:30 a 11:00 con RPS - Proyectos Varios</t>
  </si>
  <si>
    <t>En el programa HR Argentina incluir el curso MRV. En matriz a Secretaria Medioambiente curso MRV</t>
  </si>
  <si>
    <r>
      <rPr>
        <u/>
        <sz val="11"/>
        <rFont val="Avenir Next LT Pro"/>
        <family val="2"/>
      </rPr>
      <t xml:space="preserve">Primera corrida MRV Hoja de Ruta NZ Perú. </t>
    </r>
    <r>
      <rPr>
        <sz val="11"/>
        <rFont val="Avenir Next LT Pro"/>
        <family val="2"/>
      </rPr>
      <t xml:space="preserve">
1.Enviar carta solicitando GNR a las Compañías (convenio Produce, contrato FICEM-ASOCEM, acuerdos reunion (planilla GNR 2024). Miercoles para el viernes consolidado</t>
    </r>
  </si>
  <si>
    <r>
      <rPr>
        <u/>
        <sz val="11"/>
        <rFont val="Avenir Next LT Pro"/>
        <family val="2"/>
      </rPr>
      <t xml:space="preserve">Primera corrida MRV Hoja de Ruta NZ Perú. 
</t>
    </r>
    <r>
      <rPr>
        <sz val="11"/>
        <rFont val="Avenir Next LT Pro"/>
        <family val="2"/>
      </rPr>
      <t>2. Enviar carta ASOCEM con plan de trabajo Miercoles para el viernes consolidado</t>
    </r>
  </si>
  <si>
    <r>
      <rPr>
        <u/>
        <sz val="11"/>
        <rFont val="Avenir Next LT Pro"/>
        <family val="2"/>
      </rPr>
      <t xml:space="preserve">Primera corrida MRV Hoja de Ruta NZ Perú. 
</t>
    </r>
    <r>
      <rPr>
        <sz val="11"/>
        <rFont val="Avenir Next LT Pro"/>
        <family val="2"/>
      </rPr>
      <t>3. Correr calculadora CPM</t>
    </r>
  </si>
  <si>
    <r>
      <rPr>
        <u/>
        <sz val="11"/>
        <rFont val="Avenir Next LT Pro"/>
        <family val="2"/>
      </rPr>
      <t xml:space="preserve">Primera corrida MRV Hoja de Ruta NZ Perú. 
</t>
    </r>
    <r>
      <rPr>
        <sz val="11"/>
        <rFont val="Avenir Next LT Pro"/>
        <family val="2"/>
      </rPr>
      <t>4. entrega informe 15-12-25 (de acuerdo al informe MRV)</t>
    </r>
  </si>
  <si>
    <t>Plan de cierre de Yura, Pacasmayo y SOBOCE</t>
  </si>
  <si>
    <t>Definir fecha viaje con Maria Pia (Yura y Soboce) 22-23/01 Yura, 26-27/01 Soboce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</si>
</sst>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/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b/>
      <sz val="9"/>
      <name val="Avenir Next LT Pro"/>
      <family val="2"/>
    </font>
    <font>
      <sz val="10"/>
      <color theme="1"/>
      <name val="Avenir Next LT Pro"/>
      <family val="2"/>
    </font>
    <font>
      <sz val="11"/>
      <color theme="1"/>
      <name val="Avenir Next LT Pro"/>
      <family val="2"/>
    </font>
    <font>
      <b/>
      <sz val="9"/>
      <color theme="1"/>
      <name val="Avenir Next LT Pro"/>
      <family val="2"/>
    </font>
    <font>
      <u/>
      <sz val="11"/>
      <name val="Avenir Next LT Pro"/>
      <family val="2"/>
    </font>
    <font>
      <b/>
      <sz val="11"/>
      <color theme="4"/>
      <name val="Avenir Next LT Pro"/>
      <family val="2"/>
    </font>
    <font>
      <b/>
      <sz val="11"/>
      <color rgb="FFFF0000"/>
      <name val="Avenir Next LT Pro"/>
      <family val="2"/>
    </font>
    <font>
      <sz val="11"/>
      <color rgb="FFFFFF00"/>
      <name val="Avenir Next LT Pro"/>
      <family val="2"/>
    </font>
    <font>
      <sz val="8"/>
      <name val="Avenir Next LT Pro"/>
      <family val="2"/>
    </font>
    <font>
      <sz val="11"/>
      <color rgb="FFFF0000"/>
      <name val="Avenir Next LT Pro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4" fontId="7" fillId="2" borderId="5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14" fontId="7" fillId="2" borderId="2" xfId="0" applyNumberFormat="1" applyFont="1" applyFill="1" applyBorder="1" applyAlignment="1">
      <alignment horizontal="center" vertical="center" wrapText="1"/>
    </xf>
    <xf numFmtId="41" fontId="4" fillId="2" borderId="5" xfId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1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4B06-D465-4228-A0FB-404942EF92D9}">
  <sheetPr filterMode="1"/>
  <dimension ref="B1:G240"/>
  <sheetViews>
    <sheetView showGridLines="0" tabSelected="1" zoomScale="130" zoomScaleNormal="130" workbookViewId="0">
      <pane ySplit="2" topLeftCell="A170" activePane="bottomLeft" state="frozen"/>
      <selection pane="bottomLeft" activeCell="E241" sqref="E241"/>
    </sheetView>
  </sheetViews>
  <sheetFormatPr baseColWidth="10" defaultColWidth="11.42578125" defaultRowHeight="15" x14ac:dyDescent="0.25"/>
  <cols>
    <col min="1" max="1" width="2.85546875" style="4" customWidth="1"/>
    <col min="2" max="2" width="4.5703125" style="1" customWidth="1"/>
    <col min="3" max="3" width="9.5703125" style="2" customWidth="1"/>
    <col min="4" max="4" width="23.42578125" style="3" hidden="1" customWidth="1"/>
    <col min="5" max="5" width="99.5703125" style="4" customWidth="1"/>
    <col min="6" max="6" width="12.7109375" style="70" customWidth="1"/>
    <col min="7" max="7" width="10" style="5" customWidth="1"/>
    <col min="8" max="8" width="2.85546875" style="4" customWidth="1"/>
    <col min="9" max="16384" width="11.42578125" style="4"/>
  </cols>
  <sheetData>
    <row r="1" spans="2:7" ht="15.75" thickBot="1" x14ac:dyDescent="0.3">
      <c r="F1" s="5"/>
      <c r="G1" s="5">
        <f>COUNTIF(G3:G2995,"P")</f>
        <v>11</v>
      </c>
    </row>
    <row r="2" spans="2:7" s="9" customFormat="1" ht="12.75" thickBot="1" x14ac:dyDescent="0.3">
      <c r="B2" s="6" t="s">
        <v>0</v>
      </c>
      <c r="C2" s="7" t="s">
        <v>1</v>
      </c>
      <c r="D2" s="8" t="s">
        <v>2</v>
      </c>
      <c r="E2" s="6" t="s">
        <v>3</v>
      </c>
      <c r="F2" s="8" t="s">
        <v>4</v>
      </c>
      <c r="G2" s="6" t="s">
        <v>5</v>
      </c>
    </row>
    <row r="3" spans="2:7" s="16" customFormat="1" hidden="1" x14ac:dyDescent="0.25">
      <c r="B3" s="10">
        <v>1</v>
      </c>
      <c r="C3" s="11">
        <v>45483</v>
      </c>
      <c r="D3" s="12" t="s">
        <v>6</v>
      </c>
      <c r="E3" s="13" t="s">
        <v>7</v>
      </c>
      <c r="F3" s="14" t="s">
        <v>8</v>
      </c>
      <c r="G3" s="15" t="s">
        <v>9</v>
      </c>
    </row>
    <row r="4" spans="2:7" ht="30" hidden="1" x14ac:dyDescent="0.25">
      <c r="B4" s="10">
        <f>+IF(C4&lt;&gt;"",B3+1,"")</f>
        <v>2</v>
      </c>
      <c r="C4" s="17">
        <v>45483</v>
      </c>
      <c r="D4" s="18" t="s">
        <v>10</v>
      </c>
      <c r="E4" s="18" t="s">
        <v>11</v>
      </c>
      <c r="F4" s="19" t="s">
        <v>12</v>
      </c>
      <c r="G4" s="20" t="s">
        <v>9</v>
      </c>
    </row>
    <row r="5" spans="2:7" hidden="1" x14ac:dyDescent="0.25">
      <c r="B5" s="10">
        <f t="shared" ref="B5:B68" si="0">+IF(C5&lt;&gt;"",B4+1,"")</f>
        <v>3</v>
      </c>
      <c r="C5" s="21">
        <v>45490</v>
      </c>
      <c r="D5" s="22" t="s">
        <v>10</v>
      </c>
      <c r="E5" s="22" t="s">
        <v>13</v>
      </c>
      <c r="F5" s="19" t="s">
        <v>8</v>
      </c>
      <c r="G5" s="23" t="s">
        <v>9</v>
      </c>
    </row>
    <row r="6" spans="2:7" s="25" customFormat="1" hidden="1" x14ac:dyDescent="0.25">
      <c r="B6" s="10">
        <f t="shared" si="0"/>
        <v>4</v>
      </c>
      <c r="C6" s="11">
        <v>45483</v>
      </c>
      <c r="D6" s="12" t="s">
        <v>14</v>
      </c>
      <c r="E6" s="13" t="s">
        <v>15</v>
      </c>
      <c r="F6" s="14" t="s">
        <v>16</v>
      </c>
      <c r="G6" s="24" t="s">
        <v>9</v>
      </c>
    </row>
    <row r="7" spans="2:7" s="25" customFormat="1" hidden="1" x14ac:dyDescent="0.25">
      <c r="B7" s="10">
        <f t="shared" si="0"/>
        <v>5</v>
      </c>
      <c r="C7" s="26">
        <v>45490</v>
      </c>
      <c r="D7" s="27" t="s">
        <v>14</v>
      </c>
      <c r="E7" s="22" t="s">
        <v>17</v>
      </c>
      <c r="F7" s="28" t="s">
        <v>18</v>
      </c>
      <c r="G7" s="29" t="s">
        <v>9</v>
      </c>
    </row>
    <row r="8" spans="2:7" s="25" customFormat="1" hidden="1" x14ac:dyDescent="0.25">
      <c r="B8" s="10">
        <f t="shared" si="0"/>
        <v>6</v>
      </c>
      <c r="C8" s="26">
        <v>45483</v>
      </c>
      <c r="D8" s="30" t="s">
        <v>19</v>
      </c>
      <c r="E8" s="22" t="s">
        <v>20</v>
      </c>
      <c r="F8" s="28" t="s">
        <v>8</v>
      </c>
      <c r="G8" s="31" t="s">
        <v>9</v>
      </c>
    </row>
    <row r="9" spans="2:7" s="25" customFormat="1" hidden="1" x14ac:dyDescent="0.25">
      <c r="B9" s="10">
        <f t="shared" si="0"/>
        <v>7</v>
      </c>
      <c r="C9" s="26">
        <v>45531</v>
      </c>
      <c r="D9" s="27" t="s">
        <v>19</v>
      </c>
      <c r="E9" s="22" t="s">
        <v>21</v>
      </c>
      <c r="F9" s="28" t="s">
        <v>22</v>
      </c>
      <c r="G9" s="31" t="s">
        <v>9</v>
      </c>
    </row>
    <row r="10" spans="2:7" s="25" customFormat="1" hidden="1" x14ac:dyDescent="0.25">
      <c r="B10" s="10">
        <f t="shared" si="0"/>
        <v>8</v>
      </c>
      <c r="C10" s="11">
        <v>45483</v>
      </c>
      <c r="D10" s="12" t="s">
        <v>23</v>
      </c>
      <c r="E10" s="13" t="s">
        <v>24</v>
      </c>
      <c r="F10" s="32" t="s">
        <v>8</v>
      </c>
      <c r="G10" s="24" t="s">
        <v>9</v>
      </c>
    </row>
    <row r="11" spans="2:7" hidden="1" x14ac:dyDescent="0.25">
      <c r="B11" s="10">
        <f t="shared" si="0"/>
        <v>9</v>
      </c>
      <c r="C11" s="17">
        <v>45483</v>
      </c>
      <c r="D11" s="18" t="s">
        <v>23</v>
      </c>
      <c r="E11" s="18" t="s">
        <v>25</v>
      </c>
      <c r="F11" s="19" t="s">
        <v>8</v>
      </c>
      <c r="G11" s="20" t="s">
        <v>9</v>
      </c>
    </row>
    <row r="12" spans="2:7" s="25" customFormat="1" ht="30" hidden="1" x14ac:dyDescent="0.25">
      <c r="B12" s="10">
        <f t="shared" si="0"/>
        <v>10</v>
      </c>
      <c r="C12" s="26">
        <v>45483</v>
      </c>
      <c r="D12" s="27" t="s">
        <v>26</v>
      </c>
      <c r="E12" s="22" t="s">
        <v>27</v>
      </c>
      <c r="F12" s="28" t="s">
        <v>28</v>
      </c>
      <c r="G12" s="29" t="s">
        <v>9</v>
      </c>
    </row>
    <row r="13" spans="2:7" s="25" customFormat="1" ht="30" hidden="1" x14ac:dyDescent="0.25">
      <c r="B13" s="10">
        <f t="shared" si="0"/>
        <v>11</v>
      </c>
      <c r="C13" s="11">
        <v>45483</v>
      </c>
      <c r="D13" s="12" t="s">
        <v>29</v>
      </c>
      <c r="E13" s="13" t="s">
        <v>30</v>
      </c>
      <c r="F13" s="14" t="s">
        <v>16</v>
      </c>
      <c r="G13" s="14" t="s">
        <v>9</v>
      </c>
    </row>
    <row r="14" spans="2:7" hidden="1" x14ac:dyDescent="0.25">
      <c r="B14" s="10">
        <f t="shared" si="0"/>
        <v>12</v>
      </c>
      <c r="C14" s="26">
        <v>45378</v>
      </c>
      <c r="D14" s="18" t="s">
        <v>31</v>
      </c>
      <c r="E14" s="22" t="s">
        <v>32</v>
      </c>
      <c r="F14" s="19" t="s">
        <v>33</v>
      </c>
      <c r="G14" s="23" t="s">
        <v>9</v>
      </c>
    </row>
    <row r="15" spans="2:7" s="25" customFormat="1" hidden="1" x14ac:dyDescent="0.25">
      <c r="B15" s="10">
        <f t="shared" si="0"/>
        <v>13</v>
      </c>
      <c r="C15" s="33">
        <v>45488</v>
      </c>
      <c r="D15" s="34" t="s">
        <v>34</v>
      </c>
      <c r="E15" s="35" t="s">
        <v>35</v>
      </c>
      <c r="F15" s="36" t="s">
        <v>22</v>
      </c>
      <c r="G15" s="37" t="s">
        <v>9</v>
      </c>
    </row>
    <row r="16" spans="2:7" s="25" customFormat="1" hidden="1" x14ac:dyDescent="0.25">
      <c r="B16" s="10">
        <f t="shared" si="0"/>
        <v>14</v>
      </c>
      <c r="C16" s="11">
        <v>45483</v>
      </c>
      <c r="D16" s="12" t="s">
        <v>36</v>
      </c>
      <c r="E16" s="13" t="s">
        <v>37</v>
      </c>
      <c r="F16" s="38" t="s">
        <v>8</v>
      </c>
      <c r="G16" s="24" t="s">
        <v>9</v>
      </c>
    </row>
    <row r="17" spans="2:7" s="25" customFormat="1" hidden="1" x14ac:dyDescent="0.25">
      <c r="B17" s="10">
        <f t="shared" si="0"/>
        <v>15</v>
      </c>
      <c r="C17" s="39">
        <v>45483</v>
      </c>
      <c r="D17" s="27" t="s">
        <v>36</v>
      </c>
      <c r="E17" s="18" t="s">
        <v>38</v>
      </c>
      <c r="F17" s="40" t="s">
        <v>8</v>
      </c>
      <c r="G17" s="41" t="s">
        <v>9</v>
      </c>
    </row>
    <row r="18" spans="2:7" hidden="1" x14ac:dyDescent="0.25">
      <c r="B18" s="10">
        <f t="shared" si="0"/>
        <v>16</v>
      </c>
      <c r="C18" s="21">
        <v>45496</v>
      </c>
      <c r="D18" s="22" t="s">
        <v>39</v>
      </c>
      <c r="E18" s="22" t="s">
        <v>40</v>
      </c>
      <c r="F18" s="19" t="s">
        <v>8</v>
      </c>
      <c r="G18" s="23" t="s">
        <v>9</v>
      </c>
    </row>
    <row r="19" spans="2:7" s="25" customFormat="1" hidden="1" x14ac:dyDescent="0.25">
      <c r="B19" s="10">
        <f t="shared" si="0"/>
        <v>17</v>
      </c>
      <c r="C19" s="39">
        <v>45483</v>
      </c>
      <c r="D19" s="27" t="s">
        <v>41</v>
      </c>
      <c r="E19" s="18" t="s">
        <v>42</v>
      </c>
      <c r="F19" s="42" t="s">
        <v>8</v>
      </c>
      <c r="G19" s="41" t="s">
        <v>9</v>
      </c>
    </row>
    <row r="20" spans="2:7" s="25" customFormat="1" hidden="1" x14ac:dyDescent="0.25">
      <c r="B20" s="10">
        <f t="shared" si="0"/>
        <v>18</v>
      </c>
      <c r="C20" s="39">
        <v>45483</v>
      </c>
      <c r="D20" s="27" t="s">
        <v>41</v>
      </c>
      <c r="E20" s="18" t="s">
        <v>43</v>
      </c>
      <c r="F20" s="28" t="s">
        <v>8</v>
      </c>
      <c r="G20" s="41" t="s">
        <v>9</v>
      </c>
    </row>
    <row r="21" spans="2:7" s="25" customFormat="1" hidden="1" x14ac:dyDescent="0.25">
      <c r="B21" s="10">
        <f t="shared" si="0"/>
        <v>19</v>
      </c>
      <c r="C21" s="39">
        <v>45483</v>
      </c>
      <c r="D21" s="27" t="s">
        <v>41</v>
      </c>
      <c r="E21" s="18" t="s">
        <v>44</v>
      </c>
      <c r="F21" s="28" t="s">
        <v>8</v>
      </c>
      <c r="G21" s="41" t="s">
        <v>9</v>
      </c>
    </row>
    <row r="22" spans="2:7" s="25" customFormat="1" hidden="1" x14ac:dyDescent="0.25">
      <c r="B22" s="10">
        <f t="shared" si="0"/>
        <v>20</v>
      </c>
      <c r="C22" s="39">
        <v>45483</v>
      </c>
      <c r="D22" s="27" t="s">
        <v>41</v>
      </c>
      <c r="E22" s="18" t="s">
        <v>45</v>
      </c>
      <c r="F22" s="42" t="s">
        <v>8</v>
      </c>
      <c r="G22" s="41" t="s">
        <v>9</v>
      </c>
    </row>
    <row r="23" spans="2:7" s="25" customFormat="1" hidden="1" x14ac:dyDescent="0.25">
      <c r="B23" s="10">
        <f t="shared" si="0"/>
        <v>21</v>
      </c>
      <c r="C23" s="39">
        <v>45483</v>
      </c>
      <c r="D23" s="27" t="s">
        <v>41</v>
      </c>
      <c r="E23" s="18" t="s">
        <v>46</v>
      </c>
      <c r="F23" s="28" t="s">
        <v>8</v>
      </c>
      <c r="G23" s="41" t="s">
        <v>9</v>
      </c>
    </row>
    <row r="24" spans="2:7" s="25" customFormat="1" hidden="1" x14ac:dyDescent="0.25">
      <c r="B24" s="10">
        <f t="shared" si="0"/>
        <v>22</v>
      </c>
      <c r="C24" s="39">
        <v>45490</v>
      </c>
      <c r="D24" s="27" t="s">
        <v>41</v>
      </c>
      <c r="E24" s="18" t="s">
        <v>47</v>
      </c>
      <c r="F24" s="28" t="s">
        <v>8</v>
      </c>
      <c r="G24" s="41" t="s">
        <v>9</v>
      </c>
    </row>
    <row r="25" spans="2:7" s="25" customFormat="1" hidden="1" x14ac:dyDescent="0.25">
      <c r="B25" s="10">
        <f t="shared" si="0"/>
        <v>23</v>
      </c>
      <c r="C25" s="26">
        <v>45496</v>
      </c>
      <c r="D25" s="30" t="s">
        <v>41</v>
      </c>
      <c r="E25" s="22" t="s">
        <v>48</v>
      </c>
      <c r="F25" s="28" t="s">
        <v>8</v>
      </c>
      <c r="G25" s="29" t="s">
        <v>9</v>
      </c>
    </row>
    <row r="26" spans="2:7" s="25" customFormat="1" hidden="1" x14ac:dyDescent="0.25">
      <c r="B26" s="10">
        <f t="shared" si="0"/>
        <v>24</v>
      </c>
      <c r="C26" s="33">
        <v>45483</v>
      </c>
      <c r="D26" s="34" t="s">
        <v>49</v>
      </c>
      <c r="E26" s="35" t="s">
        <v>50</v>
      </c>
      <c r="F26" s="36" t="s">
        <v>22</v>
      </c>
      <c r="G26" s="43" t="s">
        <v>9</v>
      </c>
    </row>
    <row r="27" spans="2:7" s="25" customFormat="1" hidden="1" x14ac:dyDescent="0.25">
      <c r="B27" s="10">
        <f t="shared" si="0"/>
        <v>25</v>
      </c>
      <c r="C27" s="44">
        <v>45490</v>
      </c>
      <c r="D27" s="45" t="s">
        <v>49</v>
      </c>
      <c r="E27" s="46" t="s">
        <v>51</v>
      </c>
      <c r="F27" s="36" t="s">
        <v>22</v>
      </c>
      <c r="G27" s="36" t="s">
        <v>9</v>
      </c>
    </row>
    <row r="28" spans="2:7" s="25" customFormat="1" hidden="1" x14ac:dyDescent="0.25">
      <c r="B28" s="10">
        <f t="shared" si="0"/>
        <v>26</v>
      </c>
      <c r="C28" s="44">
        <v>45490</v>
      </c>
      <c r="D28" s="45" t="s">
        <v>49</v>
      </c>
      <c r="E28" s="46" t="s">
        <v>52</v>
      </c>
      <c r="F28" s="36" t="s">
        <v>22</v>
      </c>
      <c r="G28" s="36" t="s">
        <v>9</v>
      </c>
    </row>
    <row r="29" spans="2:7" s="25" customFormat="1" hidden="1" x14ac:dyDescent="0.25">
      <c r="B29" s="10">
        <f t="shared" si="0"/>
        <v>27</v>
      </c>
      <c r="C29" s="33">
        <v>45483</v>
      </c>
      <c r="D29" s="34" t="s">
        <v>53</v>
      </c>
      <c r="E29" s="35" t="s">
        <v>54</v>
      </c>
      <c r="F29" s="36" t="s">
        <v>22</v>
      </c>
      <c r="G29" s="37" t="s">
        <v>9</v>
      </c>
    </row>
    <row r="30" spans="2:7" s="25" customFormat="1" hidden="1" x14ac:dyDescent="0.25">
      <c r="B30" s="10">
        <f t="shared" si="0"/>
        <v>28</v>
      </c>
      <c r="C30" s="33">
        <v>45483</v>
      </c>
      <c r="D30" s="34" t="s">
        <v>53</v>
      </c>
      <c r="E30" s="35" t="s">
        <v>55</v>
      </c>
      <c r="F30" s="36" t="s">
        <v>22</v>
      </c>
      <c r="G30" s="37" t="s">
        <v>9</v>
      </c>
    </row>
    <row r="31" spans="2:7" s="25" customFormat="1" hidden="1" x14ac:dyDescent="0.25">
      <c r="B31" s="10">
        <f t="shared" si="0"/>
        <v>29</v>
      </c>
      <c r="C31" s="33">
        <v>45483</v>
      </c>
      <c r="D31" s="34" t="s">
        <v>53</v>
      </c>
      <c r="E31" s="35" t="s">
        <v>56</v>
      </c>
      <c r="F31" s="36" t="s">
        <v>22</v>
      </c>
      <c r="G31" s="43" t="s">
        <v>9</v>
      </c>
    </row>
    <row r="32" spans="2:7" s="25" customFormat="1" hidden="1" x14ac:dyDescent="0.25">
      <c r="B32" s="10">
        <f t="shared" si="0"/>
        <v>30</v>
      </c>
      <c r="C32" s="33">
        <v>45483</v>
      </c>
      <c r="D32" s="34" t="s">
        <v>53</v>
      </c>
      <c r="E32" s="35" t="s">
        <v>57</v>
      </c>
      <c r="F32" s="36" t="s">
        <v>22</v>
      </c>
      <c r="G32" s="37" t="s">
        <v>9</v>
      </c>
    </row>
    <row r="33" spans="2:7" s="25" customFormat="1" hidden="1" x14ac:dyDescent="0.25">
      <c r="B33" s="10">
        <f t="shared" si="0"/>
        <v>31</v>
      </c>
      <c r="C33" s="33">
        <v>45496</v>
      </c>
      <c r="D33" s="34" t="s">
        <v>53</v>
      </c>
      <c r="E33" s="35" t="s">
        <v>58</v>
      </c>
      <c r="F33" s="36" t="s">
        <v>22</v>
      </c>
      <c r="G33" s="37" t="s">
        <v>9</v>
      </c>
    </row>
    <row r="34" spans="2:7" s="25" customFormat="1" hidden="1" x14ac:dyDescent="0.25">
      <c r="B34" s="10">
        <f t="shared" si="0"/>
        <v>32</v>
      </c>
      <c r="C34" s="33">
        <v>45483</v>
      </c>
      <c r="D34" s="34" t="s">
        <v>59</v>
      </c>
      <c r="E34" s="35" t="s">
        <v>60</v>
      </c>
      <c r="F34" s="36" t="s">
        <v>18</v>
      </c>
      <c r="G34" s="37" t="s">
        <v>9</v>
      </c>
    </row>
    <row r="35" spans="2:7" hidden="1" x14ac:dyDescent="0.25">
      <c r="B35" s="10">
        <f t="shared" si="0"/>
        <v>33</v>
      </c>
      <c r="C35" s="47">
        <v>45490</v>
      </c>
      <c r="D35" s="13" t="s">
        <v>61</v>
      </c>
      <c r="E35" s="48" t="s">
        <v>62</v>
      </c>
      <c r="F35" s="49" t="s">
        <v>22</v>
      </c>
      <c r="G35" s="50" t="s">
        <v>9</v>
      </c>
    </row>
    <row r="36" spans="2:7" hidden="1" x14ac:dyDescent="0.25">
      <c r="B36" s="10">
        <f t="shared" si="0"/>
        <v>34</v>
      </c>
      <c r="C36" s="21">
        <v>45496</v>
      </c>
      <c r="D36" s="18" t="s">
        <v>63</v>
      </c>
      <c r="E36" s="22" t="s">
        <v>64</v>
      </c>
      <c r="F36" s="19" t="s">
        <v>8</v>
      </c>
      <c r="G36" s="23" t="s">
        <v>9</v>
      </c>
    </row>
    <row r="37" spans="2:7" hidden="1" x14ac:dyDescent="0.25">
      <c r="B37" s="10">
        <f t="shared" si="0"/>
        <v>35</v>
      </c>
      <c r="C37" s="21">
        <v>45490</v>
      </c>
      <c r="D37" s="18" t="s">
        <v>65</v>
      </c>
      <c r="E37" s="22" t="s">
        <v>66</v>
      </c>
      <c r="F37" s="19" t="s">
        <v>8</v>
      </c>
      <c r="G37" s="23" t="s">
        <v>9</v>
      </c>
    </row>
    <row r="38" spans="2:7" s="25" customFormat="1" hidden="1" x14ac:dyDescent="0.25">
      <c r="B38" s="10">
        <f t="shared" si="0"/>
        <v>36</v>
      </c>
      <c r="C38" s="26">
        <v>45490</v>
      </c>
      <c r="D38" s="30" t="s">
        <v>65</v>
      </c>
      <c r="E38" s="22" t="s">
        <v>67</v>
      </c>
      <c r="F38" s="28" t="s">
        <v>8</v>
      </c>
      <c r="G38" s="29" t="s">
        <v>9</v>
      </c>
    </row>
    <row r="39" spans="2:7" s="25" customFormat="1" hidden="1" x14ac:dyDescent="0.25">
      <c r="B39" s="10">
        <f t="shared" si="0"/>
        <v>37</v>
      </c>
      <c r="C39" s="26">
        <v>45488</v>
      </c>
      <c r="D39" s="30" t="s">
        <v>68</v>
      </c>
      <c r="E39" s="22" t="s">
        <v>69</v>
      </c>
      <c r="F39" s="28" t="s">
        <v>8</v>
      </c>
      <c r="G39" s="29" t="s">
        <v>9</v>
      </c>
    </row>
    <row r="40" spans="2:7" hidden="1" x14ac:dyDescent="0.25">
      <c r="B40" s="10">
        <f t="shared" si="0"/>
        <v>38</v>
      </c>
      <c r="C40" s="21">
        <v>45496</v>
      </c>
      <c r="D40" s="22" t="s">
        <v>68</v>
      </c>
      <c r="E40" s="22" t="s">
        <v>70</v>
      </c>
      <c r="F40" s="19" t="s">
        <v>8</v>
      </c>
      <c r="G40" s="23" t="s">
        <v>9</v>
      </c>
    </row>
    <row r="41" spans="2:7" s="25" customFormat="1" ht="30" hidden="1" x14ac:dyDescent="0.25">
      <c r="B41" s="10">
        <f t="shared" si="0"/>
        <v>39</v>
      </c>
      <c r="C41" s="26">
        <v>45483</v>
      </c>
      <c r="D41" s="30" t="s">
        <v>71</v>
      </c>
      <c r="E41" s="22" t="s">
        <v>72</v>
      </c>
      <c r="F41" s="28" t="s">
        <v>8</v>
      </c>
      <c r="G41" s="31" t="s">
        <v>9</v>
      </c>
    </row>
    <row r="42" spans="2:7" s="25" customFormat="1" hidden="1" x14ac:dyDescent="0.25">
      <c r="B42" s="10">
        <f t="shared" si="0"/>
        <v>40</v>
      </c>
      <c r="C42" s="33">
        <v>45483</v>
      </c>
      <c r="D42" s="34" t="s">
        <v>73</v>
      </c>
      <c r="E42" s="35" t="s">
        <v>74</v>
      </c>
      <c r="F42" s="37" t="s">
        <v>22</v>
      </c>
      <c r="G42" s="37" t="s">
        <v>9</v>
      </c>
    </row>
    <row r="43" spans="2:7" s="25" customFormat="1" hidden="1" x14ac:dyDescent="0.25">
      <c r="B43" s="10">
        <f t="shared" si="0"/>
        <v>41</v>
      </c>
      <c r="C43" s="51">
        <v>45483</v>
      </c>
      <c r="D43" s="12" t="s">
        <v>73</v>
      </c>
      <c r="E43" s="13" t="s">
        <v>75</v>
      </c>
      <c r="F43" s="14" t="s">
        <v>8</v>
      </c>
      <c r="G43" s="14" t="s">
        <v>9</v>
      </c>
    </row>
    <row r="44" spans="2:7" s="25" customFormat="1" hidden="1" x14ac:dyDescent="0.25">
      <c r="B44" s="10">
        <f t="shared" si="0"/>
        <v>42</v>
      </c>
      <c r="C44" s="33">
        <v>45483</v>
      </c>
      <c r="D44" s="34" t="s">
        <v>73</v>
      </c>
      <c r="E44" s="35" t="s">
        <v>76</v>
      </c>
      <c r="F44" s="37" t="s">
        <v>22</v>
      </c>
      <c r="G44" s="37" t="s">
        <v>9</v>
      </c>
    </row>
    <row r="45" spans="2:7" s="25" customFormat="1" ht="30" hidden="1" x14ac:dyDescent="0.25">
      <c r="B45" s="10">
        <f t="shared" si="0"/>
        <v>43</v>
      </c>
      <c r="C45" s="33">
        <v>45483</v>
      </c>
      <c r="D45" s="34" t="s">
        <v>77</v>
      </c>
      <c r="E45" s="35" t="s">
        <v>78</v>
      </c>
      <c r="F45" s="36" t="s">
        <v>22</v>
      </c>
      <c r="G45" s="43" t="s">
        <v>9</v>
      </c>
    </row>
    <row r="46" spans="2:7" s="25" customFormat="1" ht="30" hidden="1" x14ac:dyDescent="0.25">
      <c r="B46" s="10">
        <f t="shared" si="0"/>
        <v>44</v>
      </c>
      <c r="C46" s="51">
        <v>45483</v>
      </c>
      <c r="D46" s="52" t="s">
        <v>79</v>
      </c>
      <c r="E46" s="48" t="s">
        <v>80</v>
      </c>
      <c r="F46" s="14" t="s">
        <v>22</v>
      </c>
      <c r="G46" s="38" t="s">
        <v>9</v>
      </c>
    </row>
    <row r="47" spans="2:7" s="25" customFormat="1" ht="30" hidden="1" customHeight="1" x14ac:dyDescent="0.25">
      <c r="B47" s="10">
        <f t="shared" si="0"/>
        <v>45</v>
      </c>
      <c r="C47" s="26">
        <v>45483</v>
      </c>
      <c r="D47" s="27" t="s">
        <v>81</v>
      </c>
      <c r="E47" s="22" t="s">
        <v>82</v>
      </c>
      <c r="F47" s="28" t="s">
        <v>22</v>
      </c>
      <c r="G47" s="29" t="s">
        <v>9</v>
      </c>
    </row>
    <row r="48" spans="2:7" s="25" customFormat="1" hidden="1" x14ac:dyDescent="0.25">
      <c r="B48" s="10">
        <f t="shared" si="0"/>
        <v>46</v>
      </c>
      <c r="C48" s="39">
        <v>45483</v>
      </c>
      <c r="D48" s="27" t="s">
        <v>83</v>
      </c>
      <c r="E48" s="18" t="s">
        <v>84</v>
      </c>
      <c r="F48" s="28" t="s">
        <v>18</v>
      </c>
      <c r="G48" s="41" t="s">
        <v>9</v>
      </c>
    </row>
    <row r="49" spans="2:7" s="25" customFormat="1" ht="30" hidden="1" x14ac:dyDescent="0.25">
      <c r="B49" s="10">
        <f t="shared" si="0"/>
        <v>47</v>
      </c>
      <c r="C49" s="26">
        <v>45483</v>
      </c>
      <c r="D49" s="30" t="s">
        <v>85</v>
      </c>
      <c r="E49" s="18" t="s">
        <v>86</v>
      </c>
      <c r="F49" s="28" t="s">
        <v>87</v>
      </c>
      <c r="G49" s="31" t="s">
        <v>9</v>
      </c>
    </row>
    <row r="50" spans="2:7" s="25" customFormat="1" hidden="1" x14ac:dyDescent="0.25">
      <c r="B50" s="10">
        <f t="shared" si="0"/>
        <v>48</v>
      </c>
      <c r="C50" s="11">
        <v>45483</v>
      </c>
      <c r="D50" s="12" t="s">
        <v>88</v>
      </c>
      <c r="E50" s="13" t="s">
        <v>89</v>
      </c>
      <c r="F50" s="14" t="s">
        <v>16</v>
      </c>
      <c r="G50" s="24" t="s">
        <v>9</v>
      </c>
    </row>
    <row r="51" spans="2:7" s="25" customFormat="1" hidden="1" x14ac:dyDescent="0.25">
      <c r="B51" s="10">
        <f t="shared" si="0"/>
        <v>49</v>
      </c>
      <c r="C51" s="39">
        <v>45490</v>
      </c>
      <c r="D51" s="27" t="s">
        <v>88</v>
      </c>
      <c r="E51" s="18" t="s">
        <v>90</v>
      </c>
      <c r="F51" s="28" t="s">
        <v>18</v>
      </c>
      <c r="G51" s="41" t="s">
        <v>9</v>
      </c>
    </row>
    <row r="52" spans="2:7" s="25" customFormat="1" hidden="1" x14ac:dyDescent="0.25">
      <c r="B52" s="10">
        <f t="shared" si="0"/>
        <v>50</v>
      </c>
      <c r="C52" s="39">
        <v>45490</v>
      </c>
      <c r="D52" s="27" t="s">
        <v>88</v>
      </c>
      <c r="E52" s="18" t="s">
        <v>91</v>
      </c>
      <c r="F52" s="28" t="s">
        <v>18</v>
      </c>
      <c r="G52" s="41" t="s">
        <v>9</v>
      </c>
    </row>
    <row r="53" spans="2:7" s="25" customFormat="1" hidden="1" x14ac:dyDescent="0.25">
      <c r="B53" s="10">
        <f t="shared" si="0"/>
        <v>51</v>
      </c>
      <c r="C53" s="11">
        <v>45483</v>
      </c>
      <c r="D53" s="12" t="s">
        <v>92</v>
      </c>
      <c r="E53" s="13" t="s">
        <v>93</v>
      </c>
      <c r="F53" s="14" t="s">
        <v>8</v>
      </c>
      <c r="G53" s="24" t="s">
        <v>9</v>
      </c>
    </row>
    <row r="54" spans="2:7" s="25" customFormat="1" hidden="1" x14ac:dyDescent="0.25">
      <c r="B54" s="10">
        <f t="shared" si="0"/>
        <v>52</v>
      </c>
      <c r="C54" s="44">
        <v>45483</v>
      </c>
      <c r="D54" s="45" t="s">
        <v>92</v>
      </c>
      <c r="E54" s="46" t="s">
        <v>94</v>
      </c>
      <c r="F54" s="36" t="s">
        <v>16</v>
      </c>
      <c r="G54" s="53" t="s">
        <v>9</v>
      </c>
    </row>
    <row r="55" spans="2:7" s="25" customFormat="1" hidden="1" x14ac:dyDescent="0.25">
      <c r="B55" s="10">
        <f t="shared" si="0"/>
        <v>53</v>
      </c>
      <c r="C55" s="51">
        <v>45496</v>
      </c>
      <c r="D55" s="52" t="s">
        <v>92</v>
      </c>
      <c r="E55" s="48" t="s">
        <v>95</v>
      </c>
      <c r="F55" s="14" t="s">
        <v>8</v>
      </c>
      <c r="G55" s="38" t="s">
        <v>9</v>
      </c>
    </row>
    <row r="56" spans="2:7" s="25" customFormat="1" hidden="1" x14ac:dyDescent="0.25">
      <c r="B56" s="10">
        <f t="shared" si="0"/>
        <v>54</v>
      </c>
      <c r="C56" s="51">
        <v>45517</v>
      </c>
      <c r="D56" s="52" t="s">
        <v>53</v>
      </c>
      <c r="E56" s="48" t="s">
        <v>96</v>
      </c>
      <c r="F56" s="14" t="s">
        <v>22</v>
      </c>
      <c r="G56" s="38" t="s">
        <v>9</v>
      </c>
    </row>
    <row r="57" spans="2:7" hidden="1" x14ac:dyDescent="0.25">
      <c r="B57" s="10">
        <f t="shared" si="0"/>
        <v>55</v>
      </c>
      <c r="C57" s="21">
        <v>45517</v>
      </c>
      <c r="D57" s="18" t="s">
        <v>97</v>
      </c>
      <c r="E57" s="22" t="s">
        <v>98</v>
      </c>
      <c r="F57" s="19" t="s">
        <v>8</v>
      </c>
      <c r="G57" s="23" t="s">
        <v>9</v>
      </c>
    </row>
    <row r="58" spans="2:7" s="25" customFormat="1" ht="30" hidden="1" x14ac:dyDescent="0.25">
      <c r="B58" s="10">
        <f t="shared" si="0"/>
        <v>56</v>
      </c>
      <c r="C58" s="51">
        <v>45517</v>
      </c>
      <c r="D58" s="52" t="s">
        <v>77</v>
      </c>
      <c r="E58" s="48" t="s">
        <v>99</v>
      </c>
      <c r="F58" s="14" t="s">
        <v>22</v>
      </c>
      <c r="G58" s="38" t="s">
        <v>9</v>
      </c>
    </row>
    <row r="59" spans="2:7" s="25" customFormat="1" hidden="1" x14ac:dyDescent="0.25">
      <c r="B59" s="10">
        <f t="shared" si="0"/>
        <v>57</v>
      </c>
      <c r="C59" s="51">
        <v>45517</v>
      </c>
      <c r="D59" s="52" t="s">
        <v>100</v>
      </c>
      <c r="E59" s="48" t="s">
        <v>101</v>
      </c>
      <c r="F59" s="14" t="s">
        <v>8</v>
      </c>
      <c r="G59" s="38" t="s">
        <v>9</v>
      </c>
    </row>
    <row r="60" spans="2:7" hidden="1" x14ac:dyDescent="0.25">
      <c r="B60" s="10">
        <f t="shared" si="0"/>
        <v>58</v>
      </c>
      <c r="C60" s="21">
        <v>45531</v>
      </c>
      <c r="D60" s="22" t="s">
        <v>102</v>
      </c>
      <c r="E60" s="22" t="s">
        <v>103</v>
      </c>
      <c r="F60" s="19" t="s">
        <v>8</v>
      </c>
      <c r="G60" s="23" t="s">
        <v>9</v>
      </c>
    </row>
    <row r="61" spans="2:7" hidden="1" x14ac:dyDescent="0.25">
      <c r="B61" s="10">
        <f t="shared" si="0"/>
        <v>59</v>
      </c>
      <c r="C61" s="21">
        <v>45544</v>
      </c>
      <c r="D61" s="18" t="s">
        <v>92</v>
      </c>
      <c r="E61" s="22" t="s">
        <v>104</v>
      </c>
      <c r="F61" s="19" t="s">
        <v>28</v>
      </c>
      <c r="G61" s="23" t="s">
        <v>9</v>
      </c>
    </row>
    <row r="62" spans="2:7" hidden="1" x14ac:dyDescent="0.25">
      <c r="B62" s="10">
        <f t="shared" si="0"/>
        <v>60</v>
      </c>
      <c r="C62" s="47">
        <v>45544</v>
      </c>
      <c r="D62" s="48" t="s">
        <v>53</v>
      </c>
      <c r="E62" s="48" t="s">
        <v>105</v>
      </c>
      <c r="F62" s="49" t="s">
        <v>106</v>
      </c>
      <c r="G62" s="50" t="s">
        <v>9</v>
      </c>
    </row>
    <row r="63" spans="2:7" ht="30" hidden="1" x14ac:dyDescent="0.25">
      <c r="B63" s="10">
        <f t="shared" si="0"/>
        <v>61</v>
      </c>
      <c r="C63" s="21">
        <v>45559</v>
      </c>
      <c r="D63" s="22" t="s">
        <v>53</v>
      </c>
      <c r="E63" s="22" t="s">
        <v>107</v>
      </c>
      <c r="F63" s="19" t="s">
        <v>8</v>
      </c>
      <c r="G63" s="23" t="s">
        <v>9</v>
      </c>
    </row>
    <row r="64" spans="2:7" hidden="1" x14ac:dyDescent="0.25">
      <c r="B64" s="10">
        <f t="shared" si="0"/>
        <v>62</v>
      </c>
      <c r="C64" s="47">
        <v>45573</v>
      </c>
      <c r="D64" s="48" t="s">
        <v>108</v>
      </c>
      <c r="E64" s="48" t="s">
        <v>109</v>
      </c>
      <c r="F64" s="49" t="s">
        <v>8</v>
      </c>
      <c r="G64" s="50" t="s">
        <v>9</v>
      </c>
    </row>
    <row r="65" spans="2:7" hidden="1" x14ac:dyDescent="0.25">
      <c r="B65" s="10">
        <f t="shared" si="0"/>
        <v>63</v>
      </c>
      <c r="C65" s="21">
        <v>45573</v>
      </c>
      <c r="D65" s="18" t="s">
        <v>110</v>
      </c>
      <c r="E65" s="22" t="s">
        <v>111</v>
      </c>
      <c r="F65" s="19" t="s">
        <v>112</v>
      </c>
      <c r="G65" s="23" t="s">
        <v>9</v>
      </c>
    </row>
    <row r="66" spans="2:7" hidden="1" x14ac:dyDescent="0.25">
      <c r="B66" s="10">
        <f t="shared" si="0"/>
        <v>64</v>
      </c>
      <c r="C66" s="21">
        <v>45576</v>
      </c>
      <c r="D66" s="22" t="s">
        <v>113</v>
      </c>
      <c r="E66" s="22" t="s">
        <v>114</v>
      </c>
      <c r="F66" s="19" t="s">
        <v>28</v>
      </c>
      <c r="G66" s="23" t="s">
        <v>9</v>
      </c>
    </row>
    <row r="67" spans="2:7" hidden="1" x14ac:dyDescent="0.25">
      <c r="B67" s="10">
        <f t="shared" si="0"/>
        <v>65</v>
      </c>
      <c r="C67" s="21">
        <v>45576</v>
      </c>
      <c r="D67" s="22" t="s">
        <v>53</v>
      </c>
      <c r="E67" s="22" t="s">
        <v>115</v>
      </c>
      <c r="F67" s="19" t="s">
        <v>8</v>
      </c>
      <c r="G67" s="23" t="s">
        <v>9</v>
      </c>
    </row>
    <row r="68" spans="2:7" hidden="1" x14ac:dyDescent="0.25">
      <c r="B68" s="10">
        <f t="shared" si="0"/>
        <v>66</v>
      </c>
      <c r="C68" s="21">
        <v>45594</v>
      </c>
      <c r="D68" s="18" t="s">
        <v>116</v>
      </c>
      <c r="E68" s="22" t="s">
        <v>117</v>
      </c>
      <c r="F68" s="19" t="s">
        <v>16</v>
      </c>
      <c r="G68" s="23" t="s">
        <v>9</v>
      </c>
    </row>
    <row r="69" spans="2:7" ht="30" hidden="1" x14ac:dyDescent="0.25">
      <c r="B69" s="10">
        <f t="shared" ref="B69:B132" si="1">+IF(C69&lt;&gt;"",B68+1,"")</f>
        <v>67</v>
      </c>
      <c r="C69" s="21">
        <v>45594</v>
      </c>
      <c r="D69" s="18" t="s">
        <v>118</v>
      </c>
      <c r="E69" s="22" t="s">
        <v>119</v>
      </c>
      <c r="F69" s="19" t="s">
        <v>120</v>
      </c>
      <c r="G69" s="23" t="s">
        <v>9</v>
      </c>
    </row>
    <row r="70" spans="2:7" ht="30" hidden="1" x14ac:dyDescent="0.25">
      <c r="B70" s="10">
        <f t="shared" si="1"/>
        <v>68</v>
      </c>
      <c r="C70" s="21">
        <v>45601</v>
      </c>
      <c r="D70" s="18" t="s">
        <v>121</v>
      </c>
      <c r="E70" s="22" t="s">
        <v>122</v>
      </c>
      <c r="F70" s="19" t="s">
        <v>123</v>
      </c>
      <c r="G70" s="23" t="s">
        <v>9</v>
      </c>
    </row>
    <row r="71" spans="2:7" ht="30" hidden="1" x14ac:dyDescent="0.25">
      <c r="B71" s="10">
        <f t="shared" si="1"/>
        <v>69</v>
      </c>
      <c r="C71" s="21">
        <v>45601</v>
      </c>
      <c r="D71" s="18" t="s">
        <v>121</v>
      </c>
      <c r="E71" s="22" t="s">
        <v>124</v>
      </c>
      <c r="F71" s="19" t="s">
        <v>125</v>
      </c>
      <c r="G71" s="23" t="s">
        <v>9</v>
      </c>
    </row>
    <row r="72" spans="2:7" ht="30" hidden="1" x14ac:dyDescent="0.25">
      <c r="B72" s="10">
        <f t="shared" si="1"/>
        <v>70</v>
      </c>
      <c r="C72" s="21">
        <v>45601</v>
      </c>
      <c r="D72" s="18" t="s">
        <v>126</v>
      </c>
      <c r="E72" s="22" t="s">
        <v>127</v>
      </c>
      <c r="F72" s="19" t="s">
        <v>22</v>
      </c>
      <c r="G72" s="23" t="s">
        <v>9</v>
      </c>
    </row>
    <row r="73" spans="2:7" ht="30" hidden="1" x14ac:dyDescent="0.25">
      <c r="B73" s="10">
        <f t="shared" si="1"/>
        <v>71</v>
      </c>
      <c r="C73" s="21">
        <v>45601</v>
      </c>
      <c r="D73" s="18" t="s">
        <v>126</v>
      </c>
      <c r="E73" s="22" t="s">
        <v>128</v>
      </c>
      <c r="F73" s="19" t="s">
        <v>33</v>
      </c>
      <c r="G73" s="23" t="s">
        <v>9</v>
      </c>
    </row>
    <row r="74" spans="2:7" hidden="1" x14ac:dyDescent="0.25">
      <c r="B74" s="10">
        <f t="shared" si="1"/>
        <v>72</v>
      </c>
      <c r="C74" s="21">
        <v>45601</v>
      </c>
      <c r="D74" s="22" t="s">
        <v>126</v>
      </c>
      <c r="E74" s="22" t="s">
        <v>129</v>
      </c>
      <c r="F74" s="19" t="s">
        <v>8</v>
      </c>
      <c r="G74" s="23" t="s">
        <v>9</v>
      </c>
    </row>
    <row r="75" spans="2:7" hidden="1" x14ac:dyDescent="0.25">
      <c r="B75" s="10">
        <f t="shared" si="1"/>
        <v>73</v>
      </c>
      <c r="C75" s="21">
        <v>45727</v>
      </c>
      <c r="D75" s="22" t="s">
        <v>130</v>
      </c>
      <c r="E75" s="22" t="s">
        <v>131</v>
      </c>
      <c r="F75" s="19" t="s">
        <v>8</v>
      </c>
      <c r="G75" s="23" t="s">
        <v>9</v>
      </c>
    </row>
    <row r="76" spans="2:7" hidden="1" x14ac:dyDescent="0.25">
      <c r="B76" s="10">
        <f t="shared" si="1"/>
        <v>74</v>
      </c>
      <c r="C76" s="21">
        <v>45622</v>
      </c>
      <c r="D76" s="18" t="s">
        <v>132</v>
      </c>
      <c r="E76" s="22" t="s">
        <v>133</v>
      </c>
      <c r="F76" s="54" t="s">
        <v>22</v>
      </c>
      <c r="G76" s="23" t="s">
        <v>9</v>
      </c>
    </row>
    <row r="77" spans="2:7" hidden="1" x14ac:dyDescent="0.25">
      <c r="B77" s="10">
        <f t="shared" si="1"/>
        <v>75</v>
      </c>
      <c r="C77" s="21">
        <v>45622</v>
      </c>
      <c r="D77" s="18" t="s">
        <v>134</v>
      </c>
      <c r="E77" s="22" t="s">
        <v>135</v>
      </c>
      <c r="F77" s="19" t="s">
        <v>22</v>
      </c>
      <c r="G77" s="23" t="s">
        <v>9</v>
      </c>
    </row>
    <row r="78" spans="2:7" hidden="1" x14ac:dyDescent="0.25">
      <c r="B78" s="10">
        <f t="shared" si="1"/>
        <v>76</v>
      </c>
      <c r="C78" s="21">
        <v>45622</v>
      </c>
      <c r="D78" s="18" t="s">
        <v>136</v>
      </c>
      <c r="E78" s="22" t="s">
        <v>137</v>
      </c>
      <c r="F78" s="19" t="s">
        <v>16</v>
      </c>
      <c r="G78" s="23" t="s">
        <v>9</v>
      </c>
    </row>
    <row r="79" spans="2:7" hidden="1" x14ac:dyDescent="0.25">
      <c r="B79" s="10">
        <f t="shared" si="1"/>
        <v>77</v>
      </c>
      <c r="C79" s="21">
        <v>45630</v>
      </c>
      <c r="D79" s="18" t="s">
        <v>138</v>
      </c>
      <c r="E79" s="22" t="s">
        <v>139</v>
      </c>
      <c r="F79" s="19"/>
      <c r="G79" s="23" t="s">
        <v>9</v>
      </c>
    </row>
    <row r="80" spans="2:7" hidden="1" x14ac:dyDescent="0.25">
      <c r="B80" s="10">
        <f t="shared" si="1"/>
        <v>78</v>
      </c>
      <c r="C80" s="21">
        <v>45630</v>
      </c>
      <c r="D80" s="18" t="s">
        <v>31</v>
      </c>
      <c r="E80" s="22" t="s">
        <v>140</v>
      </c>
      <c r="F80" s="19" t="s">
        <v>8</v>
      </c>
      <c r="G80" s="23" t="s">
        <v>9</v>
      </c>
    </row>
    <row r="81" spans="2:7" hidden="1" x14ac:dyDescent="0.25">
      <c r="B81" s="10">
        <f t="shared" si="1"/>
        <v>79</v>
      </c>
      <c r="C81" s="21">
        <v>45666</v>
      </c>
      <c r="D81" s="18" t="s">
        <v>141</v>
      </c>
      <c r="E81" s="22" t="s">
        <v>142</v>
      </c>
      <c r="F81" s="19" t="s">
        <v>8</v>
      </c>
      <c r="G81" s="23" t="s">
        <v>9</v>
      </c>
    </row>
    <row r="82" spans="2:7" hidden="1" x14ac:dyDescent="0.25">
      <c r="B82" s="10">
        <f t="shared" si="1"/>
        <v>80</v>
      </c>
      <c r="C82" s="21">
        <v>45674</v>
      </c>
      <c r="D82" s="18" t="s">
        <v>143</v>
      </c>
      <c r="E82" s="22" t="s">
        <v>144</v>
      </c>
      <c r="F82" s="19" t="s">
        <v>22</v>
      </c>
      <c r="G82" s="23" t="s">
        <v>9</v>
      </c>
    </row>
    <row r="83" spans="2:7" ht="30" hidden="1" x14ac:dyDescent="0.25">
      <c r="B83" s="10">
        <f t="shared" si="1"/>
        <v>81</v>
      </c>
      <c r="C83" s="21">
        <v>45772</v>
      </c>
      <c r="D83" s="18" t="s">
        <v>92</v>
      </c>
      <c r="E83" s="22" t="s">
        <v>145</v>
      </c>
      <c r="F83" s="19"/>
      <c r="G83" s="23" t="s">
        <v>9</v>
      </c>
    </row>
    <row r="84" spans="2:7" hidden="1" x14ac:dyDescent="0.25">
      <c r="B84" s="10">
        <f t="shared" si="1"/>
        <v>82</v>
      </c>
      <c r="C84" s="21">
        <v>45867</v>
      </c>
      <c r="D84" s="18" t="s">
        <v>143</v>
      </c>
      <c r="E84" s="55" t="s">
        <v>146</v>
      </c>
      <c r="F84" s="19" t="s">
        <v>125</v>
      </c>
      <c r="G84" s="23" t="s">
        <v>9</v>
      </c>
    </row>
    <row r="85" spans="2:7" hidden="1" x14ac:dyDescent="0.25">
      <c r="B85" s="10">
        <f t="shared" si="1"/>
        <v>83</v>
      </c>
      <c r="C85" s="21">
        <v>45678</v>
      </c>
      <c r="D85" s="18" t="s">
        <v>147</v>
      </c>
      <c r="E85" s="22" t="s">
        <v>148</v>
      </c>
      <c r="F85" s="19" t="s">
        <v>8</v>
      </c>
      <c r="G85" s="23" t="s">
        <v>9</v>
      </c>
    </row>
    <row r="86" spans="2:7" hidden="1" x14ac:dyDescent="0.25">
      <c r="B86" s="10">
        <f t="shared" si="1"/>
        <v>84</v>
      </c>
      <c r="C86" s="21">
        <v>45678</v>
      </c>
      <c r="D86" s="18" t="s">
        <v>149</v>
      </c>
      <c r="E86" s="22" t="s">
        <v>150</v>
      </c>
      <c r="F86" s="19" t="s">
        <v>8</v>
      </c>
      <c r="G86" s="23" t="s">
        <v>9</v>
      </c>
    </row>
    <row r="87" spans="2:7" hidden="1" x14ac:dyDescent="0.25">
      <c r="B87" s="10">
        <f t="shared" si="1"/>
        <v>85</v>
      </c>
      <c r="C87" s="21">
        <v>45678</v>
      </c>
      <c r="D87" s="18" t="s">
        <v>151</v>
      </c>
      <c r="E87" s="22" t="s">
        <v>152</v>
      </c>
      <c r="F87" s="56" t="s">
        <v>8</v>
      </c>
      <c r="G87" s="23" t="s">
        <v>9</v>
      </c>
    </row>
    <row r="88" spans="2:7" hidden="1" x14ac:dyDescent="0.25">
      <c r="B88" s="10">
        <f t="shared" si="1"/>
        <v>86</v>
      </c>
      <c r="C88" s="21">
        <v>45678</v>
      </c>
      <c r="D88" s="18" t="s">
        <v>153</v>
      </c>
      <c r="E88" s="22" t="s">
        <v>154</v>
      </c>
      <c r="F88" s="19" t="s">
        <v>22</v>
      </c>
      <c r="G88" s="23" t="s">
        <v>9</v>
      </c>
    </row>
    <row r="89" spans="2:7" hidden="1" x14ac:dyDescent="0.25">
      <c r="B89" s="10">
        <f t="shared" si="1"/>
        <v>87</v>
      </c>
      <c r="C89" s="21">
        <v>45678</v>
      </c>
      <c r="D89" s="18" t="s">
        <v>153</v>
      </c>
      <c r="E89" s="22" t="s">
        <v>155</v>
      </c>
      <c r="F89" s="19" t="s">
        <v>22</v>
      </c>
      <c r="G89" s="23" t="s">
        <v>9</v>
      </c>
    </row>
    <row r="90" spans="2:7" hidden="1" x14ac:dyDescent="0.25">
      <c r="B90" s="10">
        <f t="shared" si="1"/>
        <v>88</v>
      </c>
      <c r="C90" s="21">
        <v>45698</v>
      </c>
      <c r="D90" s="18" t="s">
        <v>156</v>
      </c>
      <c r="E90" s="22" t="s">
        <v>157</v>
      </c>
      <c r="F90" s="19" t="s">
        <v>8</v>
      </c>
      <c r="G90" s="23" t="s">
        <v>9</v>
      </c>
    </row>
    <row r="91" spans="2:7" ht="30" hidden="1" x14ac:dyDescent="0.25">
      <c r="B91" s="10">
        <f t="shared" si="1"/>
        <v>89</v>
      </c>
      <c r="C91" s="21">
        <v>45727</v>
      </c>
      <c r="D91" s="18"/>
      <c r="E91" s="22" t="s">
        <v>158</v>
      </c>
      <c r="F91" s="19" t="s">
        <v>120</v>
      </c>
      <c r="G91" s="23" t="s">
        <v>9</v>
      </c>
    </row>
    <row r="92" spans="2:7" hidden="1" x14ac:dyDescent="0.25">
      <c r="B92" s="10">
        <f t="shared" si="1"/>
        <v>90</v>
      </c>
      <c r="C92" s="21">
        <v>45727</v>
      </c>
      <c r="D92" s="18"/>
      <c r="E92" s="22" t="s">
        <v>159</v>
      </c>
      <c r="F92" s="19" t="s">
        <v>160</v>
      </c>
      <c r="G92" s="23" t="s">
        <v>9</v>
      </c>
    </row>
    <row r="93" spans="2:7" hidden="1" x14ac:dyDescent="0.25">
      <c r="B93" s="10">
        <f t="shared" si="1"/>
        <v>91</v>
      </c>
      <c r="C93" s="21">
        <v>45727</v>
      </c>
      <c r="D93" s="18"/>
      <c r="E93" s="22" t="s">
        <v>161</v>
      </c>
      <c r="F93" s="19" t="s">
        <v>22</v>
      </c>
      <c r="G93" s="23" t="s">
        <v>9</v>
      </c>
    </row>
    <row r="94" spans="2:7" hidden="1" x14ac:dyDescent="0.25">
      <c r="B94" s="10">
        <f t="shared" si="1"/>
        <v>92</v>
      </c>
      <c r="C94" s="21">
        <v>45727</v>
      </c>
      <c r="D94" s="18"/>
      <c r="E94" s="22" t="s">
        <v>162</v>
      </c>
      <c r="F94" s="19" t="s">
        <v>8</v>
      </c>
      <c r="G94" s="23" t="s">
        <v>9</v>
      </c>
    </row>
    <row r="95" spans="2:7" hidden="1" x14ac:dyDescent="0.25">
      <c r="B95" s="10">
        <f t="shared" si="1"/>
        <v>93</v>
      </c>
      <c r="C95" s="21">
        <v>45727</v>
      </c>
      <c r="D95" s="18"/>
      <c r="E95" s="22" t="s">
        <v>163</v>
      </c>
      <c r="F95" s="19" t="s">
        <v>8</v>
      </c>
      <c r="G95" s="23" t="s">
        <v>9</v>
      </c>
    </row>
    <row r="96" spans="2:7" hidden="1" x14ac:dyDescent="0.25">
      <c r="B96" s="10">
        <f t="shared" si="1"/>
        <v>94</v>
      </c>
      <c r="C96" s="21">
        <v>45727</v>
      </c>
      <c r="D96" s="18"/>
      <c r="E96" s="22" t="s">
        <v>164</v>
      </c>
      <c r="F96" s="19" t="s">
        <v>16</v>
      </c>
      <c r="G96" s="23" t="s">
        <v>9</v>
      </c>
    </row>
    <row r="97" spans="2:7" hidden="1" x14ac:dyDescent="0.25">
      <c r="B97" s="10">
        <f t="shared" si="1"/>
        <v>95</v>
      </c>
      <c r="C97" s="21">
        <v>45727</v>
      </c>
      <c r="D97" s="18"/>
      <c r="E97" s="22" t="s">
        <v>165</v>
      </c>
      <c r="F97" s="19" t="s">
        <v>22</v>
      </c>
      <c r="G97" s="23" t="s">
        <v>9</v>
      </c>
    </row>
    <row r="98" spans="2:7" hidden="1" x14ac:dyDescent="0.25">
      <c r="B98" s="10">
        <f t="shared" si="1"/>
        <v>96</v>
      </c>
      <c r="C98" s="21">
        <v>45727</v>
      </c>
      <c r="D98" s="18"/>
      <c r="E98" s="22" t="s">
        <v>166</v>
      </c>
      <c r="F98" s="19" t="s">
        <v>8</v>
      </c>
      <c r="G98" s="23" t="s">
        <v>9</v>
      </c>
    </row>
    <row r="99" spans="2:7" hidden="1" x14ac:dyDescent="0.25">
      <c r="B99" s="10">
        <f t="shared" si="1"/>
        <v>97</v>
      </c>
      <c r="C99" s="21">
        <v>45727</v>
      </c>
      <c r="D99" s="22"/>
      <c r="E99" s="57" t="s">
        <v>167</v>
      </c>
      <c r="F99" s="23" t="s">
        <v>8</v>
      </c>
      <c r="G99" s="23" t="s">
        <v>9</v>
      </c>
    </row>
    <row r="100" spans="2:7" hidden="1" x14ac:dyDescent="0.25">
      <c r="B100" s="10">
        <f t="shared" si="1"/>
        <v>98</v>
      </c>
      <c r="C100" s="21">
        <v>45735</v>
      </c>
      <c r="D100" s="22"/>
      <c r="E100" s="18" t="s">
        <v>168</v>
      </c>
      <c r="F100" s="23" t="s">
        <v>8</v>
      </c>
      <c r="G100" s="23" t="s">
        <v>9</v>
      </c>
    </row>
    <row r="101" spans="2:7" hidden="1" x14ac:dyDescent="0.25">
      <c r="B101" s="10">
        <f t="shared" si="1"/>
        <v>99</v>
      </c>
      <c r="C101" s="21">
        <v>45735</v>
      </c>
      <c r="D101" s="22"/>
      <c r="E101" s="57" t="s">
        <v>169</v>
      </c>
      <c r="F101" s="23" t="s">
        <v>8</v>
      </c>
      <c r="G101" s="23" t="s">
        <v>9</v>
      </c>
    </row>
    <row r="102" spans="2:7" hidden="1" x14ac:dyDescent="0.25">
      <c r="B102" s="10">
        <f t="shared" si="1"/>
        <v>100</v>
      </c>
      <c r="C102" s="21">
        <v>45735</v>
      </c>
      <c r="D102" s="22"/>
      <c r="E102" s="57" t="s">
        <v>170</v>
      </c>
      <c r="F102" s="23" t="s">
        <v>8</v>
      </c>
      <c r="G102" s="23" t="s">
        <v>9</v>
      </c>
    </row>
    <row r="103" spans="2:7" hidden="1" x14ac:dyDescent="0.25">
      <c r="B103" s="10">
        <f t="shared" si="1"/>
        <v>101</v>
      </c>
      <c r="C103" s="21">
        <v>45735</v>
      </c>
      <c r="D103" s="22"/>
      <c r="E103" s="57" t="s">
        <v>171</v>
      </c>
      <c r="F103" s="23" t="s">
        <v>22</v>
      </c>
      <c r="G103" s="23" t="s">
        <v>9</v>
      </c>
    </row>
    <row r="104" spans="2:7" hidden="1" x14ac:dyDescent="0.25">
      <c r="B104" s="10">
        <f t="shared" si="1"/>
        <v>102</v>
      </c>
      <c r="C104" s="21">
        <v>45735</v>
      </c>
      <c r="D104" s="22"/>
      <c r="E104" s="57" t="s">
        <v>172</v>
      </c>
      <c r="F104" s="23" t="s">
        <v>8</v>
      </c>
      <c r="G104" s="23" t="s">
        <v>9</v>
      </c>
    </row>
    <row r="105" spans="2:7" hidden="1" x14ac:dyDescent="0.25">
      <c r="B105" s="10">
        <f t="shared" si="1"/>
        <v>103</v>
      </c>
      <c r="C105" s="21">
        <v>45735</v>
      </c>
      <c r="D105" s="22"/>
      <c r="E105" s="57" t="s">
        <v>173</v>
      </c>
      <c r="F105" s="23" t="s">
        <v>18</v>
      </c>
      <c r="G105" s="23" t="s">
        <v>9</v>
      </c>
    </row>
    <row r="106" spans="2:7" hidden="1" x14ac:dyDescent="0.25">
      <c r="B106" s="10">
        <f t="shared" si="1"/>
        <v>104</v>
      </c>
      <c r="C106" s="21">
        <v>45735</v>
      </c>
      <c r="E106" s="22" t="s">
        <v>174</v>
      </c>
      <c r="F106" s="19" t="s">
        <v>8</v>
      </c>
      <c r="G106" s="23" t="s">
        <v>9</v>
      </c>
    </row>
    <row r="107" spans="2:7" hidden="1" x14ac:dyDescent="0.25">
      <c r="B107" s="10">
        <f t="shared" si="1"/>
        <v>105</v>
      </c>
      <c r="C107" s="21">
        <v>45740</v>
      </c>
      <c r="E107" s="22" t="s">
        <v>175</v>
      </c>
      <c r="F107" s="19" t="s">
        <v>22</v>
      </c>
      <c r="G107" s="23" t="s">
        <v>9</v>
      </c>
    </row>
    <row r="108" spans="2:7" hidden="1" x14ac:dyDescent="0.25">
      <c r="B108" s="10">
        <f t="shared" si="1"/>
        <v>106</v>
      </c>
      <c r="C108" s="21">
        <v>45740</v>
      </c>
      <c r="E108" s="22" t="s">
        <v>176</v>
      </c>
      <c r="F108" s="19" t="s">
        <v>16</v>
      </c>
      <c r="G108" s="23" t="s">
        <v>9</v>
      </c>
    </row>
    <row r="109" spans="2:7" hidden="1" x14ac:dyDescent="0.25">
      <c r="B109" s="10">
        <f t="shared" si="1"/>
        <v>107</v>
      </c>
      <c r="C109" s="21">
        <v>45740</v>
      </c>
      <c r="E109" s="22" t="s">
        <v>177</v>
      </c>
      <c r="F109" s="19" t="s">
        <v>8</v>
      </c>
      <c r="G109" s="23" t="s">
        <v>9</v>
      </c>
    </row>
    <row r="110" spans="2:7" hidden="1" x14ac:dyDescent="0.25">
      <c r="B110" s="10">
        <f t="shared" si="1"/>
        <v>108</v>
      </c>
      <c r="C110" s="21">
        <v>45748</v>
      </c>
      <c r="E110" s="22" t="s">
        <v>178</v>
      </c>
      <c r="F110" s="19" t="s">
        <v>8</v>
      </c>
      <c r="G110" s="23" t="s">
        <v>9</v>
      </c>
    </row>
    <row r="111" spans="2:7" hidden="1" x14ac:dyDescent="0.25">
      <c r="B111" s="10">
        <f t="shared" si="1"/>
        <v>109</v>
      </c>
      <c r="C111" s="21">
        <v>45748</v>
      </c>
      <c r="E111" s="22" t="s">
        <v>179</v>
      </c>
      <c r="F111" s="19" t="s">
        <v>16</v>
      </c>
      <c r="G111" s="23" t="s">
        <v>9</v>
      </c>
    </row>
    <row r="112" spans="2:7" hidden="1" x14ac:dyDescent="0.25">
      <c r="B112" s="10">
        <f t="shared" si="1"/>
        <v>110</v>
      </c>
      <c r="C112" s="21">
        <v>45748</v>
      </c>
      <c r="E112" s="22" t="s">
        <v>180</v>
      </c>
      <c r="F112" s="19" t="s">
        <v>22</v>
      </c>
      <c r="G112" s="23" t="s">
        <v>9</v>
      </c>
    </row>
    <row r="113" spans="2:7" hidden="1" x14ac:dyDescent="0.25">
      <c r="B113" s="10">
        <f t="shared" si="1"/>
        <v>111</v>
      </c>
      <c r="C113" s="21">
        <v>45748</v>
      </c>
      <c r="E113" s="22" t="s">
        <v>181</v>
      </c>
      <c r="F113" s="19" t="s">
        <v>8</v>
      </c>
      <c r="G113" s="23" t="s">
        <v>9</v>
      </c>
    </row>
    <row r="114" spans="2:7" ht="30" hidden="1" x14ac:dyDescent="0.25">
      <c r="B114" s="10">
        <f t="shared" si="1"/>
        <v>112</v>
      </c>
      <c r="C114" s="21">
        <v>45748</v>
      </c>
      <c r="E114" s="22" t="s">
        <v>182</v>
      </c>
      <c r="F114" s="19" t="s">
        <v>8</v>
      </c>
      <c r="G114" s="23" t="s">
        <v>9</v>
      </c>
    </row>
    <row r="115" spans="2:7" hidden="1" x14ac:dyDescent="0.25">
      <c r="B115" s="10">
        <f t="shared" si="1"/>
        <v>113</v>
      </c>
      <c r="C115" s="21">
        <v>45748</v>
      </c>
      <c r="E115" s="22" t="s">
        <v>183</v>
      </c>
      <c r="F115" s="19" t="s">
        <v>18</v>
      </c>
      <c r="G115" s="23" t="s">
        <v>9</v>
      </c>
    </row>
    <row r="116" spans="2:7" hidden="1" x14ac:dyDescent="0.25">
      <c r="B116" s="10">
        <f t="shared" si="1"/>
        <v>114</v>
      </c>
      <c r="C116" s="21">
        <v>45748</v>
      </c>
      <c r="E116" s="22" t="s">
        <v>184</v>
      </c>
      <c r="F116" s="19" t="s">
        <v>8</v>
      </c>
      <c r="G116" s="23" t="s">
        <v>9</v>
      </c>
    </row>
    <row r="117" spans="2:7" hidden="1" x14ac:dyDescent="0.25">
      <c r="B117" s="10">
        <f t="shared" si="1"/>
        <v>115</v>
      </c>
      <c r="C117" s="21">
        <v>45748</v>
      </c>
      <c r="E117" s="22" t="s">
        <v>185</v>
      </c>
      <c r="F117" s="19" t="s">
        <v>12</v>
      </c>
      <c r="G117" s="23" t="s">
        <v>9</v>
      </c>
    </row>
    <row r="118" spans="2:7" hidden="1" x14ac:dyDescent="0.25">
      <c r="B118" s="10">
        <f t="shared" si="1"/>
        <v>116</v>
      </c>
      <c r="C118" s="21">
        <v>45748</v>
      </c>
      <c r="E118" s="22" t="s">
        <v>186</v>
      </c>
      <c r="F118" s="19" t="s">
        <v>22</v>
      </c>
      <c r="G118" s="23" t="s">
        <v>9</v>
      </c>
    </row>
    <row r="119" spans="2:7" hidden="1" x14ac:dyDescent="0.25">
      <c r="B119" s="10">
        <f t="shared" si="1"/>
        <v>117</v>
      </c>
      <c r="C119" s="21">
        <v>45748</v>
      </c>
      <c r="E119" s="22" t="s">
        <v>187</v>
      </c>
      <c r="F119" s="19" t="s">
        <v>8</v>
      </c>
      <c r="G119" s="23" t="s">
        <v>9</v>
      </c>
    </row>
    <row r="120" spans="2:7" hidden="1" x14ac:dyDescent="0.25">
      <c r="B120" s="10">
        <f t="shared" si="1"/>
        <v>118</v>
      </c>
      <c r="C120" s="21">
        <v>45755</v>
      </c>
      <c r="D120" s="22"/>
      <c r="E120" s="57" t="s">
        <v>188</v>
      </c>
      <c r="F120" s="23" t="s">
        <v>8</v>
      </c>
      <c r="G120" s="23" t="s">
        <v>9</v>
      </c>
    </row>
    <row r="121" spans="2:7" hidden="1" x14ac:dyDescent="0.25">
      <c r="B121" s="10">
        <f t="shared" si="1"/>
        <v>119</v>
      </c>
      <c r="C121" s="21">
        <v>45755</v>
      </c>
      <c r="D121" s="22"/>
      <c r="E121" s="57" t="s">
        <v>189</v>
      </c>
      <c r="F121" s="23" t="s">
        <v>22</v>
      </c>
      <c r="G121" s="23" t="s">
        <v>9</v>
      </c>
    </row>
    <row r="122" spans="2:7" hidden="1" x14ac:dyDescent="0.25">
      <c r="B122" s="10">
        <f t="shared" si="1"/>
        <v>120</v>
      </c>
      <c r="C122" s="21">
        <v>45755</v>
      </c>
      <c r="D122" s="22"/>
      <c r="E122" s="57" t="s">
        <v>190</v>
      </c>
      <c r="F122" s="23" t="s">
        <v>8</v>
      </c>
      <c r="G122" s="23" t="s">
        <v>9</v>
      </c>
    </row>
    <row r="123" spans="2:7" hidden="1" x14ac:dyDescent="0.25">
      <c r="B123" s="10">
        <f t="shared" si="1"/>
        <v>121</v>
      </c>
      <c r="C123" s="21">
        <v>45755</v>
      </c>
      <c r="D123" s="22"/>
      <c r="E123" s="57" t="s">
        <v>191</v>
      </c>
      <c r="F123" s="23" t="s">
        <v>16</v>
      </c>
      <c r="G123" s="23" t="s">
        <v>9</v>
      </c>
    </row>
    <row r="124" spans="2:7" hidden="1" x14ac:dyDescent="0.25">
      <c r="B124" s="10">
        <f t="shared" si="1"/>
        <v>122</v>
      </c>
      <c r="C124" s="21">
        <v>45762</v>
      </c>
      <c r="D124" s="57"/>
      <c r="E124" s="58" t="s">
        <v>192</v>
      </c>
      <c r="F124" s="23" t="s">
        <v>8</v>
      </c>
      <c r="G124" s="23" t="s">
        <v>9</v>
      </c>
    </row>
    <row r="125" spans="2:7" hidden="1" x14ac:dyDescent="0.25">
      <c r="B125" s="10">
        <f t="shared" si="1"/>
        <v>123</v>
      </c>
      <c r="C125" s="21">
        <v>45867</v>
      </c>
      <c r="D125" s="57"/>
      <c r="E125" s="59" t="s">
        <v>193</v>
      </c>
      <c r="F125" s="23" t="s">
        <v>125</v>
      </c>
      <c r="G125" s="23" t="s">
        <v>9</v>
      </c>
    </row>
    <row r="126" spans="2:7" hidden="1" x14ac:dyDescent="0.25">
      <c r="B126" s="10">
        <f t="shared" si="1"/>
        <v>124</v>
      </c>
      <c r="C126" s="21">
        <v>45762</v>
      </c>
      <c r="D126" s="57"/>
      <c r="E126" s="58" t="s">
        <v>194</v>
      </c>
      <c r="F126" s="23" t="s">
        <v>8</v>
      </c>
      <c r="G126" s="60" t="s">
        <v>9</v>
      </c>
    </row>
    <row r="127" spans="2:7" hidden="1" x14ac:dyDescent="0.25">
      <c r="B127" s="10">
        <f t="shared" si="1"/>
        <v>125</v>
      </c>
      <c r="C127" s="21">
        <v>45867</v>
      </c>
      <c r="D127" s="57"/>
      <c r="E127" s="58" t="s">
        <v>195</v>
      </c>
      <c r="F127" s="23" t="s">
        <v>16</v>
      </c>
      <c r="G127" s="23" t="s">
        <v>9</v>
      </c>
    </row>
    <row r="128" spans="2:7" hidden="1" x14ac:dyDescent="0.25">
      <c r="B128" s="10">
        <f t="shared" si="1"/>
        <v>126</v>
      </c>
      <c r="C128" s="21">
        <v>45771</v>
      </c>
      <c r="D128" s="61"/>
      <c r="E128" s="58" t="s">
        <v>196</v>
      </c>
      <c r="F128" s="23" t="s">
        <v>8</v>
      </c>
      <c r="G128" s="23" t="s">
        <v>9</v>
      </c>
    </row>
    <row r="129" spans="2:7" hidden="1" x14ac:dyDescent="0.25">
      <c r="B129" s="10">
        <f t="shared" si="1"/>
        <v>127</v>
      </c>
      <c r="C129" s="21">
        <v>45771</v>
      </c>
      <c r="D129" s="58"/>
      <c r="E129" s="58" t="s">
        <v>197</v>
      </c>
      <c r="F129" s="23" t="s">
        <v>8</v>
      </c>
      <c r="G129" s="23" t="s">
        <v>9</v>
      </c>
    </row>
    <row r="130" spans="2:7" ht="30" hidden="1" x14ac:dyDescent="0.25">
      <c r="B130" s="10">
        <f t="shared" si="1"/>
        <v>128</v>
      </c>
      <c r="C130" s="21">
        <v>45771</v>
      </c>
      <c r="D130" s="58"/>
      <c r="E130" s="58" t="s">
        <v>198</v>
      </c>
      <c r="F130" s="23" t="s">
        <v>8</v>
      </c>
      <c r="G130" s="23" t="s">
        <v>9</v>
      </c>
    </row>
    <row r="131" spans="2:7" hidden="1" x14ac:dyDescent="0.25">
      <c r="B131" s="10">
        <f t="shared" si="1"/>
        <v>129</v>
      </c>
      <c r="C131" s="21">
        <v>45776</v>
      </c>
      <c r="D131" s="57"/>
      <c r="E131" s="58" t="s">
        <v>199</v>
      </c>
      <c r="F131" s="23" t="s">
        <v>22</v>
      </c>
      <c r="G131" s="23" t="s">
        <v>9</v>
      </c>
    </row>
    <row r="132" spans="2:7" hidden="1" x14ac:dyDescent="0.25">
      <c r="B132" s="10">
        <f t="shared" si="1"/>
        <v>130</v>
      </c>
      <c r="C132" s="21">
        <v>45776</v>
      </c>
      <c r="D132" s="62"/>
      <c r="E132" s="58" t="s">
        <v>200</v>
      </c>
      <c r="F132" s="23" t="s">
        <v>8</v>
      </c>
      <c r="G132" s="23" t="s">
        <v>9</v>
      </c>
    </row>
    <row r="133" spans="2:7" hidden="1" x14ac:dyDescent="0.25">
      <c r="B133" s="10">
        <f t="shared" ref="B133:B196" si="2">+IF(C133&lt;&gt;"",B132+1,"")</f>
        <v>131</v>
      </c>
      <c r="C133" s="21">
        <v>45776</v>
      </c>
      <c r="D133" s="63"/>
      <c r="E133" s="58" t="s">
        <v>201</v>
      </c>
      <c r="F133" s="64" t="s">
        <v>16</v>
      </c>
      <c r="G133" s="60" t="s">
        <v>9</v>
      </c>
    </row>
    <row r="134" spans="2:7" hidden="1" x14ac:dyDescent="0.25">
      <c r="B134" s="10">
        <f t="shared" si="2"/>
        <v>132</v>
      </c>
      <c r="C134" s="21">
        <v>45776</v>
      </c>
      <c r="D134" s="63"/>
      <c r="E134" s="58" t="s">
        <v>202</v>
      </c>
      <c r="F134" s="64" t="s">
        <v>8</v>
      </c>
      <c r="G134" s="60" t="s">
        <v>9</v>
      </c>
    </row>
    <row r="135" spans="2:7" hidden="1" x14ac:dyDescent="0.25">
      <c r="B135" s="10">
        <f t="shared" si="2"/>
        <v>133</v>
      </c>
      <c r="C135" s="21">
        <v>45776</v>
      </c>
      <c r="D135" s="4"/>
      <c r="E135" s="57" t="s">
        <v>203</v>
      </c>
      <c r="F135" s="64" t="s">
        <v>8</v>
      </c>
      <c r="G135" s="23" t="s">
        <v>9</v>
      </c>
    </row>
    <row r="136" spans="2:7" hidden="1" x14ac:dyDescent="0.25">
      <c r="B136" s="10">
        <f t="shared" si="2"/>
        <v>134</v>
      </c>
      <c r="C136" s="21">
        <v>45776</v>
      </c>
      <c r="D136" s="65"/>
      <c r="E136" s="57" t="s">
        <v>204</v>
      </c>
      <c r="F136" s="23" t="s">
        <v>8</v>
      </c>
      <c r="G136" s="23" t="s">
        <v>9</v>
      </c>
    </row>
    <row r="137" spans="2:7" hidden="1" x14ac:dyDescent="0.25">
      <c r="B137" s="10">
        <f t="shared" si="2"/>
        <v>135</v>
      </c>
      <c r="C137" s="21">
        <v>45783</v>
      </c>
      <c r="E137" s="22" t="s">
        <v>205</v>
      </c>
      <c r="F137" s="19" t="s">
        <v>18</v>
      </c>
      <c r="G137" s="23" t="s">
        <v>9</v>
      </c>
    </row>
    <row r="138" spans="2:7" hidden="1" x14ac:dyDescent="0.25">
      <c r="B138" s="10">
        <f t="shared" si="2"/>
        <v>136</v>
      </c>
      <c r="C138" s="21">
        <v>45783</v>
      </c>
      <c r="E138" s="22" t="s">
        <v>206</v>
      </c>
      <c r="F138" s="19" t="s">
        <v>18</v>
      </c>
      <c r="G138" s="23" t="s">
        <v>9</v>
      </c>
    </row>
    <row r="139" spans="2:7" hidden="1" x14ac:dyDescent="0.25">
      <c r="B139" s="10">
        <f t="shared" si="2"/>
        <v>137</v>
      </c>
      <c r="C139" s="21">
        <v>45783</v>
      </c>
      <c r="E139" s="22" t="s">
        <v>207</v>
      </c>
      <c r="F139" s="19" t="s">
        <v>8</v>
      </c>
      <c r="G139" s="23" t="s">
        <v>9</v>
      </c>
    </row>
    <row r="140" spans="2:7" hidden="1" x14ac:dyDescent="0.25">
      <c r="B140" s="10">
        <f t="shared" si="2"/>
        <v>138</v>
      </c>
      <c r="C140" s="21">
        <v>45783</v>
      </c>
      <c r="E140" s="22" t="s">
        <v>208</v>
      </c>
      <c r="F140" s="19" t="s">
        <v>8</v>
      </c>
      <c r="G140" s="23" t="s">
        <v>9</v>
      </c>
    </row>
    <row r="141" spans="2:7" hidden="1" x14ac:dyDescent="0.25">
      <c r="B141" s="10">
        <f t="shared" si="2"/>
        <v>139</v>
      </c>
      <c r="C141" s="21">
        <v>45783</v>
      </c>
      <c r="E141" s="22" t="s">
        <v>209</v>
      </c>
      <c r="F141" s="19" t="s">
        <v>8</v>
      </c>
      <c r="G141" s="23" t="s">
        <v>9</v>
      </c>
    </row>
    <row r="142" spans="2:7" hidden="1" x14ac:dyDescent="0.25">
      <c r="B142" s="10">
        <f t="shared" si="2"/>
        <v>140</v>
      </c>
      <c r="C142" s="21">
        <v>45783</v>
      </c>
      <c r="E142" s="22" t="s">
        <v>210</v>
      </c>
      <c r="F142" s="19" t="s">
        <v>22</v>
      </c>
      <c r="G142" s="23" t="s">
        <v>9</v>
      </c>
    </row>
    <row r="143" spans="2:7" hidden="1" x14ac:dyDescent="0.25">
      <c r="B143" s="10">
        <f t="shared" si="2"/>
        <v>141</v>
      </c>
      <c r="C143" s="21">
        <v>45790</v>
      </c>
      <c r="E143" s="22" t="s">
        <v>211</v>
      </c>
      <c r="F143" s="19" t="s">
        <v>8</v>
      </c>
      <c r="G143" s="23" t="s">
        <v>9</v>
      </c>
    </row>
    <row r="144" spans="2:7" hidden="1" x14ac:dyDescent="0.25">
      <c r="B144" s="10">
        <f t="shared" si="2"/>
        <v>142</v>
      </c>
      <c r="C144" s="21">
        <v>45867</v>
      </c>
      <c r="E144" s="55" t="s">
        <v>212</v>
      </c>
      <c r="F144" s="19" t="s">
        <v>8</v>
      </c>
      <c r="G144" s="23" t="s">
        <v>9</v>
      </c>
    </row>
    <row r="145" spans="2:7" hidden="1" x14ac:dyDescent="0.25">
      <c r="B145" s="10">
        <f t="shared" si="2"/>
        <v>143</v>
      </c>
      <c r="C145" s="21">
        <v>45790</v>
      </c>
      <c r="E145" s="22" t="s">
        <v>213</v>
      </c>
      <c r="F145" s="19" t="s">
        <v>22</v>
      </c>
      <c r="G145" s="23" t="s">
        <v>9</v>
      </c>
    </row>
    <row r="146" spans="2:7" hidden="1" x14ac:dyDescent="0.25">
      <c r="B146" s="10">
        <f t="shared" si="2"/>
        <v>144</v>
      </c>
      <c r="C146" s="21">
        <v>45790</v>
      </c>
      <c r="E146" s="22" t="s">
        <v>214</v>
      </c>
      <c r="F146" s="19" t="s">
        <v>8</v>
      </c>
      <c r="G146" s="23" t="s">
        <v>9</v>
      </c>
    </row>
    <row r="147" spans="2:7" hidden="1" x14ac:dyDescent="0.25">
      <c r="B147" s="10">
        <f t="shared" si="2"/>
        <v>145</v>
      </c>
      <c r="C147" s="21">
        <v>45790</v>
      </c>
      <c r="E147" s="22" t="s">
        <v>215</v>
      </c>
      <c r="F147" s="19" t="s">
        <v>8</v>
      </c>
      <c r="G147" s="23" t="s">
        <v>9</v>
      </c>
    </row>
    <row r="148" spans="2:7" hidden="1" x14ac:dyDescent="0.25">
      <c r="B148" s="10">
        <f t="shared" si="2"/>
        <v>146</v>
      </c>
      <c r="C148" s="21">
        <v>45790</v>
      </c>
      <c r="E148" s="22" t="s">
        <v>216</v>
      </c>
      <c r="F148" s="19" t="s">
        <v>22</v>
      </c>
      <c r="G148" s="23" t="s">
        <v>9</v>
      </c>
    </row>
    <row r="149" spans="2:7" hidden="1" x14ac:dyDescent="0.25">
      <c r="B149" s="10">
        <f t="shared" si="2"/>
        <v>147</v>
      </c>
      <c r="C149" s="21">
        <v>45790</v>
      </c>
      <c r="E149" s="22" t="s">
        <v>217</v>
      </c>
      <c r="F149" s="19" t="s">
        <v>8</v>
      </c>
      <c r="G149" s="23" t="s">
        <v>9</v>
      </c>
    </row>
    <row r="150" spans="2:7" hidden="1" x14ac:dyDescent="0.25">
      <c r="B150" s="10">
        <f t="shared" si="2"/>
        <v>148</v>
      </c>
      <c r="C150" s="21">
        <v>45790</v>
      </c>
      <c r="E150" s="22" t="s">
        <v>218</v>
      </c>
      <c r="F150" s="19" t="s">
        <v>8</v>
      </c>
      <c r="G150" s="23" t="s">
        <v>9</v>
      </c>
    </row>
    <row r="151" spans="2:7" hidden="1" x14ac:dyDescent="0.25">
      <c r="B151" s="10">
        <f t="shared" si="2"/>
        <v>149</v>
      </c>
      <c r="C151" s="21">
        <v>45818</v>
      </c>
      <c r="E151" s="22" t="s">
        <v>219</v>
      </c>
      <c r="F151" s="19" t="s">
        <v>8</v>
      </c>
      <c r="G151" s="23" t="s">
        <v>9</v>
      </c>
    </row>
    <row r="152" spans="2:7" hidden="1" x14ac:dyDescent="0.25">
      <c r="B152" s="10">
        <f t="shared" si="2"/>
        <v>150</v>
      </c>
      <c r="C152" s="21">
        <v>45818</v>
      </c>
      <c r="E152" s="22" t="s">
        <v>220</v>
      </c>
      <c r="F152" s="19" t="s">
        <v>18</v>
      </c>
      <c r="G152" s="23" t="s">
        <v>9</v>
      </c>
    </row>
    <row r="153" spans="2:7" hidden="1" x14ac:dyDescent="0.25">
      <c r="B153" s="10">
        <f t="shared" si="2"/>
        <v>151</v>
      </c>
      <c r="C153" s="21">
        <v>45818</v>
      </c>
      <c r="E153" s="22" t="s">
        <v>221</v>
      </c>
      <c r="F153" s="19" t="s">
        <v>8</v>
      </c>
      <c r="G153" s="23" t="s">
        <v>9</v>
      </c>
    </row>
    <row r="154" spans="2:7" hidden="1" x14ac:dyDescent="0.25">
      <c r="B154" s="10">
        <f t="shared" si="2"/>
        <v>152</v>
      </c>
      <c r="C154" s="21">
        <v>45818</v>
      </c>
      <c r="E154" s="22" t="s">
        <v>222</v>
      </c>
      <c r="F154" s="19" t="s">
        <v>8</v>
      </c>
      <c r="G154" s="23" t="s">
        <v>9</v>
      </c>
    </row>
    <row r="155" spans="2:7" hidden="1" x14ac:dyDescent="0.25">
      <c r="B155" s="10">
        <f t="shared" si="2"/>
        <v>153</v>
      </c>
      <c r="C155" s="21">
        <v>45818</v>
      </c>
      <c r="E155" s="22" t="s">
        <v>223</v>
      </c>
      <c r="F155" s="19" t="s">
        <v>8</v>
      </c>
      <c r="G155" s="23" t="s">
        <v>9</v>
      </c>
    </row>
    <row r="156" spans="2:7" hidden="1" x14ac:dyDescent="0.25">
      <c r="B156" s="10">
        <f t="shared" si="2"/>
        <v>154</v>
      </c>
      <c r="C156" s="21">
        <v>45818</v>
      </c>
      <c r="E156" s="22" t="s">
        <v>224</v>
      </c>
      <c r="F156" s="19" t="s">
        <v>8</v>
      </c>
      <c r="G156" s="23" t="s">
        <v>9</v>
      </c>
    </row>
    <row r="157" spans="2:7" hidden="1" x14ac:dyDescent="0.25">
      <c r="B157" s="10">
        <f t="shared" si="2"/>
        <v>155</v>
      </c>
      <c r="C157" s="21">
        <v>45818</v>
      </c>
      <c r="E157" s="66" t="s">
        <v>225</v>
      </c>
      <c r="F157" s="19" t="s">
        <v>8</v>
      </c>
      <c r="G157" s="23" t="s">
        <v>9</v>
      </c>
    </row>
    <row r="158" spans="2:7" hidden="1" x14ac:dyDescent="0.25">
      <c r="B158" s="10">
        <f t="shared" si="2"/>
        <v>156</v>
      </c>
      <c r="C158" s="21">
        <v>45818</v>
      </c>
      <c r="E158" s="22" t="s">
        <v>226</v>
      </c>
      <c r="F158" s="19" t="s">
        <v>8</v>
      </c>
      <c r="G158" s="23" t="s">
        <v>9</v>
      </c>
    </row>
    <row r="159" spans="2:7" hidden="1" x14ac:dyDescent="0.25">
      <c r="B159" s="10">
        <f t="shared" si="2"/>
        <v>157</v>
      </c>
      <c r="C159" s="21">
        <v>45818</v>
      </c>
      <c r="E159" s="22" t="s">
        <v>227</v>
      </c>
      <c r="F159" s="19" t="s">
        <v>8</v>
      </c>
      <c r="G159" s="23" t="s">
        <v>9</v>
      </c>
    </row>
    <row r="160" spans="2:7" hidden="1" x14ac:dyDescent="0.25">
      <c r="B160" s="10">
        <f t="shared" si="2"/>
        <v>158</v>
      </c>
      <c r="C160" s="21">
        <v>45818</v>
      </c>
      <c r="E160" s="55" t="s">
        <v>228</v>
      </c>
      <c r="F160" s="19" t="s">
        <v>8</v>
      </c>
      <c r="G160" s="23" t="s">
        <v>9</v>
      </c>
    </row>
    <row r="161" spans="2:7" hidden="1" x14ac:dyDescent="0.25">
      <c r="B161" s="10">
        <f t="shared" si="2"/>
        <v>159</v>
      </c>
      <c r="C161" s="21">
        <v>45825</v>
      </c>
      <c r="E161" s="22" t="s">
        <v>229</v>
      </c>
      <c r="F161" s="19" t="s">
        <v>22</v>
      </c>
      <c r="G161" s="23" t="s">
        <v>9</v>
      </c>
    </row>
    <row r="162" spans="2:7" hidden="1" x14ac:dyDescent="0.25">
      <c r="B162" s="10">
        <f t="shared" si="2"/>
        <v>160</v>
      </c>
      <c r="C162" s="21">
        <v>45825</v>
      </c>
      <c r="E162" s="22" t="s">
        <v>230</v>
      </c>
      <c r="F162" s="19" t="s">
        <v>8</v>
      </c>
      <c r="G162" s="23" t="s">
        <v>9</v>
      </c>
    </row>
    <row r="163" spans="2:7" hidden="1" x14ac:dyDescent="0.25">
      <c r="B163" s="10">
        <f t="shared" si="2"/>
        <v>161</v>
      </c>
      <c r="C163" s="21">
        <v>45825</v>
      </c>
      <c r="E163" s="22" t="s">
        <v>231</v>
      </c>
      <c r="F163" s="19" t="s">
        <v>18</v>
      </c>
      <c r="G163" s="23" t="s">
        <v>9</v>
      </c>
    </row>
    <row r="164" spans="2:7" hidden="1" x14ac:dyDescent="0.25">
      <c r="B164" s="10">
        <f t="shared" si="2"/>
        <v>162</v>
      </c>
      <c r="C164" s="21">
        <v>45825</v>
      </c>
      <c r="E164" s="22" t="s">
        <v>232</v>
      </c>
      <c r="F164" s="19" t="s">
        <v>18</v>
      </c>
      <c r="G164" s="23" t="s">
        <v>9</v>
      </c>
    </row>
    <row r="165" spans="2:7" hidden="1" x14ac:dyDescent="0.25">
      <c r="B165" s="10">
        <f t="shared" si="2"/>
        <v>163</v>
      </c>
      <c r="C165" s="21">
        <v>45867</v>
      </c>
      <c r="E165" s="22" t="s">
        <v>233</v>
      </c>
      <c r="F165" s="19" t="s">
        <v>8</v>
      </c>
      <c r="G165" s="23" t="s">
        <v>9</v>
      </c>
    </row>
    <row r="166" spans="2:7" hidden="1" x14ac:dyDescent="0.25">
      <c r="B166" s="10">
        <f t="shared" si="2"/>
        <v>164</v>
      </c>
      <c r="C166" s="21">
        <v>45867</v>
      </c>
      <c r="E166" s="22" t="s">
        <v>234</v>
      </c>
      <c r="F166" s="19" t="s">
        <v>18</v>
      </c>
      <c r="G166" s="23" t="s">
        <v>9</v>
      </c>
    </row>
    <row r="167" spans="2:7" hidden="1" x14ac:dyDescent="0.25">
      <c r="B167" s="10">
        <f t="shared" si="2"/>
        <v>165</v>
      </c>
      <c r="C167" s="21">
        <v>45867</v>
      </c>
      <c r="E167" s="22" t="s">
        <v>235</v>
      </c>
      <c r="F167" s="19" t="s">
        <v>8</v>
      </c>
      <c r="G167" s="23" t="s">
        <v>9</v>
      </c>
    </row>
    <row r="168" spans="2:7" hidden="1" x14ac:dyDescent="0.25">
      <c r="B168" s="10">
        <f t="shared" si="2"/>
        <v>166</v>
      </c>
      <c r="C168" s="21">
        <v>45867</v>
      </c>
      <c r="E168" s="22" t="s">
        <v>236</v>
      </c>
      <c r="F168" s="19" t="s">
        <v>8</v>
      </c>
      <c r="G168" s="23" t="s">
        <v>9</v>
      </c>
    </row>
    <row r="169" spans="2:7" hidden="1" x14ac:dyDescent="0.25">
      <c r="B169" s="10">
        <f t="shared" si="2"/>
        <v>167</v>
      </c>
      <c r="C169" s="21">
        <v>45867</v>
      </c>
      <c r="E169" s="22" t="s">
        <v>237</v>
      </c>
      <c r="F169" s="19" t="s">
        <v>18</v>
      </c>
      <c r="G169" s="23" t="s">
        <v>9</v>
      </c>
    </row>
    <row r="170" spans="2:7" x14ac:dyDescent="0.25">
      <c r="B170" s="10">
        <f t="shared" si="2"/>
        <v>168</v>
      </c>
      <c r="C170" s="21">
        <v>45867</v>
      </c>
      <c r="E170" s="22" t="s">
        <v>238</v>
      </c>
      <c r="F170" s="67" t="s">
        <v>18</v>
      </c>
      <c r="G170" s="23" t="s">
        <v>239</v>
      </c>
    </row>
    <row r="171" spans="2:7" hidden="1" x14ac:dyDescent="0.25">
      <c r="B171" s="10">
        <f t="shared" si="2"/>
        <v>169</v>
      </c>
      <c r="C171" s="21">
        <v>45867</v>
      </c>
      <c r="E171" s="22" t="s">
        <v>240</v>
      </c>
      <c r="F171" s="19" t="s">
        <v>18</v>
      </c>
      <c r="G171" s="23" t="s">
        <v>9</v>
      </c>
    </row>
    <row r="172" spans="2:7" hidden="1" x14ac:dyDescent="0.25">
      <c r="B172" s="10">
        <f t="shared" si="2"/>
        <v>170</v>
      </c>
      <c r="C172" s="2">
        <v>45867</v>
      </c>
      <c r="E172" s="4" t="s">
        <v>241</v>
      </c>
      <c r="F172" s="68" t="s">
        <v>8</v>
      </c>
      <c r="G172" s="5" t="s">
        <v>9</v>
      </c>
    </row>
    <row r="173" spans="2:7" hidden="1" x14ac:dyDescent="0.25">
      <c r="B173" s="10">
        <f t="shared" si="2"/>
        <v>171</v>
      </c>
      <c r="C173" s="21">
        <v>45874</v>
      </c>
      <c r="E173" s="22" t="s">
        <v>242</v>
      </c>
      <c r="F173" s="19" t="s">
        <v>18</v>
      </c>
      <c r="G173" s="23" t="s">
        <v>9</v>
      </c>
    </row>
    <row r="174" spans="2:7" hidden="1" x14ac:dyDescent="0.25">
      <c r="B174" s="10">
        <f t="shared" si="2"/>
        <v>172</v>
      </c>
      <c r="C174" s="21">
        <v>45874</v>
      </c>
      <c r="E174" s="22" t="s">
        <v>243</v>
      </c>
      <c r="F174" s="19" t="s">
        <v>18</v>
      </c>
      <c r="G174" s="23" t="s">
        <v>9</v>
      </c>
    </row>
    <row r="175" spans="2:7" hidden="1" x14ac:dyDescent="0.25">
      <c r="B175" s="10">
        <f t="shared" si="2"/>
        <v>173</v>
      </c>
      <c r="C175" s="21">
        <v>45874</v>
      </c>
      <c r="E175" s="66" t="s">
        <v>244</v>
      </c>
      <c r="F175" s="19" t="s">
        <v>8</v>
      </c>
      <c r="G175" s="23" t="s">
        <v>9</v>
      </c>
    </row>
    <row r="176" spans="2:7" hidden="1" x14ac:dyDescent="0.25">
      <c r="B176" s="10">
        <f t="shared" si="2"/>
        <v>174</v>
      </c>
      <c r="C176" s="21">
        <v>45874</v>
      </c>
      <c r="E176" s="22" t="s">
        <v>245</v>
      </c>
      <c r="F176" s="67" t="s">
        <v>18</v>
      </c>
      <c r="G176" s="23" t="s">
        <v>9</v>
      </c>
    </row>
    <row r="177" spans="2:7" hidden="1" x14ac:dyDescent="0.25">
      <c r="B177" s="10">
        <f t="shared" si="2"/>
        <v>175</v>
      </c>
      <c r="C177" s="21">
        <v>45874</v>
      </c>
      <c r="E177" s="66" t="s">
        <v>246</v>
      </c>
      <c r="F177" s="67" t="s">
        <v>8</v>
      </c>
      <c r="G177" s="23" t="s">
        <v>9</v>
      </c>
    </row>
    <row r="178" spans="2:7" hidden="1" x14ac:dyDescent="0.25">
      <c r="B178" s="10">
        <f t="shared" si="2"/>
        <v>176</v>
      </c>
      <c r="C178" s="21">
        <v>45874</v>
      </c>
      <c r="E178" s="55" t="s">
        <v>247</v>
      </c>
      <c r="F178" s="19" t="s">
        <v>8</v>
      </c>
      <c r="G178" s="23" t="s">
        <v>9</v>
      </c>
    </row>
    <row r="179" spans="2:7" hidden="1" x14ac:dyDescent="0.25">
      <c r="B179" s="10">
        <f t="shared" si="2"/>
        <v>177</v>
      </c>
      <c r="C179" s="21">
        <v>45874</v>
      </c>
      <c r="E179" s="66" t="s">
        <v>248</v>
      </c>
      <c r="F179" s="19" t="s">
        <v>8</v>
      </c>
      <c r="G179" s="23" t="s">
        <v>9</v>
      </c>
    </row>
    <row r="180" spans="2:7" hidden="1" x14ac:dyDescent="0.25">
      <c r="B180" s="10">
        <f t="shared" si="2"/>
        <v>178</v>
      </c>
      <c r="C180" s="21">
        <v>45874</v>
      </c>
      <c r="E180" s="55" t="s">
        <v>249</v>
      </c>
      <c r="F180" s="19" t="s">
        <v>8</v>
      </c>
      <c r="G180" s="23" t="s">
        <v>9</v>
      </c>
    </row>
    <row r="181" spans="2:7" hidden="1" x14ac:dyDescent="0.25">
      <c r="B181" s="10">
        <f t="shared" si="2"/>
        <v>179</v>
      </c>
      <c r="C181" s="2">
        <v>45880</v>
      </c>
      <c r="E181" s="69" t="s">
        <v>250</v>
      </c>
      <c r="F181" s="68" t="s">
        <v>8</v>
      </c>
      <c r="G181" s="5" t="s">
        <v>9</v>
      </c>
    </row>
    <row r="182" spans="2:7" hidden="1" x14ac:dyDescent="0.25">
      <c r="B182" s="10">
        <f t="shared" si="2"/>
        <v>180</v>
      </c>
      <c r="C182" s="2">
        <v>45880</v>
      </c>
      <c r="E182" s="69" t="s">
        <v>251</v>
      </c>
      <c r="F182" s="68" t="s">
        <v>8</v>
      </c>
      <c r="G182" s="5" t="s">
        <v>9</v>
      </c>
    </row>
    <row r="183" spans="2:7" hidden="1" x14ac:dyDescent="0.25">
      <c r="B183" s="10">
        <f t="shared" si="2"/>
        <v>181</v>
      </c>
      <c r="C183" s="2">
        <v>45897</v>
      </c>
      <c r="E183" s="4" t="s">
        <v>252</v>
      </c>
      <c r="F183" s="70" t="s">
        <v>16</v>
      </c>
      <c r="G183" s="5" t="s">
        <v>9</v>
      </c>
    </row>
    <row r="184" spans="2:7" hidden="1" x14ac:dyDescent="0.25">
      <c r="B184" s="10">
        <f t="shared" si="2"/>
        <v>182</v>
      </c>
      <c r="C184" s="2">
        <v>45897</v>
      </c>
      <c r="E184" s="71" t="s">
        <v>253</v>
      </c>
      <c r="F184" s="70" t="s">
        <v>8</v>
      </c>
      <c r="G184" s="5" t="s">
        <v>9</v>
      </c>
    </row>
    <row r="185" spans="2:7" hidden="1" x14ac:dyDescent="0.25">
      <c r="B185" s="10">
        <f t="shared" si="2"/>
        <v>183</v>
      </c>
      <c r="C185" s="2">
        <v>45897</v>
      </c>
      <c r="E185" s="71" t="s">
        <v>254</v>
      </c>
      <c r="F185" s="70" t="s">
        <v>8</v>
      </c>
      <c r="G185" s="5" t="s">
        <v>9</v>
      </c>
    </row>
    <row r="186" spans="2:7" hidden="1" x14ac:dyDescent="0.25">
      <c r="B186" s="10">
        <f t="shared" si="2"/>
        <v>184</v>
      </c>
      <c r="C186" s="2">
        <v>45897</v>
      </c>
      <c r="E186" s="72" t="s">
        <v>255</v>
      </c>
      <c r="F186" s="70" t="s">
        <v>8</v>
      </c>
      <c r="G186" s="5" t="s">
        <v>9</v>
      </c>
    </row>
    <row r="187" spans="2:7" hidden="1" x14ac:dyDescent="0.25">
      <c r="B187" s="10">
        <f t="shared" si="2"/>
        <v>185</v>
      </c>
      <c r="C187" s="2">
        <v>45897</v>
      </c>
      <c r="E187" s="4" t="s">
        <v>256</v>
      </c>
      <c r="F187" s="68" t="s">
        <v>18</v>
      </c>
      <c r="G187" s="5" t="s">
        <v>9</v>
      </c>
    </row>
    <row r="188" spans="2:7" hidden="1" x14ac:dyDescent="0.25">
      <c r="B188" s="10">
        <f t="shared" si="2"/>
        <v>186</v>
      </c>
      <c r="C188" s="2">
        <v>45902</v>
      </c>
      <c r="E188" s="72" t="s">
        <v>257</v>
      </c>
      <c r="F188" s="70" t="s">
        <v>8</v>
      </c>
      <c r="G188" s="5" t="s">
        <v>9</v>
      </c>
    </row>
    <row r="189" spans="2:7" hidden="1" x14ac:dyDescent="0.25">
      <c r="B189" s="10">
        <f t="shared" si="2"/>
        <v>187</v>
      </c>
      <c r="C189" s="2">
        <v>45902</v>
      </c>
      <c r="E189" s="73" t="s">
        <v>258</v>
      </c>
      <c r="F189" s="70" t="s">
        <v>8</v>
      </c>
      <c r="G189" s="5" t="s">
        <v>9</v>
      </c>
    </row>
    <row r="190" spans="2:7" hidden="1" x14ac:dyDescent="0.25">
      <c r="B190" s="10">
        <f t="shared" si="2"/>
        <v>188</v>
      </c>
      <c r="C190" s="2">
        <v>45902</v>
      </c>
      <c r="E190" s="73" t="s">
        <v>259</v>
      </c>
      <c r="F190" s="70" t="s">
        <v>8</v>
      </c>
      <c r="G190" s="5" t="s">
        <v>9</v>
      </c>
    </row>
    <row r="191" spans="2:7" hidden="1" x14ac:dyDescent="0.25">
      <c r="B191" s="10">
        <f t="shared" si="2"/>
        <v>189</v>
      </c>
      <c r="C191" s="2">
        <v>45909</v>
      </c>
      <c r="E191" s="4" t="s">
        <v>260</v>
      </c>
      <c r="F191" s="70" t="s">
        <v>8</v>
      </c>
      <c r="G191" s="5" t="s">
        <v>9</v>
      </c>
    </row>
    <row r="192" spans="2:7" hidden="1" x14ac:dyDescent="0.25">
      <c r="B192" s="10">
        <f t="shared" si="2"/>
        <v>190</v>
      </c>
      <c r="C192" s="2">
        <v>45909</v>
      </c>
      <c r="E192" s="4" t="s">
        <v>261</v>
      </c>
      <c r="F192" s="70" t="s">
        <v>8</v>
      </c>
      <c r="G192" s="5" t="s">
        <v>9</v>
      </c>
    </row>
    <row r="193" spans="2:7" hidden="1" x14ac:dyDescent="0.25">
      <c r="B193" s="10">
        <f t="shared" si="2"/>
        <v>191</v>
      </c>
      <c r="C193" s="2">
        <v>45909</v>
      </c>
      <c r="E193" s="4" t="s">
        <v>262</v>
      </c>
      <c r="F193" s="70" t="s">
        <v>18</v>
      </c>
      <c r="G193" s="5" t="s">
        <v>9</v>
      </c>
    </row>
    <row r="194" spans="2:7" hidden="1" x14ac:dyDescent="0.25">
      <c r="B194" s="10">
        <f t="shared" si="2"/>
        <v>192</v>
      </c>
      <c r="C194" s="2">
        <v>45909</v>
      </c>
      <c r="E194" s="4" t="s">
        <v>263</v>
      </c>
      <c r="F194" s="70" t="s">
        <v>18</v>
      </c>
      <c r="G194" s="5" t="s">
        <v>9</v>
      </c>
    </row>
    <row r="195" spans="2:7" hidden="1" x14ac:dyDescent="0.25">
      <c r="B195" s="10">
        <f t="shared" si="2"/>
        <v>193</v>
      </c>
      <c r="C195" s="2">
        <v>45909</v>
      </c>
      <c r="E195" s="4" t="s">
        <v>264</v>
      </c>
      <c r="F195" s="70" t="s">
        <v>18</v>
      </c>
      <c r="G195" s="5" t="s">
        <v>9</v>
      </c>
    </row>
    <row r="196" spans="2:7" hidden="1" x14ac:dyDescent="0.25">
      <c r="B196" s="10">
        <f t="shared" si="2"/>
        <v>194</v>
      </c>
      <c r="C196" s="2">
        <v>45925</v>
      </c>
      <c r="E196" s="4" t="s">
        <v>265</v>
      </c>
      <c r="F196" s="70" t="s">
        <v>16</v>
      </c>
      <c r="G196" s="5" t="s">
        <v>9</v>
      </c>
    </row>
    <row r="197" spans="2:7" hidden="1" x14ac:dyDescent="0.25">
      <c r="B197" s="10">
        <f t="shared" ref="B197:B239" si="3">+IF(C197&lt;&gt;"",B196+1,"")</f>
        <v>195</v>
      </c>
      <c r="C197" s="2">
        <v>45925</v>
      </c>
      <c r="E197" s="4" t="s">
        <v>266</v>
      </c>
      <c r="F197" s="70" t="s">
        <v>8</v>
      </c>
      <c r="G197" s="5" t="s">
        <v>9</v>
      </c>
    </row>
    <row r="198" spans="2:7" hidden="1" x14ac:dyDescent="0.25">
      <c r="B198" s="10">
        <f t="shared" si="3"/>
        <v>196</v>
      </c>
      <c r="C198" s="2">
        <v>45925</v>
      </c>
      <c r="E198" s="72" t="s">
        <v>267</v>
      </c>
      <c r="F198" s="70" t="s">
        <v>8</v>
      </c>
      <c r="G198" s="5" t="s">
        <v>9</v>
      </c>
    </row>
    <row r="199" spans="2:7" hidden="1" x14ac:dyDescent="0.25">
      <c r="B199" s="10">
        <f t="shared" si="3"/>
        <v>197</v>
      </c>
      <c r="C199" s="2">
        <v>45925</v>
      </c>
      <c r="E199" s="72" t="s">
        <v>268</v>
      </c>
      <c r="F199" s="70" t="s">
        <v>8</v>
      </c>
      <c r="G199" s="5" t="s">
        <v>9</v>
      </c>
    </row>
    <row r="200" spans="2:7" hidden="1" x14ac:dyDescent="0.25">
      <c r="B200" s="10">
        <f t="shared" si="3"/>
        <v>198</v>
      </c>
      <c r="C200" s="2">
        <v>45925</v>
      </c>
      <c r="E200" s="4" t="s">
        <v>269</v>
      </c>
      <c r="F200" s="70" t="s">
        <v>8</v>
      </c>
      <c r="G200" s="5" t="s">
        <v>9</v>
      </c>
    </row>
    <row r="201" spans="2:7" hidden="1" x14ac:dyDescent="0.25">
      <c r="B201" s="10">
        <f t="shared" si="3"/>
        <v>199</v>
      </c>
      <c r="C201" s="2">
        <v>45925</v>
      </c>
      <c r="E201" s="72" t="s">
        <v>270</v>
      </c>
      <c r="F201" s="70" t="s">
        <v>8</v>
      </c>
      <c r="G201" s="5" t="s">
        <v>9</v>
      </c>
    </row>
    <row r="202" spans="2:7" hidden="1" x14ac:dyDescent="0.25">
      <c r="B202" s="10">
        <f t="shared" si="3"/>
        <v>200</v>
      </c>
      <c r="C202" s="2">
        <v>45925</v>
      </c>
      <c r="E202" s="4" t="s">
        <v>271</v>
      </c>
      <c r="F202" s="70" t="s">
        <v>18</v>
      </c>
      <c r="G202" s="5" t="s">
        <v>9</v>
      </c>
    </row>
    <row r="203" spans="2:7" hidden="1" x14ac:dyDescent="0.25">
      <c r="B203" s="10">
        <f t="shared" si="3"/>
        <v>201</v>
      </c>
      <c r="C203" s="2">
        <v>45925</v>
      </c>
      <c r="E203" s="72" t="s">
        <v>272</v>
      </c>
      <c r="F203" s="70" t="s">
        <v>8</v>
      </c>
      <c r="G203" s="5" t="s">
        <v>9</v>
      </c>
    </row>
    <row r="204" spans="2:7" hidden="1" x14ac:dyDescent="0.25">
      <c r="B204" s="10">
        <f t="shared" si="3"/>
        <v>202</v>
      </c>
      <c r="C204" s="2">
        <v>45925</v>
      </c>
      <c r="E204" s="72" t="s">
        <v>273</v>
      </c>
      <c r="F204" s="70" t="s">
        <v>8</v>
      </c>
      <c r="G204" s="5" t="s">
        <v>9</v>
      </c>
    </row>
    <row r="205" spans="2:7" x14ac:dyDescent="0.25">
      <c r="B205" s="10">
        <f t="shared" si="3"/>
        <v>203</v>
      </c>
      <c r="C205" s="2">
        <v>45925</v>
      </c>
      <c r="E205" s="74" t="s">
        <v>274</v>
      </c>
      <c r="F205" s="70" t="s">
        <v>16</v>
      </c>
      <c r="G205" s="5" t="s">
        <v>239</v>
      </c>
    </row>
    <row r="206" spans="2:7" hidden="1" x14ac:dyDescent="0.25">
      <c r="B206" s="10">
        <f t="shared" si="3"/>
        <v>204</v>
      </c>
      <c r="C206" s="2">
        <v>45930</v>
      </c>
      <c r="E206" s="72" t="s">
        <v>275</v>
      </c>
      <c r="F206" s="70" t="s">
        <v>8</v>
      </c>
      <c r="G206" s="5" t="s">
        <v>9</v>
      </c>
    </row>
    <row r="207" spans="2:7" hidden="1" x14ac:dyDescent="0.25">
      <c r="B207" s="10">
        <f t="shared" si="3"/>
        <v>205</v>
      </c>
      <c r="C207" s="2">
        <v>45930</v>
      </c>
      <c r="E207" s="72" t="s">
        <v>276</v>
      </c>
      <c r="F207" s="70" t="s">
        <v>8</v>
      </c>
      <c r="G207" s="5" t="s">
        <v>9</v>
      </c>
    </row>
    <row r="208" spans="2:7" hidden="1" x14ac:dyDescent="0.25">
      <c r="B208" s="10">
        <f t="shared" si="3"/>
        <v>206</v>
      </c>
      <c r="C208" s="2">
        <v>45930</v>
      </c>
      <c r="E208" s="4" t="s">
        <v>277</v>
      </c>
      <c r="F208" s="70" t="s">
        <v>8</v>
      </c>
      <c r="G208" s="5" t="s">
        <v>9</v>
      </c>
    </row>
    <row r="209" spans="2:7" hidden="1" x14ac:dyDescent="0.25">
      <c r="B209" s="10">
        <f t="shared" si="3"/>
        <v>207</v>
      </c>
      <c r="C209" s="2">
        <v>45930</v>
      </c>
      <c r="E209" s="72" t="s">
        <v>278</v>
      </c>
      <c r="F209" s="70" t="s">
        <v>8</v>
      </c>
      <c r="G209" s="5" t="s">
        <v>9</v>
      </c>
    </row>
    <row r="210" spans="2:7" hidden="1" x14ac:dyDescent="0.25">
      <c r="B210" s="10">
        <f t="shared" si="3"/>
        <v>208</v>
      </c>
      <c r="C210" s="2">
        <v>45930</v>
      </c>
      <c r="E210" s="4" t="s">
        <v>279</v>
      </c>
      <c r="F210" s="70" t="s">
        <v>8</v>
      </c>
      <c r="G210" s="5" t="s">
        <v>9</v>
      </c>
    </row>
    <row r="211" spans="2:7" hidden="1" x14ac:dyDescent="0.25">
      <c r="B211" s="10">
        <f t="shared" si="3"/>
        <v>209</v>
      </c>
      <c r="C211" s="2">
        <v>45930</v>
      </c>
      <c r="E211" s="4" t="s">
        <v>280</v>
      </c>
      <c r="F211" s="70" t="s">
        <v>18</v>
      </c>
      <c r="G211" s="5" t="s">
        <v>9</v>
      </c>
    </row>
    <row r="212" spans="2:7" x14ac:dyDescent="0.25">
      <c r="B212" s="10">
        <f t="shared" si="3"/>
        <v>210</v>
      </c>
      <c r="C212" s="2">
        <v>45930</v>
      </c>
      <c r="E212" s="4" t="s">
        <v>281</v>
      </c>
      <c r="F212" s="70" t="s">
        <v>16</v>
      </c>
      <c r="G212" s="5" t="s">
        <v>239</v>
      </c>
    </row>
    <row r="213" spans="2:7" hidden="1" x14ac:dyDescent="0.25">
      <c r="B213" s="10">
        <f t="shared" si="3"/>
        <v>211</v>
      </c>
      <c r="C213" s="2">
        <v>45930</v>
      </c>
      <c r="E213" s="4" t="s">
        <v>282</v>
      </c>
      <c r="F213" s="70" t="s">
        <v>18</v>
      </c>
      <c r="G213" s="5" t="s">
        <v>9</v>
      </c>
    </row>
    <row r="214" spans="2:7" x14ac:dyDescent="0.25">
      <c r="B214" s="10">
        <f t="shared" si="3"/>
        <v>212</v>
      </c>
      <c r="C214" s="2">
        <v>45930</v>
      </c>
      <c r="E214" s="4" t="s">
        <v>283</v>
      </c>
      <c r="F214" s="70" t="s">
        <v>18</v>
      </c>
      <c r="G214" s="5" t="s">
        <v>239</v>
      </c>
    </row>
    <row r="215" spans="2:7" hidden="1" x14ac:dyDescent="0.25">
      <c r="B215" s="10">
        <f t="shared" si="3"/>
        <v>213</v>
      </c>
      <c r="C215" s="2">
        <v>45930</v>
      </c>
      <c r="E215" s="72" t="s">
        <v>284</v>
      </c>
      <c r="F215" s="70" t="s">
        <v>8</v>
      </c>
      <c r="G215" s="5" t="s">
        <v>9</v>
      </c>
    </row>
    <row r="216" spans="2:7" hidden="1" x14ac:dyDescent="0.25">
      <c r="B216" s="10">
        <f t="shared" si="3"/>
        <v>214</v>
      </c>
      <c r="C216" s="2">
        <v>45930</v>
      </c>
      <c r="E216" s="4" t="s">
        <v>285</v>
      </c>
      <c r="F216" s="70" t="s">
        <v>18</v>
      </c>
      <c r="G216" s="5" t="s">
        <v>9</v>
      </c>
    </row>
    <row r="217" spans="2:7" x14ac:dyDescent="0.25">
      <c r="B217" s="10">
        <f t="shared" si="3"/>
        <v>215</v>
      </c>
      <c r="C217" s="2">
        <v>45930</v>
      </c>
      <c r="E217" s="4" t="s">
        <v>286</v>
      </c>
      <c r="F217" s="70" t="s">
        <v>18</v>
      </c>
      <c r="G217" s="5" t="s">
        <v>239</v>
      </c>
    </row>
    <row r="218" spans="2:7" x14ac:dyDescent="0.25">
      <c r="B218" s="10">
        <f t="shared" si="3"/>
        <v>216</v>
      </c>
      <c r="C218" s="2">
        <v>45930</v>
      </c>
      <c r="E218" s="4" t="s">
        <v>287</v>
      </c>
      <c r="F218" s="70" t="s">
        <v>8</v>
      </c>
      <c r="G218" s="5" t="s">
        <v>239</v>
      </c>
    </row>
    <row r="219" spans="2:7" x14ac:dyDescent="0.25">
      <c r="B219" s="10">
        <f t="shared" si="3"/>
        <v>217</v>
      </c>
      <c r="C219" s="2">
        <v>45938</v>
      </c>
      <c r="E219" s="74" t="s">
        <v>288</v>
      </c>
      <c r="F219" s="70" t="s">
        <v>8</v>
      </c>
      <c r="G219" s="5" t="s">
        <v>239</v>
      </c>
    </row>
    <row r="220" spans="2:7" hidden="1" x14ac:dyDescent="0.25">
      <c r="B220" s="10">
        <f t="shared" si="3"/>
        <v>218</v>
      </c>
      <c r="C220" s="2">
        <v>45938</v>
      </c>
      <c r="E220" s="3" t="s">
        <v>289</v>
      </c>
      <c r="F220" s="70" t="s">
        <v>8</v>
      </c>
      <c r="G220" s="5" t="s">
        <v>9</v>
      </c>
    </row>
    <row r="221" spans="2:7" hidden="1" x14ac:dyDescent="0.25">
      <c r="B221" s="10">
        <f t="shared" si="3"/>
        <v>219</v>
      </c>
      <c r="C221" s="2">
        <v>45938</v>
      </c>
      <c r="E221" s="4" t="s">
        <v>290</v>
      </c>
      <c r="F221" s="70" t="s">
        <v>18</v>
      </c>
      <c r="G221" s="5" t="s">
        <v>9</v>
      </c>
    </row>
    <row r="222" spans="2:7" hidden="1" x14ac:dyDescent="0.25">
      <c r="B222" s="10">
        <f t="shared" si="3"/>
        <v>220</v>
      </c>
      <c r="C222" s="2">
        <v>45958</v>
      </c>
      <c r="E222" s="71" t="s">
        <v>291</v>
      </c>
      <c r="F222" s="70" t="s">
        <v>8</v>
      </c>
      <c r="G222" s="5" t="s">
        <v>9</v>
      </c>
    </row>
    <row r="223" spans="2:7" hidden="1" x14ac:dyDescent="0.25">
      <c r="B223" s="10">
        <f t="shared" si="3"/>
        <v>221</v>
      </c>
      <c r="C223" s="2">
        <v>45958</v>
      </c>
      <c r="E223" s="4" t="s">
        <v>292</v>
      </c>
      <c r="F223" s="70" t="s">
        <v>8</v>
      </c>
      <c r="G223" s="5" t="s">
        <v>9</v>
      </c>
    </row>
    <row r="224" spans="2:7" hidden="1" x14ac:dyDescent="0.25">
      <c r="B224" s="10">
        <f t="shared" si="3"/>
        <v>222</v>
      </c>
      <c r="C224" s="2">
        <v>45958</v>
      </c>
      <c r="E224" s="4" t="s">
        <v>293</v>
      </c>
      <c r="F224" s="70" t="s">
        <v>18</v>
      </c>
      <c r="G224" s="5" t="s">
        <v>9</v>
      </c>
    </row>
    <row r="225" spans="2:7" hidden="1" x14ac:dyDescent="0.25">
      <c r="B225" s="10">
        <f t="shared" si="3"/>
        <v>223</v>
      </c>
      <c r="C225" s="2">
        <v>45958</v>
      </c>
      <c r="E225" s="4" t="s">
        <v>294</v>
      </c>
      <c r="F225" s="70" t="s">
        <v>8</v>
      </c>
      <c r="G225" s="5" t="s">
        <v>9</v>
      </c>
    </row>
    <row r="226" spans="2:7" hidden="1" x14ac:dyDescent="0.25">
      <c r="B226" s="10">
        <f t="shared" si="3"/>
        <v>224</v>
      </c>
      <c r="C226" s="2">
        <v>45972</v>
      </c>
      <c r="E226" s="4" t="s">
        <v>295</v>
      </c>
      <c r="F226" s="70" t="s">
        <v>8</v>
      </c>
      <c r="G226" s="5" t="s">
        <v>9</v>
      </c>
    </row>
    <row r="227" spans="2:7" x14ac:dyDescent="0.25">
      <c r="B227" s="10">
        <f t="shared" si="3"/>
        <v>225</v>
      </c>
      <c r="C227" s="2">
        <v>45993</v>
      </c>
      <c r="E227" s="71" t="s">
        <v>296</v>
      </c>
      <c r="F227" s="70" t="s">
        <v>8</v>
      </c>
      <c r="G227" s="5" t="s">
        <v>9</v>
      </c>
    </row>
    <row r="228" spans="2:7" x14ac:dyDescent="0.25">
      <c r="B228" s="10">
        <f t="shared" si="3"/>
        <v>226</v>
      </c>
      <c r="C228" s="2">
        <v>45993</v>
      </c>
      <c r="E228" s="74" t="s">
        <v>297</v>
      </c>
      <c r="F228" s="70" t="s">
        <v>8</v>
      </c>
      <c r="G228" s="5" t="s">
        <v>239</v>
      </c>
    </row>
    <row r="229" spans="2:7" ht="17.25" hidden="1" customHeight="1" x14ac:dyDescent="0.25">
      <c r="B229" s="10">
        <f t="shared" si="3"/>
        <v>227</v>
      </c>
      <c r="C229" s="2">
        <v>45993</v>
      </c>
      <c r="E229" s="4" t="s">
        <v>298</v>
      </c>
      <c r="F229" s="70" t="s">
        <v>8</v>
      </c>
      <c r="G229" s="5" t="s">
        <v>9</v>
      </c>
    </row>
    <row r="230" spans="2:7" x14ac:dyDescent="0.25">
      <c r="B230" s="10">
        <f t="shared" si="3"/>
        <v>228</v>
      </c>
      <c r="C230" s="2">
        <v>45993</v>
      </c>
      <c r="E230" s="4" t="s">
        <v>299</v>
      </c>
      <c r="F230" s="70" t="s">
        <v>18</v>
      </c>
      <c r="G230" s="5" t="s">
        <v>239</v>
      </c>
    </row>
    <row r="231" spans="2:7" hidden="1" x14ac:dyDescent="0.25">
      <c r="B231" s="10">
        <f t="shared" si="3"/>
        <v>229</v>
      </c>
      <c r="C231" s="2">
        <v>45993</v>
      </c>
      <c r="E231" s="4" t="s">
        <v>300</v>
      </c>
    </row>
    <row r="232" spans="2:7" x14ac:dyDescent="0.25">
      <c r="B232" s="10">
        <f t="shared" si="3"/>
        <v>230</v>
      </c>
      <c r="C232" s="2">
        <v>46000</v>
      </c>
      <c r="E232" s="4" t="s">
        <v>301</v>
      </c>
      <c r="F232" s="70" t="s">
        <v>8</v>
      </c>
      <c r="G232" s="5" t="s">
        <v>9</v>
      </c>
    </row>
    <row r="233" spans="2:7" ht="30" x14ac:dyDescent="0.25">
      <c r="B233" s="10">
        <f t="shared" si="3"/>
        <v>231</v>
      </c>
      <c r="C233" s="2">
        <v>46000</v>
      </c>
      <c r="E233" s="4" t="s">
        <v>302</v>
      </c>
      <c r="F233" s="70" t="s">
        <v>8</v>
      </c>
      <c r="G233" s="5" t="s">
        <v>9</v>
      </c>
    </row>
    <row r="234" spans="2:7" ht="45" x14ac:dyDescent="0.25">
      <c r="B234" s="10">
        <f t="shared" si="3"/>
        <v>232</v>
      </c>
      <c r="C234" s="2">
        <v>46000</v>
      </c>
      <c r="E234" s="4" t="s">
        <v>303</v>
      </c>
      <c r="F234" s="70" t="s">
        <v>8</v>
      </c>
      <c r="G234" s="5" t="s">
        <v>9</v>
      </c>
    </row>
    <row r="235" spans="2:7" ht="30" x14ac:dyDescent="0.25">
      <c r="B235" s="10">
        <f t="shared" si="3"/>
        <v>233</v>
      </c>
      <c r="C235" s="2">
        <v>46000</v>
      </c>
      <c r="E235" s="4" t="s">
        <v>304</v>
      </c>
      <c r="F235" s="70" t="s">
        <v>8</v>
      </c>
      <c r="G235" s="5" t="s">
        <v>9</v>
      </c>
    </row>
    <row r="236" spans="2:7" ht="30" x14ac:dyDescent="0.25">
      <c r="B236" s="10">
        <f t="shared" si="3"/>
        <v>234</v>
      </c>
      <c r="C236" s="2">
        <v>46000</v>
      </c>
      <c r="E236" s="4" t="s">
        <v>305</v>
      </c>
      <c r="F236" s="70" t="s">
        <v>8</v>
      </c>
      <c r="G236" s="5" t="s">
        <v>9</v>
      </c>
    </row>
    <row r="237" spans="2:7" ht="30" x14ac:dyDescent="0.25">
      <c r="B237" s="10">
        <f t="shared" si="3"/>
        <v>235</v>
      </c>
      <c r="C237" s="2">
        <v>46000</v>
      </c>
      <c r="E237" s="4" t="s">
        <v>306</v>
      </c>
      <c r="F237" s="70" t="s">
        <v>8</v>
      </c>
      <c r="G237" s="5" t="s">
        <v>239</v>
      </c>
    </row>
    <row r="238" spans="2:7" x14ac:dyDescent="0.25">
      <c r="B238" s="10">
        <f t="shared" si="3"/>
        <v>236</v>
      </c>
      <c r="C238" s="2">
        <v>46000</v>
      </c>
      <c r="E238" s="3" t="s">
        <v>307</v>
      </c>
      <c r="F238" s="70" t="s">
        <v>8</v>
      </c>
      <c r="G238" s="5" t="s">
        <v>9</v>
      </c>
    </row>
    <row r="239" spans="2:7" x14ac:dyDescent="0.25">
      <c r="B239" s="10">
        <f t="shared" si="3"/>
        <v>237</v>
      </c>
      <c r="C239" s="2">
        <v>46007</v>
      </c>
      <c r="E239" s="74" t="s">
        <v>308</v>
      </c>
      <c r="F239" s="70" t="s">
        <v>18</v>
      </c>
      <c r="G239" s="70" t="s">
        <v>239</v>
      </c>
    </row>
    <row r="240" spans="2:7" x14ac:dyDescent="0.25">
      <c r="G240" s="70"/>
    </row>
  </sheetData>
  <autoFilter ref="B2:G240" xr:uid="{C651EB36-12F8-40A2-A53A-B95F0A848DCF}">
    <filterColumn colId="5">
      <filters>
        <filter val="P"/>
      </filters>
    </filterColumn>
    <sortState xmlns:xlrd2="http://schemas.microsoft.com/office/spreadsheetml/2017/richdata2" ref="B3:G55">
      <sortCondition ref="B2:B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grossling portales</dc:creator>
  <cp:lastModifiedBy>eduardo grossling portales</cp:lastModifiedBy>
  <dcterms:created xsi:type="dcterms:W3CDTF">2025-12-16T15:57:33Z</dcterms:created>
  <dcterms:modified xsi:type="dcterms:W3CDTF">2025-12-16T15:57:44Z</dcterms:modified>
</cp:coreProperties>
</file>