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ocs FICEM\Excel\GNR\"/>
    </mc:Choice>
  </mc:AlternateContent>
  <xr:revisionPtr revIDLastSave="0" documentId="8_{353609E6-C6F7-4297-8CE8-C5D4FF41AA62}" xr6:coauthVersionLast="47" xr6:coauthVersionMax="47" xr10:uidLastSave="{00000000-0000-0000-0000-000000000000}"/>
  <bookViews>
    <workbookView xWindow="31770" yWindow="1080" windowWidth="24360" windowHeight="19620" xr2:uid="{8ED63C3C-30C0-44A8-A198-5BA59869FE16}"/>
  </bookViews>
  <sheets>
    <sheet name="Hoja1" sheetId="1" r:id="rId1"/>
    <sheet name="Graficos 2050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2" l="1"/>
  <c r="G44" i="2"/>
  <c r="S43" i="2"/>
  <c r="G43" i="2"/>
  <c r="S42" i="2"/>
  <c r="G42" i="2"/>
  <c r="S41" i="2"/>
  <c r="G41" i="2"/>
  <c r="S40" i="2"/>
  <c r="G40" i="2"/>
  <c r="S39" i="2"/>
  <c r="G39" i="2"/>
</calcChain>
</file>

<file path=xl/sharedStrings.xml><?xml version="1.0" encoding="utf-8"?>
<sst xmlns="http://schemas.openxmlformats.org/spreadsheetml/2006/main" count="47" uniqueCount="31">
  <si>
    <t>EMISIONES NETAS ARGENTINA LB</t>
  </si>
  <si>
    <t>Netas Cementicio</t>
  </si>
  <si>
    <t>Factor Clínker</t>
  </si>
  <si>
    <t>Coprocesamiento</t>
  </si>
  <si>
    <t>EMISIONES NETAS GNR LB</t>
  </si>
  <si>
    <t>Argentina</t>
  </si>
  <si>
    <t>Brasil</t>
  </si>
  <si>
    <t>Alemania</t>
  </si>
  <si>
    <t>Colombia</t>
  </si>
  <si>
    <t>Francia</t>
  </si>
  <si>
    <t>USA</t>
  </si>
  <si>
    <t>UK</t>
  </si>
  <si>
    <t>Austria</t>
  </si>
  <si>
    <t>Canada</t>
  </si>
  <si>
    <t>India</t>
  </si>
  <si>
    <t>Italia</t>
  </si>
  <si>
    <t>España</t>
  </si>
  <si>
    <t>Biomasa</t>
  </si>
  <si>
    <t>CDR Fosil</t>
  </si>
  <si>
    <t>Comb. Fosiles</t>
  </si>
  <si>
    <t>Intensidad Mix Combustibles</t>
  </si>
  <si>
    <t xml:space="preserve">FACTOR CLINKER </t>
  </si>
  <si>
    <t>COPROCESAMIENTO (CDR+BIOMASA)</t>
  </si>
  <si>
    <t>Entidad</t>
  </si>
  <si>
    <t xml:space="preserve">           LB</t>
  </si>
  <si>
    <t>LB</t>
  </si>
  <si>
    <t>FICEM</t>
  </si>
  <si>
    <t>Perú</t>
  </si>
  <si>
    <t>Chile</t>
  </si>
  <si>
    <t>china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</si>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</sst>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_ ;_ * \-#,##0.0_ ;_ * &quot;-&quot;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Helvetica"/>
      <family val="2"/>
    </font>
    <font>
      <b/>
      <sz val="20"/>
      <color theme="0"/>
      <name val="Helvetica"/>
      <family val="2"/>
    </font>
    <font>
      <sz val="12"/>
      <color theme="0"/>
      <name val="Helvetica"/>
      <family val="2"/>
    </font>
    <font>
      <u/>
      <sz val="12"/>
      <color theme="0"/>
      <name val="Helvetica"/>
      <family val="2"/>
    </font>
    <font>
      <b/>
      <sz val="11"/>
      <color rgb="FF92D050"/>
      <name val="Helvetica"/>
      <family val="3"/>
    </font>
    <font>
      <b/>
      <sz val="12"/>
      <color rgb="FF92D050"/>
      <name val="Helvetica"/>
      <family val="3"/>
    </font>
    <font>
      <sz val="11"/>
      <color rgb="FFFF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5212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2" fillId="3" borderId="1" xfId="0" applyFont="1" applyFill="1" applyBorder="1"/>
    <xf numFmtId="41" fontId="2" fillId="3" borderId="2" xfId="1" applyFont="1" applyFill="1" applyBorder="1"/>
    <xf numFmtId="2" fontId="2" fillId="3" borderId="2" xfId="0" applyNumberFormat="1" applyFont="1" applyFill="1" applyBorder="1"/>
    <xf numFmtId="9" fontId="2" fillId="3" borderId="2" xfId="0" applyNumberFormat="1" applyFont="1" applyFill="1" applyBorder="1"/>
    <xf numFmtId="0" fontId="2" fillId="2" borderId="1" xfId="0" applyFont="1" applyFill="1" applyBorder="1"/>
    <xf numFmtId="41" fontId="2" fillId="2" borderId="2" xfId="1" applyFont="1" applyFill="1" applyBorder="1"/>
    <xf numFmtId="2" fontId="2" fillId="2" borderId="2" xfId="0" applyNumberFormat="1" applyFont="1" applyFill="1" applyBorder="1"/>
    <xf numFmtId="9" fontId="2" fillId="2" borderId="2" xfId="0" applyNumberFormat="1" applyFont="1" applyFill="1" applyBorder="1"/>
    <xf numFmtId="2" fontId="2" fillId="2" borderId="0" xfId="0" applyNumberFormat="1" applyFont="1" applyFill="1"/>
    <xf numFmtId="1" fontId="2" fillId="2" borderId="0" xfId="0" applyNumberFormat="1" applyFont="1" applyFill="1"/>
    <xf numFmtId="9" fontId="2" fillId="2" borderId="0" xfId="2" applyFont="1" applyFill="1"/>
    <xf numFmtId="0" fontId="3" fillId="4" borderId="0" xfId="0" applyFont="1" applyFill="1"/>
    <xf numFmtId="0" fontId="4" fillId="4" borderId="0" xfId="0" applyFont="1" applyFill="1"/>
    <xf numFmtId="164" fontId="5" fillId="4" borderId="0" xfId="1" applyNumberFormat="1" applyFont="1" applyFill="1"/>
    <xf numFmtId="0" fontId="6" fillId="4" borderId="0" xfId="0" applyFont="1" applyFill="1"/>
    <xf numFmtId="0" fontId="3" fillId="4" borderId="0" xfId="0" applyFont="1" applyFill="1" applyAlignment="1">
      <alignment horizontal="center"/>
    </xf>
    <xf numFmtId="0" fontId="5" fillId="4" borderId="0" xfId="0" applyFont="1" applyFill="1"/>
    <xf numFmtId="0" fontId="3" fillId="4" borderId="0" xfId="0" applyFont="1" applyFill="1" applyAlignment="1">
      <alignment horizontal="right"/>
    </xf>
    <xf numFmtId="0" fontId="7" fillId="4" borderId="0" xfId="0" applyFont="1" applyFill="1"/>
    <xf numFmtId="41" fontId="8" fillId="4" borderId="0" xfId="1" applyFont="1" applyFill="1"/>
    <xf numFmtId="41" fontId="5" fillId="4" borderId="0" xfId="1" applyFont="1" applyFill="1"/>
    <xf numFmtId="0" fontId="9" fillId="4" borderId="0" xfId="0" applyFont="1" applyFill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Hoja1!$C$3</c:f>
              <c:strCache>
                <c:ptCount val="1"/>
                <c:pt idx="0">
                  <c:v>Netas Cementicio</c:v>
                </c:pt>
              </c:strCache>
            </c:strRef>
          </c:tx>
          <c:spPr>
            <a:noFill/>
            <a:ln w="28575">
              <a:solidFill>
                <a:schemeClr val="bg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Hoja1!$B$4:$B$19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Hoja1!$C$4:$C$19</c:f>
              <c:numCache>
                <c:formatCode>_(* #,##0_);_(* \(#,##0\);_(* "-"_);_(@_)</c:formatCode>
                <c:ptCount val="16"/>
                <c:pt idx="0">
                  <c:v>589.27522686849204</c:v>
                </c:pt>
                <c:pt idx="1">
                  <c:v>578.64462486418995</c:v>
                </c:pt>
                <c:pt idx="2">
                  <c:v>575.59307794721201</c:v>
                </c:pt>
                <c:pt idx="3">
                  <c:v>570.77860306702496</c:v>
                </c:pt>
                <c:pt idx="4">
                  <c:v>571.94877852345996</c:v>
                </c:pt>
                <c:pt idx="5">
                  <c:v>570.30259390795402</c:v>
                </c:pt>
                <c:pt idx="6">
                  <c:v>554.58265241598394</c:v>
                </c:pt>
                <c:pt idx="7">
                  <c:v>571.34029843353505</c:v>
                </c:pt>
                <c:pt idx="8">
                  <c:v>529.93656666403297</c:v>
                </c:pt>
                <c:pt idx="9">
                  <c:v>524.58038285555801</c:v>
                </c:pt>
                <c:pt idx="10">
                  <c:v>516.26225679855099</c:v>
                </c:pt>
                <c:pt idx="11">
                  <c:v>536.30086536808301</c:v>
                </c:pt>
                <c:pt idx="12">
                  <c:v>512.75666999327404</c:v>
                </c:pt>
                <c:pt idx="13">
                  <c:v>511.35378991714998</c:v>
                </c:pt>
                <c:pt idx="14">
                  <c:v>513.33798800657905</c:v>
                </c:pt>
                <c:pt idx="15" formatCode="0.00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A-48C9-BF68-5E789BB35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811106496"/>
        <c:axId val="811106856"/>
      </c:barChart>
      <c:lineChart>
        <c:grouping val="standard"/>
        <c:varyColors val="0"/>
        <c:ser>
          <c:idx val="1"/>
          <c:order val="1"/>
          <c:tx>
            <c:strRef>
              <c:f>Hoja1!$D$3</c:f>
              <c:strCache>
                <c:ptCount val="1"/>
                <c:pt idx="0">
                  <c:v>Factor Clínker</c:v>
                </c:pt>
              </c:strCache>
            </c:strRef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952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Hoja1!$B$4:$B$19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Hoja1!$D$4:$D$19</c:f>
              <c:numCache>
                <c:formatCode>0.00</c:formatCode>
                <c:ptCount val="16"/>
                <c:pt idx="0">
                  <c:v>0.74980832785543605</c:v>
                </c:pt>
                <c:pt idx="1">
                  <c:v>0.76622015671257304</c:v>
                </c:pt>
                <c:pt idx="2">
                  <c:v>0.76246893051388198</c:v>
                </c:pt>
                <c:pt idx="3">
                  <c:v>0.74896649423424599</c:v>
                </c:pt>
                <c:pt idx="4">
                  <c:v>0.73073480676859104</c:v>
                </c:pt>
                <c:pt idx="5">
                  <c:v>0.72961689588087197</c:v>
                </c:pt>
                <c:pt idx="6">
                  <c:v>0.71606460860086196</c:v>
                </c:pt>
                <c:pt idx="7">
                  <c:v>0.73431204160701202</c:v>
                </c:pt>
                <c:pt idx="8">
                  <c:v>0.73090711855841395</c:v>
                </c:pt>
                <c:pt idx="9">
                  <c:v>0.72769912638852496</c:v>
                </c:pt>
                <c:pt idx="10">
                  <c:v>0.72595196745675905</c:v>
                </c:pt>
                <c:pt idx="11">
                  <c:v>0.72933411753563504</c:v>
                </c:pt>
                <c:pt idx="12">
                  <c:v>0.734252374870351</c:v>
                </c:pt>
                <c:pt idx="13">
                  <c:v>0.73162759264059196</c:v>
                </c:pt>
                <c:pt idx="14">
                  <c:v>0.72595339598923603</c:v>
                </c:pt>
                <c:pt idx="15">
                  <c:v>0.67500000000000004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A-48C9-BF68-5E789BB357BE}"/>
            </c:ext>
          </c:extLst>
        </c:ser>
        <c:ser>
          <c:idx val="2"/>
          <c:order val="2"/>
          <c:tx>
            <c:strRef>
              <c:f>Hoja1!$E$3</c:f>
              <c:strCache>
                <c:ptCount val="1"/>
                <c:pt idx="0">
                  <c:v>Coprocesamiento</c:v>
                </c:pt>
              </c:strCache>
            </c:strRef>
          </c:tx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Hoja1!$B$4:$B$19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Hoja1!$E$4:$E$19</c:f>
              <c:numCache>
                <c:formatCode>0%</c:formatCode>
                <c:ptCount val="16"/>
                <c:pt idx="0">
                  <c:v>4.3346200222933007E-2</c:v>
                </c:pt>
                <c:pt idx="1">
                  <c:v>4.1012485606019999E-2</c:v>
                </c:pt>
                <c:pt idx="2">
                  <c:v>2.9038578379599E-2</c:v>
                </c:pt>
                <c:pt idx="3">
                  <c:v>3.0063710494923956E-2</c:v>
                </c:pt>
                <c:pt idx="4">
                  <c:v>3.6604300849648053E-2</c:v>
                </c:pt>
                <c:pt idx="5">
                  <c:v>3.1287488629171967E-2</c:v>
                </c:pt>
                <c:pt idx="6">
                  <c:v>3.5493008995682973E-2</c:v>
                </c:pt>
                <c:pt idx="7">
                  <c:v>4.2121151101331966E-2</c:v>
                </c:pt>
                <c:pt idx="8">
                  <c:v>4.9778295225993974E-2</c:v>
                </c:pt>
                <c:pt idx="9">
                  <c:v>5.7055060293565996E-2</c:v>
                </c:pt>
                <c:pt idx="10">
                  <c:v>5.9986520067448978E-2</c:v>
                </c:pt>
                <c:pt idx="11">
                  <c:v>6.3393445603418974E-2</c:v>
                </c:pt>
                <c:pt idx="12">
                  <c:v>5.5533858099864997E-2</c:v>
                </c:pt>
                <c:pt idx="13">
                  <c:v>5.1094063759222985E-2</c:v>
                </c:pt>
                <c:pt idx="14">
                  <c:v>6.5018064416096033E-2</c:v>
                </c:pt>
                <c:pt idx="15">
                  <c:v>8.7797776206126055E-2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BA-48C9-BF68-5E789BB35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167648"/>
        <c:axId val="1040168008"/>
      </c:lineChart>
      <c:catAx>
        <c:axId val="81110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1106856"/>
        <c:crosses val="autoZero"/>
        <c:auto val="1"/>
        <c:lblAlgn val="ctr"/>
        <c:lblOffset val="100"/>
        <c:noMultiLvlLbl val="0"/>
      </c:catAx>
      <c:valAx>
        <c:axId val="811106856"/>
        <c:scaling>
          <c:orientation val="minMax"/>
          <c:max val="700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25000"/>
                </a:schemeClr>
              </a:solidFill>
              <a:prstDash val="sysDot"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1106496"/>
        <c:crosses val="autoZero"/>
        <c:crossBetween val="between"/>
        <c:majorUnit val="100"/>
      </c:valAx>
      <c:valAx>
        <c:axId val="1040168008"/>
        <c:scaling>
          <c:orientation val="minMax"/>
          <c:max val="1.3"/>
          <c:min val="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0167648"/>
        <c:crosses val="max"/>
        <c:crossBetween val="between"/>
      </c:valAx>
      <c:catAx>
        <c:axId val="1040167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0168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chemeClr val="bg1"/>
                </a:solidFill>
              </a:rPr>
              <a:t>Emisiones Netas Cementicio [kgCO</a:t>
            </a:r>
            <a:r>
              <a:rPr lang="es-CL" baseline="-25000">
                <a:solidFill>
                  <a:schemeClr val="bg1"/>
                </a:solidFill>
              </a:rPr>
              <a:t>2</a:t>
            </a:r>
            <a:r>
              <a:rPr lang="es-CL">
                <a:solidFill>
                  <a:schemeClr val="bg1"/>
                </a:solidFill>
              </a:rPr>
              <a:t>/tcem]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85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Hoja1!$B$24:$B$35</c:f>
              <c:strCache>
                <c:ptCount val="12"/>
                <c:pt idx="0">
                  <c:v>Austria</c:v>
                </c:pt>
                <c:pt idx="1">
                  <c:v>Alemania</c:v>
                </c:pt>
                <c:pt idx="2">
                  <c:v>Argentina</c:v>
                </c:pt>
                <c:pt idx="3">
                  <c:v>Brasil</c:v>
                </c:pt>
                <c:pt idx="4">
                  <c:v>India</c:v>
                </c:pt>
                <c:pt idx="5">
                  <c:v>Francia</c:v>
                </c:pt>
                <c:pt idx="6">
                  <c:v>UK</c:v>
                </c:pt>
                <c:pt idx="7">
                  <c:v>Italia</c:v>
                </c:pt>
                <c:pt idx="8">
                  <c:v>España</c:v>
                </c:pt>
                <c:pt idx="9">
                  <c:v>Colombia</c:v>
                </c:pt>
                <c:pt idx="10">
                  <c:v>Canada</c:v>
                </c:pt>
                <c:pt idx="11">
                  <c:v>USA</c:v>
                </c:pt>
              </c:strCache>
            </c:strRef>
          </c:cat>
          <c:val>
            <c:numRef>
              <c:f>Hoja1!$C$24:$C$35</c:f>
              <c:numCache>
                <c:formatCode>0</c:formatCode>
                <c:ptCount val="12"/>
                <c:pt idx="0">
                  <c:v>432.37</c:v>
                </c:pt>
                <c:pt idx="1">
                  <c:v>465.97</c:v>
                </c:pt>
                <c:pt idx="2">
                  <c:v>507</c:v>
                </c:pt>
                <c:pt idx="3">
                  <c:v>540.42999999999995</c:v>
                </c:pt>
                <c:pt idx="4">
                  <c:v>543.46</c:v>
                </c:pt>
                <c:pt idx="5">
                  <c:v>554.32000000000005</c:v>
                </c:pt>
                <c:pt idx="6">
                  <c:v>576.03</c:v>
                </c:pt>
                <c:pt idx="7">
                  <c:v>602.85</c:v>
                </c:pt>
                <c:pt idx="8">
                  <c:v>624.16</c:v>
                </c:pt>
                <c:pt idx="9">
                  <c:v>626.72</c:v>
                </c:pt>
                <c:pt idx="10">
                  <c:v>631.66999999999996</c:v>
                </c:pt>
                <c:pt idx="11">
                  <c:v>708.71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F-48A5-91D7-3894CE365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-27"/>
        <c:axId val="1143158976"/>
        <c:axId val="1143165096"/>
      </c:barChart>
      <c:catAx>
        <c:axId val="114315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3165096"/>
        <c:crosses val="autoZero"/>
        <c:auto val="1"/>
        <c:lblAlgn val="ctr"/>
        <c:lblOffset val="100"/>
        <c:noMultiLvlLbl val="0"/>
      </c:catAx>
      <c:valAx>
        <c:axId val="11431650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315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Hoja1!$E$42</c:f>
              <c:strCache>
                <c:ptCount val="1"/>
                <c:pt idx="0">
                  <c:v>Comb. Fosiles</c:v>
                </c:pt>
              </c:strCache>
            </c:strRef>
          </c:tx>
          <c:spPr>
            <a:noFill/>
            <a:ln w="2222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Hoja1!$B$43:$B$58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Hoja1!$E$43:$E$58</c:f>
              <c:numCache>
                <c:formatCode>0%</c:formatCode>
                <c:ptCount val="16"/>
                <c:pt idx="0">
                  <c:v>0.95665379977706699</c:v>
                </c:pt>
                <c:pt idx="1">
                  <c:v>0.95898751439398</c:v>
                </c:pt>
                <c:pt idx="2">
                  <c:v>0.970961421620401</c:v>
                </c:pt>
                <c:pt idx="3">
                  <c:v>0.96993628950507604</c:v>
                </c:pt>
                <c:pt idx="4">
                  <c:v>0.96339569915035195</c:v>
                </c:pt>
                <c:pt idx="5">
                  <c:v>0.96871251137082803</c:v>
                </c:pt>
                <c:pt idx="6">
                  <c:v>0.96450699100431703</c:v>
                </c:pt>
                <c:pt idx="7">
                  <c:v>0.95787884889866803</c:v>
                </c:pt>
                <c:pt idx="8">
                  <c:v>0.95022170477400603</c:v>
                </c:pt>
                <c:pt idx="9">
                  <c:v>0.942944939706434</c:v>
                </c:pt>
                <c:pt idx="10">
                  <c:v>0.94001347993255102</c:v>
                </c:pt>
                <c:pt idx="11">
                  <c:v>0.93660655439658103</c:v>
                </c:pt>
                <c:pt idx="12">
                  <c:v>0.944466141900135</c:v>
                </c:pt>
                <c:pt idx="13">
                  <c:v>0.94890593624077701</c:v>
                </c:pt>
                <c:pt idx="14">
                  <c:v>0.93498193558390397</c:v>
                </c:pt>
                <c:pt idx="15">
                  <c:v>0.91220222379387395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74-4C48-84B2-0903987D7751}"/>
            </c:ext>
          </c:extLst>
        </c:ser>
        <c:ser>
          <c:idx val="0"/>
          <c:order val="1"/>
          <c:tx>
            <c:strRef>
              <c:f>Hoja1!$C$42</c:f>
              <c:strCache>
                <c:ptCount val="1"/>
                <c:pt idx="0">
                  <c:v>CDR Fosil</c:v>
                </c:pt>
              </c:strCache>
            </c:strRef>
          </c:tx>
          <c:spPr>
            <a:pattFill prst="wdUpDiag">
              <a:fgClr>
                <a:schemeClr val="bg1"/>
              </a:fgClr>
              <a:bgClr>
                <a:srgbClr val="002060"/>
              </a:bgClr>
            </a:pattFill>
            <a:ln w="2222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numRef>
              <c:f>Hoja1!$B$43:$B$58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Hoja1!$C$43:$C$58</c:f>
              <c:numCache>
                <c:formatCode>0%</c:formatCode>
                <c:ptCount val="16"/>
                <c:pt idx="0">
                  <c:v>4.0362891740464299E-2</c:v>
                </c:pt>
                <c:pt idx="1">
                  <c:v>3.7778475669581903E-2</c:v>
                </c:pt>
                <c:pt idx="2">
                  <c:v>2.39070692011693E-2</c:v>
                </c:pt>
                <c:pt idx="3">
                  <c:v>2.3168245524223099E-2</c:v>
                </c:pt>
                <c:pt idx="4">
                  <c:v>2.63255934376142E-2</c:v>
                </c:pt>
                <c:pt idx="5">
                  <c:v>2.3383199890496701E-2</c:v>
                </c:pt>
                <c:pt idx="6">
                  <c:v>2.3454973867580001E-2</c:v>
                </c:pt>
                <c:pt idx="7">
                  <c:v>2.6635851774896298E-2</c:v>
                </c:pt>
                <c:pt idx="8">
                  <c:v>2.7555897992780201E-2</c:v>
                </c:pt>
                <c:pt idx="9">
                  <c:v>4.3830011240326497E-2</c:v>
                </c:pt>
                <c:pt idx="10">
                  <c:v>4.4288286056841403E-2</c:v>
                </c:pt>
                <c:pt idx="11">
                  <c:v>3.4371663939361398E-2</c:v>
                </c:pt>
                <c:pt idx="12">
                  <c:v>2.4152218115013599E-2</c:v>
                </c:pt>
                <c:pt idx="13">
                  <c:v>2.67097269664687E-2</c:v>
                </c:pt>
                <c:pt idx="14">
                  <c:v>2.8607467683392101E-2</c:v>
                </c:pt>
                <c:pt idx="15">
                  <c:v>4.4167919456508498E-2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4-4C48-84B2-0903987D7751}"/>
            </c:ext>
          </c:extLst>
        </c:ser>
        <c:ser>
          <c:idx val="1"/>
          <c:order val="2"/>
          <c:tx>
            <c:strRef>
              <c:f>Hoja1!$D$42</c:f>
              <c:strCache>
                <c:ptCount val="1"/>
                <c:pt idx="0">
                  <c:v>Biomasa</c:v>
                </c:pt>
              </c:strCache>
            </c:strRef>
          </c:tx>
          <c:spPr>
            <a:pattFill prst="pct80">
              <a:fgClr>
                <a:srgbClr val="002060"/>
              </a:fgClr>
              <a:bgClr>
                <a:schemeClr val="bg1"/>
              </a:bgClr>
            </a:pattFill>
            <a:ln w="2222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numRef>
              <c:f>Hoja1!$B$43:$B$58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Hoja1!$D$43:$D$58</c:f>
              <c:numCache>
                <c:formatCode>0%</c:formatCode>
                <c:ptCount val="16"/>
                <c:pt idx="0">
                  <c:v>2.9833084824677099E-3</c:v>
                </c:pt>
                <c:pt idx="1">
                  <c:v>3.2340099364379601E-3</c:v>
                </c:pt>
                <c:pt idx="2">
                  <c:v>5.1315091784294702E-3</c:v>
                </c:pt>
                <c:pt idx="3">
                  <c:v>6.8954649707003201E-3</c:v>
                </c:pt>
                <c:pt idx="4">
                  <c:v>1.02787074120336E-2</c:v>
                </c:pt>
                <c:pt idx="5">
                  <c:v>7.9042887386744799E-3</c:v>
                </c:pt>
                <c:pt idx="6">
                  <c:v>1.20380351281022E-2</c:v>
                </c:pt>
                <c:pt idx="7">
                  <c:v>1.54852993264347E-2</c:v>
                </c:pt>
                <c:pt idx="8">
                  <c:v>2.2222397233212801E-2</c:v>
                </c:pt>
                <c:pt idx="9">
                  <c:v>1.3225049053238999E-2</c:v>
                </c:pt>
                <c:pt idx="10">
                  <c:v>1.5698234010606601E-2</c:v>
                </c:pt>
                <c:pt idx="11">
                  <c:v>2.9021781664057202E-2</c:v>
                </c:pt>
                <c:pt idx="12">
                  <c:v>3.1381639984851099E-2</c:v>
                </c:pt>
                <c:pt idx="13">
                  <c:v>2.43843367927538E-2</c:v>
                </c:pt>
                <c:pt idx="14">
                  <c:v>3.6410596732703401E-2</c:v>
                </c:pt>
                <c:pt idx="15">
                  <c:v>4.3629856749617002E-2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4-4C48-84B2-0903987D7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143150336"/>
        <c:axId val="1143155376"/>
      </c:barChart>
      <c:lineChart>
        <c:grouping val="standard"/>
        <c:varyColors val="0"/>
        <c:ser>
          <c:idx val="3"/>
          <c:order val="3"/>
          <c:tx>
            <c:strRef>
              <c:f>Hoja1!$F$42</c:f>
              <c:strCache>
                <c:ptCount val="1"/>
                <c:pt idx="0">
                  <c:v>Intensidad Mix Combustibles</c:v>
                </c:pt>
              </c:strCache>
            </c:strRef>
          </c:tx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Hoja1!$B$43:$B$58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Hoja1!$F$43:$F$58</c:f>
              <c:numCache>
                <c:formatCode>0.00</c:formatCode>
                <c:ptCount val="16"/>
                <c:pt idx="0">
                  <c:v>61.275529837538798</c:v>
                </c:pt>
                <c:pt idx="1">
                  <c:v>60.379085614203397</c:v>
                </c:pt>
                <c:pt idx="2">
                  <c:v>63.201460090550398</c:v>
                </c:pt>
                <c:pt idx="3">
                  <c:v>61.668358770209501</c:v>
                </c:pt>
                <c:pt idx="4">
                  <c:v>65.451601748490305</c:v>
                </c:pt>
                <c:pt idx="5">
                  <c:v>66.2764834190627</c:v>
                </c:pt>
                <c:pt idx="6">
                  <c:v>65.367231684074497</c:v>
                </c:pt>
                <c:pt idx="7">
                  <c:v>68.353883975710204</c:v>
                </c:pt>
                <c:pt idx="8">
                  <c:v>66.843444313786705</c:v>
                </c:pt>
                <c:pt idx="9">
                  <c:v>67.286748378632794</c:v>
                </c:pt>
                <c:pt idx="10">
                  <c:v>67.937541576111698</c:v>
                </c:pt>
                <c:pt idx="11">
                  <c:v>73.654982122390606</c:v>
                </c:pt>
                <c:pt idx="12">
                  <c:v>68.585141633854306</c:v>
                </c:pt>
                <c:pt idx="13">
                  <c:v>66.854608727536103</c:v>
                </c:pt>
                <c:pt idx="14">
                  <c:v>64.197195681411401</c:v>
                </c:pt>
                <c:pt idx="15">
                  <c:v>62.722040641283698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74-4C48-84B2-0903987D7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155016"/>
        <c:axId val="1143147456"/>
      </c:lineChart>
      <c:catAx>
        <c:axId val="11431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3155376"/>
        <c:crosses val="autoZero"/>
        <c:auto val="1"/>
        <c:lblAlgn val="ctr"/>
        <c:lblOffset val="100"/>
        <c:noMultiLvlLbl val="0"/>
      </c:catAx>
      <c:valAx>
        <c:axId val="1143155376"/>
        <c:scaling>
          <c:orientation val="minMax"/>
          <c:max val="1"/>
          <c:min val="0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2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700">
                    <a:solidFill>
                      <a:schemeClr val="bg1"/>
                    </a:solidFill>
                  </a:rPr>
                  <a:t>Participación</a:t>
                </a:r>
                <a:r>
                  <a:rPr lang="es-CL" sz="700" baseline="0">
                    <a:solidFill>
                      <a:schemeClr val="bg1"/>
                    </a:solidFill>
                  </a:rPr>
                  <a:t> Combustibles [%]</a:t>
                </a:r>
                <a:endParaRPr lang="es-CL" sz="700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3150336"/>
        <c:crosses val="autoZero"/>
        <c:crossBetween val="between"/>
      </c:valAx>
      <c:valAx>
        <c:axId val="11431474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700">
                    <a:solidFill>
                      <a:schemeClr val="bg1"/>
                    </a:solidFill>
                  </a:rPr>
                  <a:t>Intensidad Mix Combustibles [gCO2/MJ]  </a:t>
                </a:r>
              </a:p>
            </c:rich>
          </c:tx>
          <c:layout>
            <c:manualLayout>
              <c:xMode val="edge"/>
              <c:yMode val="edge"/>
              <c:x val="0.96501181497733834"/>
              <c:y val="0.17171296296296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3155016"/>
        <c:crosses val="max"/>
        <c:crossBetween val="between"/>
      </c:valAx>
      <c:catAx>
        <c:axId val="1143155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3147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3038211261727"/>
          <c:y val="2.3258067608553395E-2"/>
          <c:w val="0.79393743401818517"/>
          <c:h val="0.85632999328218129"/>
        </c:manualLayout>
      </c:layout>
      <c:lineChart>
        <c:grouping val="standard"/>
        <c:varyColors val="0"/>
        <c:ser>
          <c:idx val="0"/>
          <c:order val="0"/>
          <c:tx>
            <c:strRef>
              <c:f>'Graficos 2050 (2)'!$D$39</c:f>
              <c:strCache>
                <c:ptCount val="1"/>
                <c:pt idx="0">
                  <c:v>FICEM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A7D-406B-A53F-0669A5B71C3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A7D-406B-A53F-0669A5B71C36}"/>
              </c:ext>
            </c:extLst>
          </c:dPt>
          <c:dLbls>
            <c:dLbl>
              <c:idx val="0"/>
              <c:layout>
                <c:manualLayout>
                  <c:x val="-6.8498569936028375E-2"/>
                  <c:y val="2.51915444042221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7D-406B-A53F-0669A5B71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(2)'!$E$38:$H$38</c:f>
              <c:strCache>
                <c:ptCount val="4"/>
                <c:pt idx="0">
                  <c:v>           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(2)'!$E$39:$H$39</c:f>
              <c:numCache>
                <c:formatCode>_(* #,##0_);_(* \(#,##0\);_(* "-"_);_(@_)</c:formatCode>
                <c:ptCount val="4"/>
                <c:pt idx="0">
                  <c:v>67</c:v>
                </c:pt>
                <c:pt idx="1">
                  <c:v>66</c:v>
                </c:pt>
                <c:pt idx="2">
                  <c:v>63</c:v>
                </c:pt>
                <c:pt idx="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D-406B-A53F-0669A5B71C36}"/>
            </c:ext>
          </c:extLst>
        </c:ser>
        <c:ser>
          <c:idx val="1"/>
          <c:order val="1"/>
          <c:tx>
            <c:strRef>
              <c:f>'Graficos 2050 (2)'!$D$40</c:f>
              <c:strCache>
                <c:ptCount val="1"/>
                <c:pt idx="0">
                  <c:v>Perú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8605608290951118E-2"/>
                  <c:y val="-2.64342726190638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7D-406B-A53F-0669A5B71C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7D-406B-A53F-0669A5B71C3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7D-406B-A53F-0669A5B71C3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7D-406B-A53F-0669A5B71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(2)'!$E$38:$H$38</c:f>
              <c:strCache>
                <c:ptCount val="4"/>
                <c:pt idx="0">
                  <c:v>           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(2)'!$E$40:$H$40</c:f>
              <c:numCache>
                <c:formatCode>_(* #,##0_);_(* \(#,##0\);_(* "-"_);_(@_)</c:formatCode>
                <c:ptCount val="4"/>
                <c:pt idx="0">
                  <c:v>76</c:v>
                </c:pt>
                <c:pt idx="1">
                  <c:v>70</c:v>
                </c:pt>
                <c:pt idx="2">
                  <c:v>66.5</c:v>
                </c:pt>
                <c:pt idx="3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7D-406B-A53F-0669A5B71C36}"/>
            </c:ext>
          </c:extLst>
        </c:ser>
        <c:ser>
          <c:idx val="2"/>
          <c:order val="2"/>
          <c:tx>
            <c:strRef>
              <c:f>'Graficos 2050 (2)'!$D$41</c:f>
              <c:strCache>
                <c:ptCount val="1"/>
                <c:pt idx="0">
                  <c:v>Colombia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>
                      <a:lumMod val="9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A7D-406B-A53F-0669A5B71C3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>
                      <a:lumMod val="9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A7D-406B-A53F-0669A5B71C36}"/>
              </c:ext>
            </c:extLst>
          </c:dPt>
          <c:dLbls>
            <c:dLbl>
              <c:idx val="0"/>
              <c:layout>
                <c:manualLayout>
                  <c:x val="-7.2397932130270015E-2"/>
                  <c:y val="-8.3783773918370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7D-406B-A53F-0669A5B71C36}"/>
                </c:ext>
              </c:extLst>
            </c:dLbl>
            <c:dLbl>
              <c:idx val="2"/>
              <c:layout>
                <c:manualLayout>
                  <c:x val="0.20347177568561564"/>
                  <c:y val="2.107162660679448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7D-406B-A53F-0669A5B71C3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7D-406B-A53F-0669A5B71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(2)'!$E$38:$H$38</c:f>
              <c:strCache>
                <c:ptCount val="4"/>
                <c:pt idx="0">
                  <c:v>           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(2)'!$E$41:$H$41</c:f>
              <c:numCache>
                <c:formatCode>_(* #,##0_);_(* \(#,##0\);_(* "-"_);_(@_)</c:formatCode>
                <c:ptCount val="4"/>
                <c:pt idx="0">
                  <c:v>69</c:v>
                </c:pt>
                <c:pt idx="1">
                  <c:v>64</c:v>
                </c:pt>
                <c:pt idx="2">
                  <c:v>59.5</c:v>
                </c:pt>
                <c:pt idx="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A7D-406B-A53F-0669A5B71C36}"/>
            </c:ext>
          </c:extLst>
        </c:ser>
        <c:ser>
          <c:idx val="3"/>
          <c:order val="3"/>
          <c:tx>
            <c:strRef>
              <c:f>'Graficos 2050 (2)'!$D$42</c:f>
              <c:strCache>
                <c:ptCount val="1"/>
                <c:pt idx="0">
                  <c:v>Chile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>
                      <a:lumMod val="9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BA7D-406B-A53F-0669A5B71C3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>
                      <a:lumMod val="9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BA7D-406B-A53F-0669A5B71C36}"/>
              </c:ext>
            </c:extLst>
          </c:dPt>
          <c:cat>
            <c:strRef>
              <c:f>'Graficos 2050 (2)'!$E$38:$H$38</c:f>
              <c:strCache>
                <c:ptCount val="4"/>
                <c:pt idx="0">
                  <c:v>           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(2)'!$E$42:$H$42</c:f>
              <c:numCache>
                <c:formatCode>_(* #,##0_);_(* \(#,##0\);_(* "-"_);_(@_)</c:formatCode>
                <c:ptCount val="4"/>
                <c:pt idx="0">
                  <c:v>71</c:v>
                </c:pt>
                <c:pt idx="1">
                  <c:v>68</c:v>
                </c:pt>
                <c:pt idx="2">
                  <c:v>65.5</c:v>
                </c:pt>
                <c:pt idx="3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7D-406B-A53F-0669A5B71C36}"/>
            </c:ext>
          </c:extLst>
        </c:ser>
        <c:ser>
          <c:idx val="4"/>
          <c:order val="4"/>
          <c:tx>
            <c:strRef>
              <c:f>'Graficos 2050 (2)'!$D$43</c:f>
              <c:strCache>
                <c:ptCount val="1"/>
                <c:pt idx="0">
                  <c:v>Argentina</c:v>
                </c:pt>
              </c:strCache>
            </c:strRef>
          </c:tx>
          <c:spPr>
            <a:ln w="15875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BA7D-406B-A53F-0669A5B71C3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BA7D-406B-A53F-0669A5B71C36}"/>
              </c:ext>
            </c:extLst>
          </c:dPt>
          <c:dLbls>
            <c:dLbl>
              <c:idx val="0"/>
              <c:layout>
                <c:manualLayout>
                  <c:x val="-7.2423966904717987E-2"/>
                  <c:y val="6.31518308588828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A7D-406B-A53F-0669A5B71C36}"/>
                </c:ext>
              </c:extLst>
            </c:dLbl>
            <c:dLbl>
              <c:idx val="2"/>
              <c:layout>
                <c:manualLayout>
                  <c:x val="0.20151531630402331"/>
                  <c:y val="-6.32148798203834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A7D-406B-A53F-0669A5B71C3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A7D-406B-A53F-0669A5B71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(2)'!$E$38:$H$38</c:f>
              <c:strCache>
                <c:ptCount val="4"/>
                <c:pt idx="0">
                  <c:v>           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(2)'!$E$43:$H$43</c:f>
              <c:numCache>
                <c:formatCode>_(* #,##0_);_(* \(#,##0\);_(* "-"_);_(@_)</c:formatCode>
                <c:ptCount val="4"/>
                <c:pt idx="0">
                  <c:v>68</c:v>
                </c:pt>
                <c:pt idx="1">
                  <c:v>65</c:v>
                </c:pt>
                <c:pt idx="2">
                  <c:v>63</c:v>
                </c:pt>
                <c:pt idx="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A7D-406B-A53F-0669A5B71C36}"/>
            </c:ext>
          </c:extLst>
        </c:ser>
        <c:ser>
          <c:idx val="6"/>
          <c:order val="5"/>
          <c:tx>
            <c:strRef>
              <c:f>'Graficos 2050 (2)'!$D$44</c:f>
              <c:strCache>
                <c:ptCount val="1"/>
                <c:pt idx="0">
                  <c:v>Brasil</c:v>
                </c:pt>
              </c:strCache>
            </c:strRef>
          </c:tx>
          <c:spPr>
            <a:ln w="158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2388997118920981E-2"/>
                  <c:y val="-1.8964463946115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A7D-406B-A53F-0669A5B71C3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7D-406B-A53F-0669A5B71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(2)'!$E$38:$H$38</c:f>
              <c:strCache>
                <c:ptCount val="4"/>
                <c:pt idx="0">
                  <c:v>           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(2)'!$E$44:$H$44</c:f>
              <c:numCache>
                <c:formatCode>_(* #,##0_);_(* \(#,##0\);_(* "-"_);_(@_)</c:formatCode>
                <c:ptCount val="4"/>
                <c:pt idx="0">
                  <c:v>71</c:v>
                </c:pt>
                <c:pt idx="1">
                  <c:v>61</c:v>
                </c:pt>
                <c:pt idx="2">
                  <c:v>56</c:v>
                </c:pt>
                <c:pt idx="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A7D-406B-A53F-0669A5B71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30752"/>
        <c:axId val="1105707104"/>
      </c:lineChart>
      <c:catAx>
        <c:axId val="110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707104"/>
        <c:crosses val="autoZero"/>
        <c:auto val="1"/>
        <c:lblAlgn val="ctr"/>
        <c:lblOffset val="100"/>
        <c:noMultiLvlLbl val="0"/>
      </c:catAx>
      <c:valAx>
        <c:axId val="1105707104"/>
        <c:scaling>
          <c:orientation val="minMax"/>
          <c:max val="80"/>
          <c:min val="45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2307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154479197757"/>
          <c:y val="3.0123827087225677E-2"/>
          <c:w val="0.83182610928713618"/>
          <c:h val="0.86410983556478138"/>
        </c:manualLayout>
      </c:layout>
      <c:lineChart>
        <c:grouping val="standard"/>
        <c:varyColors val="0"/>
        <c:ser>
          <c:idx val="1"/>
          <c:order val="0"/>
          <c:tx>
            <c:strRef>
              <c:f>'Graficos 2050 (2)'!$P$39</c:f>
              <c:strCache>
                <c:ptCount val="1"/>
                <c:pt idx="0">
                  <c:v>FICEM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DE1-4601-8F8F-B9B47CE3FB41}"/>
              </c:ext>
            </c:extLst>
          </c:dPt>
          <c:dLbls>
            <c:dLbl>
              <c:idx val="0"/>
              <c:layout>
                <c:manualLayout>
                  <c:x val="-6.7493796526054556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E1-4601-8F8F-B9B47CE3FB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E1-4601-8F8F-B9B47CE3FB4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E1-4601-8F8F-B9B47CE3F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(2)'!$Q$38:$T$38</c:f>
              <c:strCache>
                <c:ptCount val="4"/>
                <c:pt idx="0">
                  <c:v>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(2)'!$Q$39:$T$39</c:f>
              <c:numCache>
                <c:formatCode>_(* #,##0_);_(* \(#,##0\);_(* "-"_);_(@_)</c:formatCode>
                <c:ptCount val="4"/>
                <c:pt idx="0">
                  <c:v>11</c:v>
                </c:pt>
                <c:pt idx="1">
                  <c:v>24</c:v>
                </c:pt>
                <c:pt idx="2">
                  <c:v>37</c:v>
                </c:pt>
                <c:pt idx="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E1-4601-8F8F-B9B47CE3FB41}"/>
            </c:ext>
          </c:extLst>
        </c:ser>
        <c:ser>
          <c:idx val="2"/>
          <c:order val="1"/>
          <c:tx>
            <c:strRef>
              <c:f>'Graficos 2050 (2)'!$P$40</c:f>
              <c:strCache>
                <c:ptCount val="1"/>
                <c:pt idx="0">
                  <c:v>Perú</c:v>
                </c:pt>
              </c:strCache>
            </c:strRef>
          </c:tx>
          <c:spPr>
            <a:ln w="158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1DE1-4601-8F8F-B9B47CE3FB41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DE1-4601-8F8F-B9B47CE3FB4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E1-4601-8F8F-B9B47CE3FB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E1-4601-8F8F-B9B47CE3FB4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E1-4601-8F8F-B9B47CE3FB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2050 (2)'!$Q$38:$T$38</c:f>
              <c:strCache>
                <c:ptCount val="4"/>
                <c:pt idx="0">
                  <c:v>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(2)'!$Q$40:$T$40</c:f>
              <c:numCache>
                <c:formatCode>General</c:formatCode>
                <c:ptCount val="4"/>
                <c:pt idx="0" formatCode="_(* #,##0_);_(* \(#,##0\);_(* &quot;-&quot;_);_(@_)">
                  <c:v>0</c:v>
                </c:pt>
                <c:pt idx="1">
                  <c:v>12</c:v>
                </c:pt>
                <c:pt idx="2">
                  <c:v>28.5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E1-4601-8F8F-B9B47CE3FB41}"/>
            </c:ext>
          </c:extLst>
        </c:ser>
        <c:ser>
          <c:idx val="3"/>
          <c:order val="2"/>
          <c:tx>
            <c:strRef>
              <c:f>'Graficos 2050 (2)'!$P$41</c:f>
              <c:strCache>
                <c:ptCount val="1"/>
                <c:pt idx="0">
                  <c:v>Colombia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DE1-4601-8F8F-B9B47CE3FB41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1DE1-4601-8F8F-B9B47CE3FB41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1DE1-4601-8F8F-B9B47CE3FB4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DE1-4601-8F8F-B9B47CE3FB41}"/>
              </c:ext>
            </c:extLst>
          </c:dPt>
          <c:dLbls>
            <c:dLbl>
              <c:idx val="0"/>
              <c:layout>
                <c:manualLayout>
                  <c:x val="-5.9553349875930556E-2"/>
                  <c:y val="-1.5689227316543058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E1-4601-8F8F-B9B47CE3FB41}"/>
                </c:ext>
              </c:extLst>
            </c:dLbl>
            <c:dLbl>
              <c:idx val="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DE1-4601-8F8F-B9B47CE3F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(2)'!$Q$38:$T$38</c:f>
              <c:strCache>
                <c:ptCount val="4"/>
                <c:pt idx="0">
                  <c:v>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(2)'!$Q$41:$T$41</c:f>
              <c:numCache>
                <c:formatCode>General</c:formatCode>
                <c:ptCount val="4"/>
                <c:pt idx="0" formatCode="_(* #,##0_);_(* \(#,##0\);_(* &quot;-&quot;_);_(@_)">
                  <c:v>8</c:v>
                </c:pt>
                <c:pt idx="1">
                  <c:v>15</c:v>
                </c:pt>
                <c:pt idx="2">
                  <c:v>32.5</c:v>
                </c:pt>
                <c:pt idx="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E1-4601-8F8F-B9B47CE3FB41}"/>
            </c:ext>
          </c:extLst>
        </c:ser>
        <c:ser>
          <c:idx val="4"/>
          <c:order val="3"/>
          <c:tx>
            <c:strRef>
              <c:f>'Graficos 2050 (2)'!$P$42</c:f>
              <c:strCache>
                <c:ptCount val="1"/>
                <c:pt idx="0">
                  <c:v>Chile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DE1-4601-8F8F-B9B47CE3FB41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1DE1-4601-8F8F-B9B47CE3FB41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1DE1-4601-8F8F-B9B47CE3FB4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1DE1-4601-8F8F-B9B47CE3FB41}"/>
              </c:ext>
            </c:extLst>
          </c:dPt>
          <c:dLbls>
            <c:dLbl>
              <c:idx val="0"/>
              <c:layout>
                <c:manualLayout>
                  <c:x val="-7.3449131513647639E-2"/>
                  <c:y val="-4.27892960722803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E1-4601-8F8F-B9B47CE3FB41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DE1-4601-8F8F-B9B47CE3F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(2)'!$Q$38:$T$38</c:f>
              <c:strCache>
                <c:ptCount val="4"/>
                <c:pt idx="0">
                  <c:v>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(2)'!$Q$42:$T$42</c:f>
              <c:numCache>
                <c:formatCode>General</c:formatCode>
                <c:ptCount val="4"/>
                <c:pt idx="0" formatCode="_(* #,##0_);_(* \(#,##0\);_(* &quot;-&quot;_);_(@_)">
                  <c:v>15</c:v>
                </c:pt>
                <c:pt idx="1">
                  <c:v>30</c:v>
                </c:pt>
                <c:pt idx="2" formatCode="_(* #,##0_);_(* \(#,##0\);_(* &quot;-&quot;_);_(@_)">
                  <c:v>49</c:v>
                </c:pt>
                <c:pt idx="3" formatCode="_(* #,##0_);_(* \(#,##0\);_(* &quot;-&quot;_);_(@_)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E1-4601-8F8F-B9B47CE3FB41}"/>
            </c:ext>
          </c:extLst>
        </c:ser>
        <c:ser>
          <c:idx val="5"/>
          <c:order val="4"/>
          <c:tx>
            <c:strRef>
              <c:f>'Graficos 2050 (2)'!$P$43</c:f>
              <c:strCache>
                <c:ptCount val="1"/>
                <c:pt idx="0">
                  <c:v>Argentina</c:v>
                </c:pt>
              </c:strCache>
            </c:strRef>
          </c:tx>
          <c:spPr>
            <a:ln w="15875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1DE1-4601-8F8F-B9B47CE3FB4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1DE1-4601-8F8F-B9B47CE3FB4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1DE1-4601-8F8F-B9B47CE3FB4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1DE1-4601-8F8F-B9B47CE3FB41}"/>
              </c:ext>
            </c:extLst>
          </c:dPt>
          <c:dLbls>
            <c:dLbl>
              <c:idx val="0"/>
              <c:layout>
                <c:manualLayout>
                  <c:x val="-5.5583126550868521E-2"/>
                  <c:y val="1.7166126029439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DE1-4601-8F8F-B9B47CE3FB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DE1-4601-8F8F-B9B47CE3FB4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DE1-4601-8F8F-B9B47CE3FB4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1DE1-4601-8F8F-B9B47CE3F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2050 (2)'!$Q$38:$T$38</c:f>
              <c:strCache>
                <c:ptCount val="4"/>
                <c:pt idx="0">
                  <c:v>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(2)'!$Q$43:$T$43</c:f>
              <c:numCache>
                <c:formatCode>General</c:formatCode>
                <c:ptCount val="4"/>
                <c:pt idx="0" formatCode="_(* #,##0_);_(* \(#,##0\);_(* &quot;-&quot;_);_(@_)">
                  <c:v>7</c:v>
                </c:pt>
                <c:pt idx="1">
                  <c:v>10</c:v>
                </c:pt>
                <c:pt idx="2" formatCode="_(* #,##0_);_(* \(#,##0\);_(* &quot;-&quot;_);_(@_)">
                  <c:v>14</c:v>
                </c:pt>
                <c:pt idx="3" formatCode="_(* #,##0_);_(* \(#,##0\);_(* &quot;-&quot;_);_(@_)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DE1-4601-8F8F-B9B47CE3FB41}"/>
            </c:ext>
          </c:extLst>
        </c:ser>
        <c:ser>
          <c:idx val="6"/>
          <c:order val="5"/>
          <c:tx>
            <c:strRef>
              <c:f>'Graficos 2050 (2)'!$P$44</c:f>
              <c:strCache>
                <c:ptCount val="1"/>
                <c:pt idx="0">
                  <c:v>Brasil</c:v>
                </c:pt>
              </c:strCache>
            </c:strRef>
          </c:tx>
          <c:spPr>
            <a:ln w="158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1DE1-4601-8F8F-B9B47CE3FB41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1DE1-4601-8F8F-B9B47CE3FB41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1DE1-4601-8F8F-B9B47CE3FB4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1DE1-4601-8F8F-B9B47CE3FB41}"/>
              </c:ext>
            </c:extLst>
          </c:dPt>
          <c:dLbls>
            <c:dLbl>
              <c:idx val="0"/>
              <c:layout>
                <c:manualLayout>
                  <c:x val="-6.947890818858563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DE1-4601-8F8F-B9B47CE3FB41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DE1-4601-8F8F-B9B47CE3F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2050 (2)'!$Q$38:$T$38</c:f>
              <c:strCache>
                <c:ptCount val="4"/>
                <c:pt idx="0">
                  <c:v>LB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'Graficos 2050 (2)'!$Q$44:$T$44</c:f>
              <c:numCache>
                <c:formatCode>_(* #,##0_);_(* \(#,##0\);_(* "-"_);_(@_)</c:formatCode>
                <c:ptCount val="4"/>
                <c:pt idx="0">
                  <c:v>27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DE1-4601-8F8F-B9B47CE3F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30752"/>
        <c:axId val="1105707104"/>
        <c:extLst/>
      </c:lineChart>
      <c:catAx>
        <c:axId val="110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707104"/>
        <c:crosses val="autoZero"/>
        <c:auto val="1"/>
        <c:lblAlgn val="ctr"/>
        <c:lblOffset val="100"/>
        <c:noMultiLvlLbl val="0"/>
      </c:catAx>
      <c:valAx>
        <c:axId val="1105707104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2307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742949</xdr:colOff>
      <xdr:row>2</xdr:row>
      <xdr:rowOff>42862</xdr:rowOff>
    </xdr:from>
    <xdr:to>
      <xdr:col>14</xdr:col>
      <xdr:colOff>342900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8980F4-54CA-B048-FF35-D27D33DBF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</xdr:colOff>
      <xdr:row>21</xdr:row>
      <xdr:rowOff>80962</xdr:rowOff>
    </xdr:from>
    <xdr:to>
      <xdr:col>14</xdr:col>
      <xdr:colOff>352425</xdr:colOff>
      <xdr:row>37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7005CB-5E4A-BC00-7C5C-70D672ED2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433386</xdr:colOff>
      <xdr:row>42</xdr:row>
      <xdr:rowOff>100012</xdr:rowOff>
    </xdr:from>
    <xdr:to>
      <xdr:col>14</xdr:col>
      <xdr:colOff>342899</xdr:colOff>
      <xdr:row>56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1CE5A0-55DD-A53B-C95F-13108421D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4</xdr:row>
      <xdr:rowOff>77342</xdr:rowOff>
    </xdr:from>
    <xdr:to>
      <xdr:col>10</xdr:col>
      <xdr:colOff>137583</xdr:colOff>
      <xdr:row>37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73C99C-4309-475A-891C-FAB27F693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111125</xdr:colOff>
      <xdr:row>3</xdr:row>
      <xdr:rowOff>31750</xdr:rowOff>
    </xdr:from>
    <xdr:to>
      <xdr:col>22</xdr:col>
      <xdr:colOff>412750</xdr:colOff>
      <xdr:row>35</xdr:row>
      <xdr:rowOff>168148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855BFD-7071-4B40-A334-37D7B4888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459439</xdr:colOff>
      <xdr:row>18</xdr:row>
      <xdr:rowOff>36779</xdr:rowOff>
    </xdr:from>
    <xdr:to>
      <xdr:col>10</xdr:col>
      <xdr:colOff>24093</xdr:colOff>
      <xdr:row>19</xdr:row>
      <xdr:rowOff>180863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F3E278F-4F4F-4480-99F0-4A6C2F24C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50" t="3267" r="14216" b="2922"/>
        <a:stretch>
          <a:fillRect/>
        </a:stretch>
      </xdr:blipFill>
      <xdr:spPr>
        <a:xfrm>
          <a:off x="7384114" y="3341954"/>
          <a:ext cx="326654" cy="325059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67235</xdr:colOff>
      <xdr:row>18</xdr:row>
      <xdr:rowOff>19922</xdr:rowOff>
    </xdr:from>
    <xdr:to>
      <xdr:col>10</xdr:col>
      <xdr:colOff>389869</xdr:colOff>
      <xdr:row>19</xdr:row>
      <xdr:rowOff>164006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2D27379-11D7-4D23-AC7E-17D58648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910" y="3325097"/>
          <a:ext cx="322634" cy="325059"/>
        </a:xfrm>
        <a:prstGeom prst="rect">
          <a:avLst/>
        </a:prstGeom>
      </xdr:spPr>
    </xdr:pic>
    <xdr:clientData/>
  </xdr:twoCellAnchor>
  <xdr:twoCellAnchor editAs="oneCell">
    <xdr:from>
      <xdr:col>9</xdr:col>
      <xdr:colOff>437029</xdr:colOff>
      <xdr:row>19</xdr:row>
      <xdr:rowOff>185520</xdr:rowOff>
    </xdr:from>
    <xdr:to>
      <xdr:col>9</xdr:col>
      <xdr:colOff>761029</xdr:colOff>
      <xdr:row>21</xdr:row>
      <xdr:rowOff>129425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27F5E34-5664-4A4E-B6C6-5B326681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1704" y="3671670"/>
          <a:ext cx="324000" cy="324905"/>
        </a:xfrm>
        <a:prstGeom prst="rect">
          <a:avLst/>
        </a:prstGeom>
      </xdr:spPr>
    </xdr:pic>
    <xdr:clientData/>
  </xdr:twoCellAnchor>
  <xdr:twoCellAnchor editAs="oneCell">
    <xdr:from>
      <xdr:col>9</xdr:col>
      <xdr:colOff>437029</xdr:colOff>
      <xdr:row>24</xdr:row>
      <xdr:rowOff>83421</xdr:rowOff>
    </xdr:from>
    <xdr:to>
      <xdr:col>9</xdr:col>
      <xdr:colOff>761029</xdr:colOff>
      <xdr:row>26</xdr:row>
      <xdr:rowOff>49116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0083325-E4FA-4E72-9AD6-696A833CA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14" t="5714" r="5882" b="5547"/>
        <a:stretch>
          <a:fillRect/>
        </a:stretch>
      </xdr:blipFill>
      <xdr:spPr>
        <a:xfrm>
          <a:off x="7361704" y="4512546"/>
          <a:ext cx="324000" cy="327645"/>
        </a:xfrm>
        <a:prstGeom prst="rect">
          <a:avLst/>
        </a:prstGeom>
      </xdr:spPr>
    </xdr:pic>
    <xdr:clientData/>
  </xdr:twoCellAnchor>
  <xdr:twoCellAnchor editAs="oneCell">
    <xdr:from>
      <xdr:col>9</xdr:col>
      <xdr:colOff>415863</xdr:colOff>
      <xdr:row>27</xdr:row>
      <xdr:rowOff>90268</xdr:rowOff>
    </xdr:from>
    <xdr:to>
      <xdr:col>10</xdr:col>
      <xdr:colOff>13863</xdr:colOff>
      <xdr:row>29</xdr:row>
      <xdr:rowOff>91899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60B7A8-9E7F-4816-A0DB-F6CA457A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40538" y="5062318"/>
          <a:ext cx="360000" cy="363581"/>
        </a:xfrm>
        <a:prstGeom prst="rect">
          <a:avLst/>
        </a:prstGeom>
      </xdr:spPr>
    </xdr:pic>
    <xdr:clientData/>
  </xdr:twoCellAnchor>
  <xdr:twoCellAnchor>
    <xdr:from>
      <xdr:col>19</xdr:col>
      <xdr:colOff>497418</xdr:colOff>
      <xdr:row>13</xdr:row>
      <xdr:rowOff>158752</xdr:rowOff>
    </xdr:from>
    <xdr:to>
      <xdr:col>20</xdr:col>
      <xdr:colOff>649818</xdr:colOff>
      <xdr:row>15</xdr:row>
      <xdr:rowOff>137585</xdr:rowOff>
    </xdr:to>
    <xdr:sp macro="" textlink="">
      <xdr:nvSpPr>
        <xdr:cNvPr id="21" name="CuadroTexto 1">
          <a:extLst>
            <a:ext uri="{FF2B5EF4-FFF2-40B4-BE49-F238E27FC236}">
              <a16:creationId xmlns:a16="http://schemas.microsoft.com/office/drawing/2014/main" id="{92B2D93E-9D35-4457-A564-877AA55FA421}"/>
            </a:ext>
          </a:extLst>
        </xdr:cNvPr>
        <xdr:cNvSpPr txBox="1"/>
      </xdr:nvSpPr>
      <xdr:spPr>
        <a:xfrm>
          <a:off x="15042093" y="2559052"/>
          <a:ext cx="914400" cy="34078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L" sz="1600" kern="1200">
              <a:solidFill>
                <a:srgbClr val="92D050"/>
              </a:solidFill>
            </a:rPr>
            <a:t>FICEM</a:t>
          </a:r>
        </a:p>
      </xdr:txBody>
    </xdr:sp>
    <xdr:clientData/>
  </xdr:twoCellAnchor>
  <xdr:twoCellAnchor editAs="oneCell">
    <xdr:from>
      <xdr:col>22</xdr:col>
      <xdr:colOff>149408</xdr:colOff>
      <xdr:row>4</xdr:row>
      <xdr:rowOff>38025</xdr:rowOff>
    </xdr:from>
    <xdr:to>
      <xdr:col>22</xdr:col>
      <xdr:colOff>476062</xdr:colOff>
      <xdr:row>6</xdr:row>
      <xdr:rowOff>2191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6FEA44F-F9A4-44B0-912F-C9C16223B4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50" t="3267" r="14216" b="2922"/>
        <a:stretch>
          <a:fillRect/>
        </a:stretch>
      </xdr:blipFill>
      <xdr:spPr>
        <a:xfrm>
          <a:off x="16980083" y="809550"/>
          <a:ext cx="326654" cy="326116"/>
        </a:xfrm>
        <a:prstGeom prst="rect">
          <a:avLst/>
        </a:prstGeom>
      </xdr:spPr>
    </xdr:pic>
    <xdr:clientData/>
  </xdr:twoCellAnchor>
  <xdr:twoCellAnchor editAs="oneCell">
    <xdr:from>
      <xdr:col>22</xdr:col>
      <xdr:colOff>117040</xdr:colOff>
      <xdr:row>13</xdr:row>
      <xdr:rowOff>127001</xdr:rowOff>
    </xdr:from>
    <xdr:to>
      <xdr:col>22</xdr:col>
      <xdr:colOff>439674</xdr:colOff>
      <xdr:row>15</xdr:row>
      <xdr:rowOff>91167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F255FE50-ADF9-4925-90FB-2820DC92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7715" y="2527301"/>
          <a:ext cx="322634" cy="326116"/>
        </a:xfrm>
        <a:prstGeom prst="rect">
          <a:avLst/>
        </a:prstGeom>
      </xdr:spPr>
    </xdr:pic>
    <xdr:clientData/>
  </xdr:twoCellAnchor>
  <xdr:twoCellAnchor editAs="oneCell">
    <xdr:from>
      <xdr:col>21</xdr:col>
      <xdr:colOff>740834</xdr:colOff>
      <xdr:row>23</xdr:row>
      <xdr:rowOff>165598</xdr:rowOff>
    </xdr:from>
    <xdr:to>
      <xdr:col>22</xdr:col>
      <xdr:colOff>302834</xdr:colOff>
      <xdr:row>25</xdr:row>
      <xdr:rowOff>130669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2C5AB8E-AA63-45B8-940D-3E421D88F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9509" y="4413748"/>
          <a:ext cx="324000" cy="327021"/>
        </a:xfrm>
        <a:prstGeom prst="rect">
          <a:avLst/>
        </a:prstGeom>
      </xdr:spPr>
    </xdr:pic>
    <xdr:clientData/>
  </xdr:twoCellAnchor>
  <xdr:twoCellAnchor editAs="oneCell">
    <xdr:from>
      <xdr:col>22</xdr:col>
      <xdr:colOff>127000</xdr:colOff>
      <xdr:row>11</xdr:row>
      <xdr:rowOff>63499</xdr:rowOff>
    </xdr:from>
    <xdr:to>
      <xdr:col>22</xdr:col>
      <xdr:colOff>451000</xdr:colOff>
      <xdr:row>13</xdr:row>
      <xdr:rowOff>29194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EB605ED-555D-4CC9-95AA-55307EA37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14" t="5714" r="5882" b="5547"/>
        <a:stretch>
          <a:fillRect/>
        </a:stretch>
      </xdr:blipFill>
      <xdr:spPr>
        <a:xfrm>
          <a:off x="16957675" y="2101849"/>
          <a:ext cx="324000" cy="327645"/>
        </a:xfrm>
        <a:prstGeom prst="rect">
          <a:avLst/>
        </a:prstGeom>
      </xdr:spPr>
    </xdr:pic>
    <xdr:clientData/>
  </xdr:twoCellAnchor>
  <xdr:twoCellAnchor editAs="oneCell">
    <xdr:from>
      <xdr:col>22</xdr:col>
      <xdr:colOff>116415</xdr:colOff>
      <xdr:row>6</xdr:row>
      <xdr:rowOff>165596</xdr:rowOff>
    </xdr:from>
    <xdr:to>
      <xdr:col>22</xdr:col>
      <xdr:colOff>476415</xdr:colOff>
      <xdr:row>8</xdr:row>
      <xdr:rowOff>167227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EF2A040-D1F9-487A-92AB-B1667255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47090" y="1299071"/>
          <a:ext cx="360000" cy="363581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0.68842</cdr:x>
      <cdr:y>0.49141</cdr:y>
    </cdr:from>
    <cdr:to>
      <cdr:x>0.82936</cdr:x>
      <cdr:y>0.54744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21EFAB2-286F-1C88-12AA-FF14847B92E6}"/>
            </a:ext>
          </a:extLst>
        </cdr:cNvPr>
        <cdr:cNvSpPr txBox="1"/>
      </cdr:nvSpPr>
      <cdr:spPr>
        <a:xfrm xmlns:a="http://schemas.openxmlformats.org/drawingml/2006/main">
          <a:off x="4466166" y="2970657"/>
          <a:ext cx="914400" cy="338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L" sz="1600" kern="1200">
              <a:solidFill>
                <a:srgbClr val="92D050"/>
              </a:solidFill>
            </a:rPr>
            <a:t>FICEM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7155-0827-455A-BC52-C77AF45EFCAC}">
  <dimension ref="B2:F58"/>
  <sheetViews>
    <sheetView tabSelected="1" topLeftCell="J34" zoomScale="140" zoomScaleNormal="140" workbookViewId="0">
      <selection activeCell="P51" sqref="P51"/>
    </sheetView>
  </sheetViews>
  <sheetFormatPr baseColWidth="10" defaultRowHeight="15" x14ac:dyDescent="0.25"/>
  <cols>
    <col min="1" max="16384" width="11.42578125" style="1"/>
  </cols>
  <sheetData>
    <row r="2" spans="2:5" x14ac:dyDescent="0.25">
      <c r="B2" s="1" t="s">
        <v>0</v>
      </c>
    </row>
    <row r="3" spans="2:5" x14ac:dyDescent="0.25">
      <c r="C3" s="1" t="s">
        <v>1</v>
      </c>
      <c r="D3" s="1" t="s">
        <v>2</v>
      </c>
      <c r="E3" s="1" t="s">
        <v>3</v>
      </c>
    </row>
    <row r="4" spans="2:5" x14ac:dyDescent="0.25">
      <c r="B4" s="2">
        <v>2005</v>
      </c>
      <c r="C4" s="3">
        <v>589.27522686849204</v>
      </c>
      <c r="D4" s="4">
        <v>0.74980832785543605</v>
      </c>
      <c r="E4" s="5">
        <v>4.3346200222933007E-2</v>
      </c>
    </row>
    <row r="5" spans="2:5" x14ac:dyDescent="0.25">
      <c r="B5" s="6">
        <v>2006</v>
      </c>
      <c r="C5" s="7">
        <v>578.64462486418995</v>
      </c>
      <c r="D5" s="8">
        <v>0.76622015671257304</v>
      </c>
      <c r="E5" s="9">
        <v>4.1012485606019999E-2</v>
      </c>
    </row>
    <row r="6" spans="2:5" x14ac:dyDescent="0.25">
      <c r="B6" s="2">
        <v>2007</v>
      </c>
      <c r="C6" s="3">
        <v>575.59307794721201</v>
      </c>
      <c r="D6" s="4">
        <v>0.76246893051388198</v>
      </c>
      <c r="E6" s="5">
        <v>2.9038578379599E-2</v>
      </c>
    </row>
    <row r="7" spans="2:5" x14ac:dyDescent="0.25">
      <c r="B7" s="6">
        <v>2008</v>
      </c>
      <c r="C7" s="7">
        <v>570.77860306702496</v>
      </c>
      <c r="D7" s="8">
        <v>0.74896649423424599</v>
      </c>
      <c r="E7" s="9">
        <v>3.0063710494923956E-2</v>
      </c>
    </row>
    <row r="8" spans="2:5" x14ac:dyDescent="0.25">
      <c r="B8" s="2">
        <v>2009</v>
      </c>
      <c r="C8" s="3">
        <v>571.94877852345996</v>
      </c>
      <c r="D8" s="4">
        <v>0.73073480676859104</v>
      </c>
      <c r="E8" s="5">
        <v>3.6604300849648053E-2</v>
      </c>
    </row>
    <row r="9" spans="2:5" x14ac:dyDescent="0.25">
      <c r="B9" s="6">
        <v>2010</v>
      </c>
      <c r="C9" s="7">
        <v>570.30259390795402</v>
      </c>
      <c r="D9" s="8">
        <v>0.72961689588087197</v>
      </c>
      <c r="E9" s="9">
        <v>3.1287488629171967E-2</v>
      </c>
    </row>
    <row r="10" spans="2:5" x14ac:dyDescent="0.25">
      <c r="B10" s="2">
        <v>2011</v>
      </c>
      <c r="C10" s="3">
        <v>554.58265241598394</v>
      </c>
      <c r="D10" s="4">
        <v>0.71606460860086196</v>
      </c>
      <c r="E10" s="5">
        <v>3.5493008995682973E-2</v>
      </c>
    </row>
    <row r="11" spans="2:5" x14ac:dyDescent="0.25">
      <c r="B11" s="6">
        <v>2012</v>
      </c>
      <c r="C11" s="7">
        <v>571.34029843353505</v>
      </c>
      <c r="D11" s="8">
        <v>0.73431204160701202</v>
      </c>
      <c r="E11" s="9">
        <v>4.2121151101331966E-2</v>
      </c>
    </row>
    <row r="12" spans="2:5" x14ac:dyDescent="0.25">
      <c r="B12" s="2">
        <v>2013</v>
      </c>
      <c r="C12" s="3">
        <v>529.93656666403297</v>
      </c>
      <c r="D12" s="4">
        <v>0.73090711855841395</v>
      </c>
      <c r="E12" s="5">
        <v>4.9778295225993974E-2</v>
      </c>
    </row>
    <row r="13" spans="2:5" x14ac:dyDescent="0.25">
      <c r="B13" s="6">
        <v>2014</v>
      </c>
      <c r="C13" s="7">
        <v>524.58038285555801</v>
      </c>
      <c r="D13" s="8">
        <v>0.72769912638852496</v>
      </c>
      <c r="E13" s="9">
        <v>5.7055060293565996E-2</v>
      </c>
    </row>
    <row r="14" spans="2:5" x14ac:dyDescent="0.25">
      <c r="B14" s="2">
        <v>2015</v>
      </c>
      <c r="C14" s="3">
        <v>516.26225679855099</v>
      </c>
      <c r="D14" s="4">
        <v>0.72595196745675905</v>
      </c>
      <c r="E14" s="5">
        <v>5.9986520067448978E-2</v>
      </c>
    </row>
    <row r="15" spans="2:5" x14ac:dyDescent="0.25">
      <c r="B15" s="6">
        <v>2016</v>
      </c>
      <c r="C15" s="7">
        <v>536.30086536808301</v>
      </c>
      <c r="D15" s="8">
        <v>0.72933411753563504</v>
      </c>
      <c r="E15" s="9">
        <v>6.3393445603418974E-2</v>
      </c>
    </row>
    <row r="16" spans="2:5" x14ac:dyDescent="0.25">
      <c r="B16" s="2">
        <v>2017</v>
      </c>
      <c r="C16" s="3">
        <v>512.75666999327404</v>
      </c>
      <c r="D16" s="4">
        <v>0.734252374870351</v>
      </c>
      <c r="E16" s="5">
        <v>5.5533858099864997E-2</v>
      </c>
    </row>
    <row r="17" spans="2:6" x14ac:dyDescent="0.25">
      <c r="B17" s="6">
        <v>2018</v>
      </c>
      <c r="C17" s="7">
        <v>511.35378991714998</v>
      </c>
      <c r="D17" s="8">
        <v>0.73162759264059196</v>
      </c>
      <c r="E17" s="9">
        <v>5.1094063759222985E-2</v>
      </c>
    </row>
    <row r="18" spans="2:6" x14ac:dyDescent="0.25">
      <c r="B18" s="2">
        <v>2019</v>
      </c>
      <c r="C18" s="3">
        <v>513.33798800657905</v>
      </c>
      <c r="D18" s="4">
        <v>0.72595339598923603</v>
      </c>
      <c r="E18" s="5">
        <v>6.5018064416096033E-2</v>
      </c>
    </row>
    <row r="19" spans="2:6" x14ac:dyDescent="0.25">
      <c r="B19" s="6">
        <v>2020</v>
      </c>
      <c r="C19" s="8">
        <v>507</v>
      </c>
      <c r="D19" s="8">
        <v>0.67500000000000004</v>
      </c>
      <c r="E19" s="9">
        <v>8.7797776206126055E-2</v>
      </c>
      <c r="F19" s="10"/>
    </row>
    <row r="23" spans="2:6" x14ac:dyDescent="0.25">
      <c r="B23" s="1" t="s">
        <v>4</v>
      </c>
    </row>
    <row r="24" spans="2:6" x14ac:dyDescent="0.25">
      <c r="B24" s="1" t="s">
        <v>12</v>
      </c>
      <c r="C24" s="11">
        <v>432.37</v>
      </c>
    </row>
    <row r="25" spans="2:6" x14ac:dyDescent="0.25">
      <c r="B25" s="1" t="s">
        <v>7</v>
      </c>
      <c r="C25" s="11">
        <v>465.97</v>
      </c>
    </row>
    <row r="26" spans="2:6" x14ac:dyDescent="0.25">
      <c r="B26" s="1" t="s">
        <v>5</v>
      </c>
      <c r="C26" s="11">
        <v>507</v>
      </c>
    </row>
    <row r="27" spans="2:6" x14ac:dyDescent="0.25">
      <c r="B27" s="1" t="s">
        <v>6</v>
      </c>
      <c r="C27" s="11">
        <v>540.42999999999995</v>
      </c>
    </row>
    <row r="28" spans="2:6" x14ac:dyDescent="0.25">
      <c r="B28" s="1" t="s">
        <v>14</v>
      </c>
      <c r="C28" s="11">
        <v>543.46</v>
      </c>
    </row>
    <row r="29" spans="2:6" x14ac:dyDescent="0.25">
      <c r="B29" s="1" t="s">
        <v>9</v>
      </c>
      <c r="C29" s="11">
        <v>554.32000000000005</v>
      </c>
    </row>
    <row r="30" spans="2:6" x14ac:dyDescent="0.25">
      <c r="B30" s="1" t="s">
        <v>11</v>
      </c>
      <c r="C30" s="11">
        <v>576.03</v>
      </c>
    </row>
    <row r="31" spans="2:6" x14ac:dyDescent="0.25">
      <c r="B31" s="1" t="s">
        <v>15</v>
      </c>
      <c r="C31" s="11">
        <v>602.85</v>
      </c>
    </row>
    <row r="32" spans="2:6" x14ac:dyDescent="0.25">
      <c r="B32" s="1" t="s">
        <v>16</v>
      </c>
      <c r="C32" s="11">
        <v>624.16</v>
      </c>
    </row>
    <row r="33" spans="2:6" x14ac:dyDescent="0.25">
      <c r="B33" s="1" t="s">
        <v>8</v>
      </c>
      <c r="C33" s="11">
        <v>626.72</v>
      </c>
    </row>
    <row r="34" spans="2:6" x14ac:dyDescent="0.25">
      <c r="B34" s="1" t="s">
        <v>13</v>
      </c>
      <c r="C34" s="11">
        <v>631.66999999999996</v>
      </c>
    </row>
    <row r="35" spans="2:6" x14ac:dyDescent="0.25">
      <c r="B35" s="1" t="s">
        <v>10</v>
      </c>
      <c r="C35" s="11">
        <v>708.71</v>
      </c>
    </row>
    <row r="42" spans="2:6" x14ac:dyDescent="0.25">
      <c r="C42" s="1" t="s">
        <v>18</v>
      </c>
      <c r="D42" s="1" t="s">
        <v>17</v>
      </c>
      <c r="E42" s="1" t="s">
        <v>19</v>
      </c>
      <c r="F42" s="1" t="s">
        <v>20</v>
      </c>
    </row>
    <row r="43" spans="2:6" x14ac:dyDescent="0.25">
      <c r="B43" s="2">
        <v>2005</v>
      </c>
      <c r="C43" s="12">
        <v>4.0362891740464299E-2</v>
      </c>
      <c r="D43" s="12">
        <v>2.9833084824677099E-3</v>
      </c>
      <c r="E43" s="12">
        <v>0.95665379977706699</v>
      </c>
      <c r="F43" s="4">
        <v>61.275529837538798</v>
      </c>
    </row>
    <row r="44" spans="2:6" x14ac:dyDescent="0.25">
      <c r="B44" s="6">
        <v>2006</v>
      </c>
      <c r="C44" s="12">
        <v>3.7778475669581903E-2</v>
      </c>
      <c r="D44" s="12">
        <v>3.2340099364379601E-3</v>
      </c>
      <c r="E44" s="12">
        <v>0.95898751439398</v>
      </c>
      <c r="F44" s="8">
        <v>60.379085614203397</v>
      </c>
    </row>
    <row r="45" spans="2:6" x14ac:dyDescent="0.25">
      <c r="B45" s="2">
        <v>2007</v>
      </c>
      <c r="C45" s="12">
        <v>2.39070692011693E-2</v>
      </c>
      <c r="D45" s="12">
        <v>5.1315091784294702E-3</v>
      </c>
      <c r="E45" s="12">
        <v>0.970961421620401</v>
      </c>
      <c r="F45" s="4">
        <v>63.201460090550398</v>
      </c>
    </row>
    <row r="46" spans="2:6" x14ac:dyDescent="0.25">
      <c r="B46" s="6">
        <v>2008</v>
      </c>
      <c r="C46" s="12">
        <v>2.3168245524223099E-2</v>
      </c>
      <c r="D46" s="12">
        <v>6.8954649707003201E-3</v>
      </c>
      <c r="E46" s="12">
        <v>0.96993628950507604</v>
      </c>
      <c r="F46" s="8">
        <v>61.668358770209501</v>
      </c>
    </row>
    <row r="47" spans="2:6" x14ac:dyDescent="0.25">
      <c r="B47" s="2">
        <v>2009</v>
      </c>
      <c r="C47" s="12">
        <v>2.63255934376142E-2</v>
      </c>
      <c r="D47" s="12">
        <v>1.02787074120336E-2</v>
      </c>
      <c r="E47" s="12">
        <v>0.96339569915035195</v>
      </c>
      <c r="F47" s="4">
        <v>65.451601748490305</v>
      </c>
    </row>
    <row r="48" spans="2:6" x14ac:dyDescent="0.25">
      <c r="B48" s="6">
        <v>2010</v>
      </c>
      <c r="C48" s="12">
        <v>2.3383199890496701E-2</v>
      </c>
      <c r="D48" s="12">
        <v>7.9042887386744799E-3</v>
      </c>
      <c r="E48" s="12">
        <v>0.96871251137082803</v>
      </c>
      <c r="F48" s="8">
        <v>66.2764834190627</v>
      </c>
    </row>
    <row r="49" spans="2:6" x14ac:dyDescent="0.25">
      <c r="B49" s="2">
        <v>2011</v>
      </c>
      <c r="C49" s="12">
        <v>2.3454973867580001E-2</v>
      </c>
      <c r="D49" s="12">
        <v>1.20380351281022E-2</v>
      </c>
      <c r="E49" s="12">
        <v>0.96450699100431703</v>
      </c>
      <c r="F49" s="4">
        <v>65.367231684074497</v>
      </c>
    </row>
    <row r="50" spans="2:6" x14ac:dyDescent="0.25">
      <c r="B50" s="6">
        <v>2012</v>
      </c>
      <c r="C50" s="12">
        <v>2.6635851774896298E-2</v>
      </c>
      <c r="D50" s="12">
        <v>1.54852993264347E-2</v>
      </c>
      <c r="E50" s="12">
        <v>0.95787884889866803</v>
      </c>
      <c r="F50" s="8">
        <v>68.353883975710204</v>
      </c>
    </row>
    <row r="51" spans="2:6" x14ac:dyDescent="0.25">
      <c r="B51" s="2">
        <v>2013</v>
      </c>
      <c r="C51" s="12">
        <v>2.7555897992780201E-2</v>
      </c>
      <c r="D51" s="12">
        <v>2.2222397233212801E-2</v>
      </c>
      <c r="E51" s="12">
        <v>0.95022170477400603</v>
      </c>
      <c r="F51" s="4">
        <v>66.843444313786705</v>
      </c>
    </row>
    <row r="52" spans="2:6" x14ac:dyDescent="0.25">
      <c r="B52" s="6">
        <v>2014</v>
      </c>
      <c r="C52" s="12">
        <v>4.3830011240326497E-2</v>
      </c>
      <c r="D52" s="12">
        <v>1.3225049053238999E-2</v>
      </c>
      <c r="E52" s="12">
        <v>0.942944939706434</v>
      </c>
      <c r="F52" s="8">
        <v>67.286748378632794</v>
      </c>
    </row>
    <row r="53" spans="2:6" x14ac:dyDescent="0.25">
      <c r="B53" s="2">
        <v>2015</v>
      </c>
      <c r="C53" s="12">
        <v>4.4288286056841403E-2</v>
      </c>
      <c r="D53" s="12">
        <v>1.5698234010606601E-2</v>
      </c>
      <c r="E53" s="12">
        <v>0.94001347993255102</v>
      </c>
      <c r="F53" s="4">
        <v>67.937541576111698</v>
      </c>
    </row>
    <row r="54" spans="2:6" x14ac:dyDescent="0.25">
      <c r="B54" s="6">
        <v>2016</v>
      </c>
      <c r="C54" s="12">
        <v>3.4371663939361398E-2</v>
      </c>
      <c r="D54" s="12">
        <v>2.9021781664057202E-2</v>
      </c>
      <c r="E54" s="12">
        <v>0.93660655439658103</v>
      </c>
      <c r="F54" s="8">
        <v>73.654982122390606</v>
      </c>
    </row>
    <row r="55" spans="2:6" x14ac:dyDescent="0.25">
      <c r="B55" s="2">
        <v>2017</v>
      </c>
      <c r="C55" s="12">
        <v>2.4152218115013599E-2</v>
      </c>
      <c r="D55" s="12">
        <v>3.1381639984851099E-2</v>
      </c>
      <c r="E55" s="12">
        <v>0.944466141900135</v>
      </c>
      <c r="F55" s="4">
        <v>68.585141633854306</v>
      </c>
    </row>
    <row r="56" spans="2:6" x14ac:dyDescent="0.25">
      <c r="B56" s="6">
        <v>2018</v>
      </c>
      <c r="C56" s="12">
        <v>2.67097269664687E-2</v>
      </c>
      <c r="D56" s="12">
        <v>2.43843367927538E-2</v>
      </c>
      <c r="E56" s="12">
        <v>0.94890593624077701</v>
      </c>
      <c r="F56" s="8">
        <v>66.854608727536103</v>
      </c>
    </row>
    <row r="57" spans="2:6" x14ac:dyDescent="0.25">
      <c r="B57" s="2">
        <v>2019</v>
      </c>
      <c r="C57" s="12">
        <v>2.8607467683392101E-2</v>
      </c>
      <c r="D57" s="12">
        <v>3.6410596732703401E-2</v>
      </c>
      <c r="E57" s="12">
        <v>0.93498193558390397</v>
      </c>
      <c r="F57" s="4">
        <v>64.197195681411401</v>
      </c>
    </row>
    <row r="58" spans="2:6" x14ac:dyDescent="0.25">
      <c r="B58" s="6">
        <v>2020</v>
      </c>
      <c r="C58" s="12">
        <v>4.4167919456508498E-2</v>
      </c>
      <c r="D58" s="12">
        <v>4.3629856749617002E-2</v>
      </c>
      <c r="E58" s="12">
        <v>0.91220222379387395</v>
      </c>
      <c r="F58" s="8">
        <v>62.722040641283698</v>
      </c>
    </row>
  </sheetData>
  <sortState xmlns:xlrd2="http://schemas.microsoft.com/office/spreadsheetml/2017/richdata2" ref="B24:C35">
    <sortCondition ref="C24:C3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2890-D80F-4FEA-9701-121457B0606B}">
  <dimension ref="C1:U57"/>
  <sheetViews>
    <sheetView showGridLines="0" topLeftCell="K1" zoomScale="85" zoomScaleNormal="85" workbookViewId="0">
      <selection activeCell="Y19" sqref="Y1:DG1048576"/>
    </sheetView>
  </sheetViews>
  <sheetFormatPr baseColWidth="10" defaultColWidth="11.42578125" defaultRowHeight="14.25" x14ac:dyDescent="0.2"/>
  <cols>
    <col min="1" max="1" width="11.42578125" style="13"/>
    <col min="2" max="2" width="12.42578125" style="13" customWidth="1"/>
    <col min="3" max="16384" width="11.42578125" style="13"/>
  </cols>
  <sheetData>
    <row r="1" spans="3:15" ht="6" customHeight="1" x14ac:dyDescent="0.2"/>
    <row r="2" spans="3:15" ht="26.25" x14ac:dyDescent="0.4">
      <c r="C2" s="14" t="s">
        <v>21</v>
      </c>
      <c r="O2" s="14" t="s">
        <v>22</v>
      </c>
    </row>
    <row r="20" spans="8:8" ht="15" x14ac:dyDescent="0.2">
      <c r="H20" s="15"/>
    </row>
    <row r="21" spans="8:8" ht="15" x14ac:dyDescent="0.2">
      <c r="H21" s="15"/>
    </row>
    <row r="22" spans="8:8" ht="15" x14ac:dyDescent="0.2">
      <c r="H22" s="15"/>
    </row>
    <row r="23" spans="8:8" ht="15" x14ac:dyDescent="0.2">
      <c r="H23" s="15"/>
    </row>
    <row r="38" spans="4:20" ht="15" x14ac:dyDescent="0.2">
      <c r="D38" s="16" t="s">
        <v>23</v>
      </c>
      <c r="E38" s="17" t="s">
        <v>24</v>
      </c>
      <c r="F38" s="13">
        <v>2030</v>
      </c>
      <c r="G38" s="13">
        <v>2040</v>
      </c>
      <c r="H38" s="13">
        <v>2050</v>
      </c>
      <c r="P38" s="18" t="s">
        <v>23</v>
      </c>
      <c r="Q38" s="19" t="s">
        <v>25</v>
      </c>
      <c r="R38" s="13">
        <v>2030</v>
      </c>
      <c r="S38" s="13">
        <v>2040</v>
      </c>
      <c r="T38" s="13">
        <v>2050</v>
      </c>
    </row>
    <row r="39" spans="4:20" ht="15.75" x14ac:dyDescent="0.25">
      <c r="D39" s="20" t="s">
        <v>26</v>
      </c>
      <c r="E39" s="21">
        <v>67</v>
      </c>
      <c r="F39" s="21">
        <v>66</v>
      </c>
      <c r="G39" s="21">
        <f>+AVERAGE(F39,H39)</f>
        <v>63</v>
      </c>
      <c r="H39" s="21">
        <v>60</v>
      </c>
      <c r="P39" s="20" t="s">
        <v>26</v>
      </c>
      <c r="Q39" s="21">
        <v>11</v>
      </c>
      <c r="R39" s="21">
        <v>24</v>
      </c>
      <c r="S39" s="21">
        <f>+AVERAGE(R39,T39)</f>
        <v>37</v>
      </c>
      <c r="T39" s="21">
        <v>50</v>
      </c>
    </row>
    <row r="40" spans="4:20" ht="15" x14ac:dyDescent="0.2">
      <c r="D40" s="13" t="s">
        <v>27</v>
      </c>
      <c r="E40" s="22">
        <v>76</v>
      </c>
      <c r="F40" s="22">
        <v>70</v>
      </c>
      <c r="G40" s="22">
        <f t="shared" ref="G40:G43" si="0">+AVERAGE(F40,H40)</f>
        <v>66.5</v>
      </c>
      <c r="H40" s="22">
        <v>63</v>
      </c>
      <c r="P40" s="13" t="s">
        <v>27</v>
      </c>
      <c r="Q40" s="22">
        <v>0</v>
      </c>
      <c r="R40" s="13">
        <v>12</v>
      </c>
      <c r="S40" s="13">
        <f t="shared" ref="S40:S43" si="1">+AVERAGE(R40,T40)</f>
        <v>28.5</v>
      </c>
      <c r="T40" s="13">
        <v>45</v>
      </c>
    </row>
    <row r="41" spans="4:20" ht="15" x14ac:dyDescent="0.2">
      <c r="D41" s="13" t="s">
        <v>8</v>
      </c>
      <c r="E41" s="22">
        <v>69</v>
      </c>
      <c r="F41" s="22">
        <v>64</v>
      </c>
      <c r="G41" s="22">
        <f>+AVERAGE(F41,H41)</f>
        <v>59.5</v>
      </c>
      <c r="H41" s="22">
        <v>55</v>
      </c>
      <c r="P41" s="13" t="s">
        <v>8</v>
      </c>
      <c r="Q41" s="22">
        <v>8</v>
      </c>
      <c r="R41" s="13">
        <v>15</v>
      </c>
      <c r="S41" s="13">
        <f t="shared" si="1"/>
        <v>32.5</v>
      </c>
      <c r="T41" s="13">
        <v>50</v>
      </c>
    </row>
    <row r="42" spans="4:20" ht="15" x14ac:dyDescent="0.2">
      <c r="D42" s="13" t="s">
        <v>28</v>
      </c>
      <c r="E42" s="22">
        <v>71</v>
      </c>
      <c r="F42" s="22">
        <v>68</v>
      </c>
      <c r="G42" s="22">
        <f t="shared" si="0"/>
        <v>65.5</v>
      </c>
      <c r="H42" s="22">
        <v>63</v>
      </c>
      <c r="P42" s="13" t="s">
        <v>28</v>
      </c>
      <c r="Q42" s="22">
        <v>15</v>
      </c>
      <c r="R42" s="13">
        <v>30</v>
      </c>
      <c r="S42" s="22">
        <f t="shared" si="1"/>
        <v>49</v>
      </c>
      <c r="T42" s="22">
        <v>68</v>
      </c>
    </row>
    <row r="43" spans="4:20" ht="15" x14ac:dyDescent="0.2">
      <c r="D43" s="13" t="s">
        <v>5</v>
      </c>
      <c r="E43" s="22">
        <v>68</v>
      </c>
      <c r="F43" s="22">
        <v>65</v>
      </c>
      <c r="G43" s="22">
        <f t="shared" si="0"/>
        <v>63</v>
      </c>
      <c r="H43" s="22">
        <v>61</v>
      </c>
      <c r="P43" s="13" t="s">
        <v>5</v>
      </c>
      <c r="Q43" s="22">
        <v>7</v>
      </c>
      <c r="R43" s="13">
        <v>10</v>
      </c>
      <c r="S43" s="22">
        <f t="shared" si="1"/>
        <v>14</v>
      </c>
      <c r="T43" s="22">
        <v>18</v>
      </c>
    </row>
    <row r="44" spans="4:20" ht="15" x14ac:dyDescent="0.2">
      <c r="D44" s="13" t="s">
        <v>6</v>
      </c>
      <c r="E44" s="22">
        <v>71</v>
      </c>
      <c r="F44" s="22">
        <v>61</v>
      </c>
      <c r="G44" s="22">
        <f>+AVERAGE(F44,H44)</f>
        <v>56</v>
      </c>
      <c r="H44" s="22">
        <v>51</v>
      </c>
      <c r="P44" s="13" t="s">
        <v>6</v>
      </c>
      <c r="Q44" s="22">
        <v>27</v>
      </c>
      <c r="R44" s="22">
        <v>40</v>
      </c>
      <c r="S44" s="22">
        <f>+AVERAGE(R44,T44)</f>
        <v>50</v>
      </c>
      <c r="T44" s="22">
        <v>60</v>
      </c>
    </row>
    <row r="46" spans="4:20" ht="15" x14ac:dyDescent="0.2">
      <c r="E46" s="22"/>
      <c r="F46" s="22"/>
      <c r="G46" s="22"/>
      <c r="H46" s="22"/>
      <c r="Q46" s="22"/>
      <c r="R46" s="22"/>
      <c r="S46" s="22"/>
      <c r="T46" s="22"/>
    </row>
    <row r="47" spans="4:20" ht="15" x14ac:dyDescent="0.2">
      <c r="E47" s="22"/>
      <c r="F47" s="22"/>
      <c r="G47" s="22"/>
      <c r="H47" s="22"/>
      <c r="Q47" s="22"/>
      <c r="R47" s="22"/>
      <c r="S47" s="22"/>
      <c r="T47" s="22"/>
    </row>
    <row r="52" spans="4:21" x14ac:dyDescent="0.2">
      <c r="Q52" s="17" t="s">
        <v>25</v>
      </c>
      <c r="R52" s="23">
        <v>2030</v>
      </c>
      <c r="S52" s="23">
        <v>2050</v>
      </c>
      <c r="T52" s="13">
        <v>2060</v>
      </c>
    </row>
    <row r="53" spans="4:21" x14ac:dyDescent="0.2">
      <c r="E53" s="17" t="s">
        <v>25</v>
      </c>
      <c r="F53" s="23">
        <v>2030</v>
      </c>
      <c r="G53" s="23">
        <v>2050</v>
      </c>
      <c r="H53" s="13">
        <v>2060</v>
      </c>
      <c r="P53" s="13" t="s">
        <v>29</v>
      </c>
      <c r="Q53" s="13">
        <v>2</v>
      </c>
      <c r="R53" s="23">
        <v>20</v>
      </c>
      <c r="S53" s="23">
        <v>37</v>
      </c>
      <c r="T53" s="13">
        <v>53</v>
      </c>
    </row>
    <row r="54" spans="4:21" x14ac:dyDescent="0.2">
      <c r="D54" s="13" t="s">
        <v>29</v>
      </c>
      <c r="E54" s="13">
        <v>70</v>
      </c>
      <c r="F54" s="23">
        <v>68.2</v>
      </c>
      <c r="G54" s="23">
        <v>66.5</v>
      </c>
      <c r="H54" s="13">
        <v>65</v>
      </c>
    </row>
    <row r="55" spans="4:21" x14ac:dyDescent="0.2">
      <c r="Q55" s="17" t="s">
        <v>25</v>
      </c>
      <c r="R55" s="23">
        <v>2030</v>
      </c>
      <c r="S55" s="13">
        <v>2047</v>
      </c>
      <c r="T55" s="23">
        <v>2050</v>
      </c>
      <c r="U55" s="13">
        <v>2070</v>
      </c>
    </row>
    <row r="56" spans="4:21" x14ac:dyDescent="0.2">
      <c r="E56" s="17" t="s">
        <v>25</v>
      </c>
      <c r="F56" s="23">
        <v>2030</v>
      </c>
      <c r="G56" s="13">
        <v>2047</v>
      </c>
      <c r="H56" s="23">
        <v>2050</v>
      </c>
      <c r="I56" s="13">
        <v>2070</v>
      </c>
      <c r="P56" s="13" t="s">
        <v>30</v>
      </c>
      <c r="Q56" s="13">
        <v>5</v>
      </c>
      <c r="R56" s="23">
        <v>22</v>
      </c>
      <c r="S56" s="13">
        <v>50</v>
      </c>
      <c r="T56" s="23">
        <v>50</v>
      </c>
      <c r="U56" s="13">
        <v>50</v>
      </c>
    </row>
    <row r="57" spans="4:21" x14ac:dyDescent="0.2">
      <c r="D57" s="13" t="s">
        <v>30</v>
      </c>
      <c r="E57" s="13">
        <v>75</v>
      </c>
      <c r="F57" s="23">
        <v>69</v>
      </c>
      <c r="G57" s="13">
        <v>61</v>
      </c>
      <c r="H57" s="23">
        <v>59</v>
      </c>
      <c r="I57" s="13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Graficos 2050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grossling portales</dc:creator>
  <cp:lastModifiedBy>eduardo grossling portales</cp:lastModifiedBy>
  <dcterms:created xsi:type="dcterms:W3CDTF">2025-11-25T22:19:41Z</dcterms:created>
  <dcterms:modified xsi:type="dcterms:W3CDTF">2025-12-09T14:02:21Z</dcterms:modified>
</cp:coreProperties>
</file>