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ocs FICEM\Excel\Comparativos GNR\"/>
    </mc:Choice>
  </mc:AlternateContent>
  <xr:revisionPtr revIDLastSave="0" documentId="13_ncr:1_{897F598B-C237-4218-AAEE-543C17D4E61D}" xr6:coauthVersionLast="47" xr6:coauthVersionMax="47" xr10:uidLastSave="{00000000-0000-0000-0000-000000000000}"/>
  <bookViews>
    <workbookView xWindow="-120" yWindow="-120" windowWidth="20730" windowHeight="11160" activeTab="2" xr2:uid="{C9AA22B5-5076-4C8F-88DA-18FFFA576C4C}"/>
  </bookViews>
  <sheets>
    <sheet name="Comparativo 2019" sheetId="2" r:id="rId1"/>
    <sheet name="Comparativo 2019 (2)" sheetId="7" r:id="rId2"/>
    <sheet name="Comparativo GNR-2019" sheetId="3" r:id="rId3"/>
    <sheet name="Emisiones Netas y Brutas (2)" sheetId="5" r:id="rId4"/>
    <sheet name="Emisiones Netas y Brutas (4)" sheetId="6" r:id="rId5"/>
  </sheets>
  <externalReferences>
    <externalReference r:id="rId6"/>
  </externalReferences>
  <definedNames>
    <definedName name="_xlnm._FilterDatabase" localSheetId="0" hidden="1">'Comparativo 2019'!$AT$5:$AU$22</definedName>
    <definedName name="_xlnm._FilterDatabase" localSheetId="1" hidden="1">'Comparativo 2019 (2)'!$AT$5:$AU$22</definedName>
    <definedName name="_xlnm._FilterDatabase" localSheetId="2" hidden="1">'Comparativo GNR-2019'!$Y$5:$AA$22</definedName>
    <definedName name="_xlnm._FilterDatabase" localSheetId="3" hidden="1">'Emisiones Netas y Brutas (2)'!#REF!</definedName>
    <definedName name="_xlnm._FilterDatabase" localSheetId="4" hidden="1">'Emisiones Netas y Brutas (4)'!#REF!</definedName>
    <definedName name="a" localSheetId="2">#REF!</definedName>
    <definedName name="a" localSheetId="3">#REF!</definedName>
    <definedName name="a" localSheetId="4">#REF!</definedName>
    <definedName name="a">#REF!</definedName>
    <definedName name="aa" localSheetId="4">#REF!</definedName>
    <definedName name="aa">#REF!</definedName>
    <definedName name="AgriEmi" localSheetId="2">'[1]Fuel CO2 Factors'!$E$30</definedName>
    <definedName name="AgriEmi" localSheetId="3">'[1]Fuel CO2 Factors'!$E$30</definedName>
    <definedName name="AgriEmi" localSheetId="4">'[1]Fuel CO2 Factors'!$E$30</definedName>
    <definedName name="AgriEmi">'[1]Fuel CO2 Factors'!$E$30</definedName>
    <definedName name="alameda" localSheetId="2">#REF!</definedName>
    <definedName name="alameda" localSheetId="3">#REF!</definedName>
    <definedName name="alameda" localSheetId="4">#REF!</definedName>
    <definedName name="alameda">#REF!</definedName>
    <definedName name="alfonso" localSheetId="2">#REF!</definedName>
    <definedName name="alfonso" localSheetId="3">#REF!</definedName>
    <definedName name="alfonso" localSheetId="4">#REF!</definedName>
    <definedName name="alfonso">#REF!</definedName>
    <definedName name="BMealEmi" localSheetId="2">'[1]Fuel CO2 Factors'!$E$28</definedName>
    <definedName name="BMealEmi" localSheetId="3">'[1]Fuel CO2 Factors'!$E$28</definedName>
    <definedName name="BMealEmi" localSheetId="4">'[1]Fuel CO2 Factors'!$E$28</definedName>
    <definedName name="BMealEmi">'[1]Fuel CO2 Factors'!$E$28</definedName>
    <definedName name="Calc_Method" localSheetId="2">#REF!</definedName>
    <definedName name="Calc_Method" localSheetId="3">#REF!</definedName>
    <definedName name="Calc_Method" localSheetId="4">#REF!</definedName>
    <definedName name="Calc_Method">#REF!</definedName>
    <definedName name="CoalEmi" localSheetId="2">'[1]Fuel CO2 Factors'!$D$7</definedName>
    <definedName name="CoalEmi" localSheetId="3">'[1]Fuel CO2 Factors'!$D$7</definedName>
    <definedName name="CoalEmi" localSheetId="4">'[1]Fuel CO2 Factors'!$D$7</definedName>
    <definedName name="CoalEmi">'[1]Fuel CO2 Factors'!$D$7</definedName>
    <definedName name="CountryDef" localSheetId="2">[1]Def!$E$2:$E$120</definedName>
    <definedName name="CountryDef" localSheetId="3">[1]Def!$E$2:$E$120</definedName>
    <definedName name="CountryDef" localSheetId="4">[1]Def!$E$2:$E$120</definedName>
    <definedName name="CountryDef">[1]Def!$E$2:$E$120</definedName>
    <definedName name="Def_Annex" localSheetId="2">[1]Def!$H$2:$H$3</definedName>
    <definedName name="Def_Annex" localSheetId="3">[1]Def!$H$2:$H$3</definedName>
    <definedName name="Def_Annex" localSheetId="4">[1]Def!$H$2:$H$3</definedName>
    <definedName name="Def_Annex">[1]Def!$H$2:$H$3</definedName>
    <definedName name="Def_ClinkerCap" localSheetId="2">OFFSET([1]Def!$B$2,0,0,COUNTA([1]Def!$B:$B)-1,1)</definedName>
    <definedName name="Def_ClinkerCap" localSheetId="3">OFFSET([1]Def!$B$2,0,0,COUNTA([1]Def!$B:$B)-1,1)</definedName>
    <definedName name="Def_ClinkerCap" localSheetId="4">OFFSET([1]Def!$B$2,0,0,COUNTA([1]Def!$B:$B)-1,1)</definedName>
    <definedName name="Def_ClinkerCap">OFFSET([1]Def!$B$2,0,0,COUNTA([1]Def!$B:$B)-1,1)</definedName>
    <definedName name="Def_Continent" localSheetId="2">[1]Def!$F$2:$F$7</definedName>
    <definedName name="Def_Continent" localSheetId="3">[1]Def!$F$2:$F$7</definedName>
    <definedName name="Def_Continent" localSheetId="4">[1]Def!$F$2:$F$7</definedName>
    <definedName name="Def_Continent">[1]Def!$F$2:$F$7</definedName>
    <definedName name="Def_KilnType" localSheetId="2">OFFSET([1]Def!$A$2,0,0,COUNTA([1]Def!$A:$A)-1,1)</definedName>
    <definedName name="Def_KilnType" localSheetId="3">OFFSET([1]Def!$A$2,0,0,COUNTA([1]Def!$A:$A)-1,1)</definedName>
    <definedName name="Def_KilnType" localSheetId="4">OFFSET([1]Def!$A$2,0,0,COUNTA([1]Def!$A:$A)-1,1)</definedName>
    <definedName name="Def_KilnType">OFFSET([1]Def!$A$2,0,0,COUNTA([1]Def!$A:$A)-1,1)</definedName>
    <definedName name="Def_Method" localSheetId="2">[1]Def!$K$2:$K$5</definedName>
    <definedName name="Def_Method" localSheetId="3">[1]Def!$K$2:$K$5</definedName>
    <definedName name="Def_Method" localSheetId="4">[1]Def!$K$2:$K$5</definedName>
    <definedName name="Def_Method">[1]Def!$K$2:$K$5</definedName>
    <definedName name="Def_PlantType" localSheetId="2">OFFSET([1]Def!$C$2,0,0,COUNTA([1]Def!$C:$C)-1,1)</definedName>
    <definedName name="Def_PlantType" localSheetId="3">OFFSET([1]Def!$C$2,0,0,COUNTA([1]Def!$C:$C)-1,1)</definedName>
    <definedName name="Def_PlantType" localSheetId="4">OFFSET([1]Def!$C$2,0,0,COUNTA([1]Def!$C:$C)-1,1)</definedName>
    <definedName name="Def_PlantType">OFFSET([1]Def!$C$2,0,0,COUNTA([1]Def!$C:$C)-1,1)</definedName>
    <definedName name="Def_Verification" localSheetId="2">[1]Def!$G$2:$G$4</definedName>
    <definedName name="Def_Verification" localSheetId="3">[1]Def!$G$2:$G$4</definedName>
    <definedName name="Def_Verification" localSheetId="4">[1]Def!$G$2:$G$4</definedName>
    <definedName name="Def_Verification">[1]Def!$G$2:$G$4</definedName>
    <definedName name="Def_yes_no" localSheetId="2">OFFSET([1]Def!$D$2,0,0,COUNTA([1]Def!$D:$D)-1,1)</definedName>
    <definedName name="Def_yes_no" localSheetId="3">OFFSET([1]Def!$D$2,0,0,COUNTA([1]Def!$D:$D)-1,1)</definedName>
    <definedName name="Def_yes_no" localSheetId="4">OFFSET([1]Def!$D$2,0,0,COUNTA([1]Def!$D:$D)-1,1)</definedName>
    <definedName name="Def_yes_no">OFFSET([1]Def!$D$2,0,0,COUNTA([1]Def!$D:$D)-1,1)</definedName>
    <definedName name="DieselEmi" localSheetId="2">'[1]Fuel CO2 Factors'!$D$10</definedName>
    <definedName name="DieselEmi" localSheetId="3">'[1]Fuel CO2 Factors'!$D$10</definedName>
    <definedName name="DieselEmi" localSheetId="4">'[1]Fuel CO2 Factors'!$D$10</definedName>
    <definedName name="DieselEmi">'[1]Fuel CO2 Factors'!$D$10</definedName>
    <definedName name="e" localSheetId="2">#REF!</definedName>
    <definedName name="e" localSheetId="3">#REF!</definedName>
    <definedName name="e" localSheetId="4">#REF!</definedName>
    <definedName name="e">#REF!</definedName>
    <definedName name="ewe" localSheetId="2">#REF!</definedName>
    <definedName name="ewe" localSheetId="3">#REF!</definedName>
    <definedName name="ewe" localSheetId="4">#REF!</definedName>
    <definedName name="ewe">#REF!</definedName>
    <definedName name="FatEmi" localSheetId="2">'[1]Fuel CO2 Factors'!$E$29</definedName>
    <definedName name="FatEmi" localSheetId="3">'[1]Fuel CO2 Factors'!$E$29</definedName>
    <definedName name="FatEmi" localSheetId="4">'[1]Fuel CO2 Factors'!$E$29</definedName>
    <definedName name="FatEmi">'[1]Fuel CO2 Factors'!$E$29</definedName>
    <definedName name="GasEmi" localSheetId="2">'[1]Fuel CO2 Factors'!$D$11</definedName>
    <definedName name="GasEmi" localSheetId="3">'[1]Fuel CO2 Factors'!$D$11</definedName>
    <definedName name="GasEmi" localSheetId="4">'[1]Fuel CO2 Factors'!$D$11</definedName>
    <definedName name="GasEmi">'[1]Fuel CO2 Factors'!$D$11</definedName>
    <definedName name="GasolineEmi" localSheetId="2">'[1]Fuel CO2 Factors'!$D$14</definedName>
    <definedName name="GasolineEmi" localSheetId="3">'[1]Fuel CO2 Factors'!$D$14</definedName>
    <definedName name="GasolineEmi" localSheetId="4">'[1]Fuel CO2 Factors'!$D$14</definedName>
    <definedName name="GasolineEmi">'[1]Fuel CO2 Factors'!$D$14</definedName>
    <definedName name="h" localSheetId="2">#REF!</definedName>
    <definedName name="h" localSheetId="3">#REF!</definedName>
    <definedName name="h" localSheetId="4">#REF!</definedName>
    <definedName name="h">#REF!</definedName>
    <definedName name="HeavyEmi" localSheetId="2">'[1]Fuel CO2 Factors'!$D$9</definedName>
    <definedName name="HeavyEmi" localSheetId="3">'[1]Fuel CO2 Factors'!$D$9</definedName>
    <definedName name="HeavyEmi" localSheetId="4">'[1]Fuel CO2 Factors'!$D$9</definedName>
    <definedName name="HeavyEmi">'[1]Fuel CO2 Factors'!$D$9</definedName>
    <definedName name="IndWasteEmi" localSheetId="2">'[1]Fuel CO2 Factors'!$E$21</definedName>
    <definedName name="IndWasteEmi" localSheetId="3">'[1]Fuel CO2 Factors'!$E$21</definedName>
    <definedName name="IndWasteEmi" localSheetId="4">'[1]Fuel CO2 Factors'!$E$21</definedName>
    <definedName name="IndWasteEmi">'[1]Fuel CO2 Factors'!$E$21</definedName>
    <definedName name="LigniteEmi" localSheetId="2">'[1]Fuel CO2 Factors'!$D$13</definedName>
    <definedName name="LigniteEmi" localSheetId="3">'[1]Fuel CO2 Factors'!$D$13</definedName>
    <definedName name="LigniteEmi" localSheetId="4">'[1]Fuel CO2 Factors'!$D$13</definedName>
    <definedName name="LigniteEmi">'[1]Fuel CO2 Factors'!$D$13</definedName>
    <definedName name="MD_nominalcap" localSheetId="2">OFFSET([1]Def!$B$2,0,0,COUNTA([1]Def!$B:$B)-1,1)</definedName>
    <definedName name="MD_nominalcap" localSheetId="3">OFFSET([1]Def!$B$2,0,0,COUNTA([1]Def!$B:$B)-1,1)</definedName>
    <definedName name="MD_nominalcap" localSheetId="4">OFFSET([1]Def!$B$2,0,0,COUNTA([1]Def!$B:$B)-1,1)</definedName>
    <definedName name="MD_nominalcap">OFFSET([1]Def!$B$2,0,0,COUNTA([1]Def!$B:$B)-1,1)</definedName>
    <definedName name="MD_planttype" localSheetId="2">OFFSET([1]Def!$C$2,0,0,COUNTA([1]Def!$C:$C)-1,1)</definedName>
    <definedName name="MD_planttype" localSheetId="3">OFFSET([1]Def!$C$2,0,0,COUNTA([1]Def!$C:$C)-1,1)</definedName>
    <definedName name="MD_planttype" localSheetId="4">OFFSET([1]Def!$C$2,0,0,COUNTA([1]Def!$C:$C)-1,1)</definedName>
    <definedName name="MD_planttype">OFFSET([1]Def!$C$2,0,0,COUNTA([1]Def!$C:$C)-1,1)</definedName>
    <definedName name="MealEmi" localSheetId="2">'[1]Fuel CO2 Factors'!$E$27</definedName>
    <definedName name="MealEmi" localSheetId="3">'[1]Fuel CO2 Factors'!$E$27</definedName>
    <definedName name="MealEmi" localSheetId="4">'[1]Fuel CO2 Factors'!$E$27</definedName>
    <definedName name="MealEmi">'[1]Fuel CO2 Factors'!$E$27</definedName>
    <definedName name="Method" localSheetId="2">#REF!</definedName>
    <definedName name="Method" localSheetId="3">#REF!</definedName>
    <definedName name="Method" localSheetId="4">#REF!</definedName>
    <definedName name="Method">#REF!</definedName>
    <definedName name="Method_A1" localSheetId="2">#REF!</definedName>
    <definedName name="Method_A1" localSheetId="3">#REF!</definedName>
    <definedName name="Method_A1" localSheetId="4">#REF!</definedName>
    <definedName name="Method_A1">#REF!</definedName>
    <definedName name="Method_A2" localSheetId="2">#REF!</definedName>
    <definedName name="Method_A2" localSheetId="3">#REF!</definedName>
    <definedName name="Method_A2" localSheetId="4">#REF!</definedName>
    <definedName name="Method_A2">#REF!</definedName>
    <definedName name="Method_B1" localSheetId="2">#REF!</definedName>
    <definedName name="Method_B1" localSheetId="3">#REF!</definedName>
    <definedName name="Method_B1" localSheetId="4">#REF!</definedName>
    <definedName name="Method_B1">#REF!</definedName>
    <definedName name="Method_B2" localSheetId="2">#REF!</definedName>
    <definedName name="Method_B2" localSheetId="3">#REF!</definedName>
    <definedName name="Method_B2" localSheetId="4">#REF!</definedName>
    <definedName name="Method_B2">#REF!</definedName>
    <definedName name="nose" localSheetId="2">#REF!</definedName>
    <definedName name="nose" localSheetId="3">#REF!</definedName>
    <definedName name="nose" localSheetId="4">#REF!</definedName>
    <definedName name="nose">#REF!</definedName>
    <definedName name="olaf" localSheetId="2">#REF!</definedName>
    <definedName name="olaf" localSheetId="3">#REF!</definedName>
    <definedName name="olaf" localSheetId="4">#REF!</definedName>
    <definedName name="olaf">#REF!</definedName>
    <definedName name="OnSite_PowBalance2" localSheetId="2">#REF!</definedName>
    <definedName name="OnSite_PowBalance2" localSheetId="3">#REF!</definedName>
    <definedName name="OnSite_PowBalance2" localSheetId="4">#REF!</definedName>
    <definedName name="OnSite_PowBalance2">#REF!</definedName>
    <definedName name="OthBioEmi" localSheetId="2">'[1]Fuel CO2 Factors'!$E$31</definedName>
    <definedName name="OthBioEmi" localSheetId="3">'[1]Fuel CO2 Factors'!$E$31</definedName>
    <definedName name="OthBioEmi" localSheetId="4">'[1]Fuel CO2 Factors'!$E$31</definedName>
    <definedName name="OthBioEmi">'[1]Fuel CO2 Factors'!$E$31</definedName>
    <definedName name="OthFossEmi" localSheetId="2">'[1]Fuel CO2 Factors'!$E$22</definedName>
    <definedName name="OthFossEmi" localSheetId="3">'[1]Fuel CO2 Factors'!$E$22</definedName>
    <definedName name="OthFossEmi" localSheetId="4">'[1]Fuel CO2 Factors'!$E$22</definedName>
    <definedName name="OthFossEmi">'[1]Fuel CO2 Factors'!$E$22</definedName>
    <definedName name="PaperEmi" localSheetId="2">'[1]Fuel CO2 Factors'!$E$26</definedName>
    <definedName name="PaperEmi" localSheetId="3">'[1]Fuel CO2 Factors'!$E$26</definedName>
    <definedName name="PaperEmi" localSheetId="4">'[1]Fuel CO2 Factors'!$E$26</definedName>
    <definedName name="PaperEmi">'[1]Fuel CO2 Factors'!$E$26</definedName>
    <definedName name="PetCoEmi" localSheetId="2">'[1]Fuel CO2 Factors'!$E$8</definedName>
    <definedName name="PetCoEmi" localSheetId="3">'[1]Fuel CO2 Factors'!$E$8</definedName>
    <definedName name="PetCoEmi" localSheetId="4">'[1]Fuel CO2 Factors'!$E$8</definedName>
    <definedName name="PetCoEmi">'[1]Fuel CO2 Factors'!$E$8</definedName>
    <definedName name="PlasticsEmi" localSheetId="2">'[1]Fuel CO2 Factors'!$E$18</definedName>
    <definedName name="PlasticsEmi" localSheetId="3">'[1]Fuel CO2 Factors'!$E$18</definedName>
    <definedName name="PlasticsEmi" localSheetId="4">'[1]Fuel CO2 Factors'!$E$18</definedName>
    <definedName name="PlasticsEmi">'[1]Fuel CO2 Factors'!$E$18</definedName>
    <definedName name="q" localSheetId="2">#REF!</definedName>
    <definedName name="q" localSheetId="3">#REF!</definedName>
    <definedName name="q" localSheetId="4">#REF!</definedName>
    <definedName name="q">#REF!</definedName>
    <definedName name="qw" localSheetId="2">#REF!</definedName>
    <definedName name="qw" localSheetId="3">#REF!</definedName>
    <definedName name="qw" localSheetId="4">#REF!</definedName>
    <definedName name="qw">#REF!</definedName>
    <definedName name="sa" localSheetId="2">#REF!</definedName>
    <definedName name="sa" localSheetId="3">#REF!</definedName>
    <definedName name="sa" localSheetId="4">#REF!</definedName>
    <definedName name="sa">#REF!</definedName>
    <definedName name="SawDustEmi" localSheetId="2">'[1]Fuel CO2 Factors'!$E$20</definedName>
    <definedName name="SawDustEmi" localSheetId="3">'[1]Fuel CO2 Factors'!$E$20</definedName>
    <definedName name="SawDustEmi" localSheetId="4">'[1]Fuel CO2 Factors'!$E$20</definedName>
    <definedName name="SawDustEmi">'[1]Fuel CO2 Factors'!$E$20</definedName>
    <definedName name="sdfsfsdf" localSheetId="2">#REF!</definedName>
    <definedName name="sdfsfsdf" localSheetId="3">#REF!</definedName>
    <definedName name="sdfsfsdf" localSheetId="4">#REF!</definedName>
    <definedName name="sdfsfsdf">#REF!</definedName>
    <definedName name="ShaleEmi" localSheetId="2">'[1]Fuel CO2 Factors'!$D$12</definedName>
    <definedName name="ShaleEmi" localSheetId="3">'[1]Fuel CO2 Factors'!$D$12</definedName>
    <definedName name="ShaleEmi" localSheetId="4">'[1]Fuel CO2 Factors'!$D$12</definedName>
    <definedName name="ShaleEmi">'[1]Fuel CO2 Factors'!$D$12</definedName>
    <definedName name="SludgeEmi" localSheetId="2">'[1]Fuel CO2 Factors'!$E$24</definedName>
    <definedName name="SludgeEmi" localSheetId="3">'[1]Fuel CO2 Factors'!$E$24</definedName>
    <definedName name="SludgeEmi" localSheetId="4">'[1]Fuel CO2 Factors'!$E$24</definedName>
    <definedName name="SludgeEmi">'[1]Fuel CO2 Factors'!$E$24</definedName>
    <definedName name="SolventEmi" localSheetId="2">'[1]Fuel CO2 Factors'!$E$19</definedName>
    <definedName name="SolventEmi" localSheetId="3">'[1]Fuel CO2 Factors'!$E$19</definedName>
    <definedName name="SolventEmi" localSheetId="4">'[1]Fuel CO2 Factors'!$E$19</definedName>
    <definedName name="SolventEmi">'[1]Fuel CO2 Factors'!$E$19</definedName>
    <definedName name="TyresBio" localSheetId="2">'[1]Fuel CO2 Factors'!$F$17</definedName>
    <definedName name="TyresBio" localSheetId="3">'[1]Fuel CO2 Factors'!$F$17</definedName>
    <definedName name="TyresBio" localSheetId="4">'[1]Fuel CO2 Factors'!$F$17</definedName>
    <definedName name="TyresBio">'[1]Fuel CO2 Factors'!$F$17</definedName>
    <definedName name="TyresEmi" localSheetId="2">'[1]Fuel CO2 Factors'!$E$17</definedName>
    <definedName name="TyresEmi" localSheetId="3">'[1]Fuel CO2 Factors'!$E$17</definedName>
    <definedName name="TyresEmi" localSheetId="4">'[1]Fuel CO2 Factors'!$E$17</definedName>
    <definedName name="TyresEmi">'[1]Fuel CO2 Factors'!$E$17</definedName>
    <definedName name="WasteOilEmi" localSheetId="2">'[1]Fuel CO2 Factors'!$E$16</definedName>
    <definedName name="WasteOilEmi" localSheetId="3">'[1]Fuel CO2 Factors'!$E$16</definedName>
    <definedName name="WasteOilEmi" localSheetId="4">'[1]Fuel CO2 Factors'!$E$16</definedName>
    <definedName name="WasteOilEmi">'[1]Fuel CO2 Factors'!$E$16</definedName>
    <definedName name="WoodEmi" localSheetId="2">'[1]Fuel CO2 Factors'!$E$25</definedName>
    <definedName name="WoodEmi" localSheetId="3">'[1]Fuel CO2 Factors'!$E$25</definedName>
    <definedName name="WoodEmi" localSheetId="4">'[1]Fuel CO2 Factors'!$E$25</definedName>
    <definedName name="WoodEmi">'[1]Fuel CO2 Factors'!$E$25</definedName>
    <definedName name="y" localSheetId="2">#REF!</definedName>
    <definedName name="y" localSheetId="3">#REF!</definedName>
    <definedName name="y" localSheetId="4">#REF!</definedName>
    <definedName name="y">#REF!</definedName>
    <definedName name="Year" localSheetId="2">[1]Def!$I$2:$I$32</definedName>
    <definedName name="Year" localSheetId="3">[1]Def!$I$2:$I$32</definedName>
    <definedName name="Year" localSheetId="4">[1]Def!$I$2:$I$32</definedName>
    <definedName name="Year">[1]Def!$I$2:$I$32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3" l="1"/>
  <c r="AF7" i="3"/>
  <c r="AF6" i="3"/>
  <c r="AF13" i="3"/>
  <c r="AF9" i="3"/>
  <c r="AF10" i="3"/>
  <c r="AF8" i="3"/>
  <c r="AF15" i="3"/>
  <c r="AF12" i="3"/>
  <c r="AF20" i="3"/>
  <c r="AL38" i="7"/>
  <c r="T30" i="7"/>
  <c r="P31" i="7"/>
  <c r="P30" i="7"/>
  <c r="Z39" i="7" l="1"/>
  <c r="Z40" i="7" s="1"/>
  <c r="K31" i="7"/>
  <c r="K32" i="7" s="1"/>
  <c r="F31" i="7"/>
  <c r="F32" i="7" s="1"/>
  <c r="AK34" i="7"/>
  <c r="AK33" i="7"/>
  <c r="AK32" i="7"/>
  <c r="AK31" i="7"/>
  <c r="AK30" i="7"/>
  <c r="AK29" i="7"/>
  <c r="AK28" i="7"/>
  <c r="AK27" i="7"/>
  <c r="AK26" i="7"/>
  <c r="AK25" i="7"/>
  <c r="AK24" i="7"/>
  <c r="AK23" i="7"/>
  <c r="AK22" i="7"/>
  <c r="AK21" i="7"/>
  <c r="AK20" i="7"/>
  <c r="AK19" i="7"/>
  <c r="AK18" i="7"/>
  <c r="AK17" i="7"/>
  <c r="AK16" i="7"/>
  <c r="AK15" i="7"/>
  <c r="AK14" i="7"/>
  <c r="AK13" i="7"/>
  <c r="AK12" i="7"/>
  <c r="AK11" i="7"/>
  <c r="AK10" i="7"/>
  <c r="AK9" i="7"/>
  <c r="AK8" i="7"/>
  <c r="AK7" i="7"/>
  <c r="AK6" i="7"/>
  <c r="AK5" i="7"/>
  <c r="I21" i="6"/>
  <c r="I20" i="6"/>
  <c r="I19" i="6"/>
  <c r="I18" i="6"/>
  <c r="I17" i="6"/>
  <c r="I15" i="6"/>
  <c r="G14" i="6"/>
  <c r="I13" i="6"/>
  <c r="G12" i="6"/>
  <c r="I11" i="6"/>
  <c r="G11" i="6" s="1"/>
  <c r="I10" i="6"/>
  <c r="I9" i="6"/>
  <c r="G8" i="6"/>
  <c r="I7" i="6"/>
  <c r="I6" i="6"/>
  <c r="I5" i="6"/>
  <c r="G25" i="5"/>
  <c r="G21" i="5"/>
  <c r="I14" i="5"/>
  <c r="G14" i="5" s="1"/>
  <c r="G20" i="5"/>
  <c r="G19" i="5"/>
  <c r="G15" i="5"/>
  <c r="G8" i="5"/>
  <c r="I33" i="5"/>
  <c r="I32" i="5"/>
  <c r="I31" i="5"/>
  <c r="I30" i="5"/>
  <c r="I29" i="5"/>
  <c r="I28" i="5"/>
  <c r="I26" i="5"/>
  <c r="I22" i="5"/>
  <c r="I18" i="5"/>
  <c r="I17" i="5"/>
  <c r="I16" i="5"/>
  <c r="I13" i="5"/>
  <c r="I12" i="5"/>
  <c r="I11" i="5"/>
  <c r="I10" i="5"/>
  <c r="I9" i="5"/>
  <c r="I7" i="5"/>
  <c r="I6" i="5"/>
  <c r="I5" i="5"/>
  <c r="K37" i="3"/>
  <c r="K31" i="3"/>
  <c r="K34" i="3"/>
  <c r="K33" i="3"/>
  <c r="K32" i="3"/>
  <c r="K30" i="3"/>
  <c r="K35" i="3" s="1"/>
  <c r="AF16" i="3"/>
  <c r="AF11" i="3"/>
  <c r="AK25" i="2" l="1"/>
  <c r="AK34" i="2"/>
  <c r="AK33" i="2"/>
  <c r="AK32" i="2"/>
  <c r="AK31" i="2"/>
  <c r="AK30" i="2"/>
  <c r="AK29" i="2"/>
  <c r="AK28" i="2"/>
  <c r="AK27" i="2"/>
  <c r="AK26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K5" i="2"/>
</calcChain>
</file>

<file path=xl/sharedStrings.xml><?xml version="1.0" encoding="utf-8"?>
<sst xmlns="http://schemas.openxmlformats.org/spreadsheetml/2006/main" count="1608" uniqueCount="164">
  <si>
    <t>Eficiencia Térmica</t>
  </si>
  <si>
    <t>Coprocesamiento</t>
  </si>
  <si>
    <t>Eficiencia Eléctrica</t>
  </si>
  <si>
    <t>Emisiones CO2 Mix Combustibles</t>
  </si>
  <si>
    <t>Pais / Región</t>
  </si>
  <si>
    <t>Kg CO2/t cemento</t>
  </si>
  <si>
    <t>Kg CO2/t cementitious</t>
  </si>
  <si>
    <t>País/Región</t>
  </si>
  <si>
    <t>% clínker</t>
  </si>
  <si>
    <t>MJ / t clinker</t>
  </si>
  <si>
    <t>Pais/Región</t>
  </si>
  <si>
    <t>% Combustibles Alternativos</t>
  </si>
  <si>
    <t>kWh/ton cemento</t>
  </si>
  <si>
    <t>Kg CO2/GJ</t>
  </si>
  <si>
    <t>Austria</t>
  </si>
  <si>
    <t>Argentina</t>
  </si>
  <si>
    <t>Percentil 10 GNR</t>
  </si>
  <si>
    <t>India</t>
  </si>
  <si>
    <t>Brasil</t>
  </si>
  <si>
    <t>Colombia</t>
  </si>
  <si>
    <t>Alemania</t>
  </si>
  <si>
    <t>Polonia</t>
  </si>
  <si>
    <t>China / Korea/Japan</t>
  </si>
  <si>
    <t>Asia (n.e.c.)/Oceania</t>
  </si>
  <si>
    <t>Chile</t>
  </si>
  <si>
    <t>Integradas</t>
  </si>
  <si>
    <t>Europe</t>
  </si>
  <si>
    <t>Republica Dominicana</t>
  </si>
  <si>
    <t>Reino Unido</t>
  </si>
  <si>
    <t>Tailandia</t>
  </si>
  <si>
    <t>Percentil 90 GNR</t>
  </si>
  <si>
    <t>China/Korea/Japan</t>
  </si>
  <si>
    <t>Francia</t>
  </si>
  <si>
    <t>Latinoamérica</t>
  </si>
  <si>
    <t>Asia (n.e.c.)/Oceanía</t>
  </si>
  <si>
    <t>Macrozona FICEM</t>
  </si>
  <si>
    <t>Europa</t>
  </si>
  <si>
    <t>Rep Dominicana</t>
  </si>
  <si>
    <t>Medio East</t>
  </si>
  <si>
    <t>Sudamérica ex. Brazil</t>
  </si>
  <si>
    <t>CIS</t>
  </si>
  <si>
    <t>España</t>
  </si>
  <si>
    <t>Mundo</t>
  </si>
  <si>
    <t>Sudamérica sin Brasil</t>
  </si>
  <si>
    <t>Africa</t>
  </si>
  <si>
    <t>Planta Referencia GNR</t>
  </si>
  <si>
    <t>Central America</t>
  </si>
  <si>
    <t>Norte América</t>
  </si>
  <si>
    <t>Egipto</t>
  </si>
  <si>
    <t>North America</t>
  </si>
  <si>
    <t>Moliendas</t>
  </si>
  <si>
    <t>Estados Unidos</t>
  </si>
  <si>
    <t>Sudamérica ex. Brasil</t>
  </si>
  <si>
    <t>Middle East</t>
  </si>
  <si>
    <t>Central América</t>
  </si>
  <si>
    <t>Centroamérica</t>
  </si>
  <si>
    <t>África</t>
  </si>
  <si>
    <t>Europea</t>
  </si>
  <si>
    <t>North América</t>
  </si>
  <si>
    <t>China/ Korea/Japan</t>
  </si>
  <si>
    <t>Sudamerica ex. Brazil</t>
  </si>
  <si>
    <t>Costa Rica</t>
  </si>
  <si>
    <t>Guatemala</t>
  </si>
  <si>
    <t>Hondura</t>
  </si>
  <si>
    <t>Panama</t>
  </si>
  <si>
    <t>Emisiones Netas Cementitious</t>
  </si>
  <si>
    <t>Emisiones Brutas Cementitious</t>
  </si>
  <si>
    <t>Kg CO2/t clinker</t>
  </si>
  <si>
    <t>Emisiones Netas Clínker</t>
  </si>
  <si>
    <t>Emisiones Brutas Clínker</t>
  </si>
  <si>
    <t>Factor Clínker / Cemento</t>
  </si>
  <si>
    <t>Peru 2019</t>
  </si>
  <si>
    <t>Peru 2010</t>
  </si>
  <si>
    <t>Peru</t>
  </si>
  <si>
    <t>México 2016</t>
  </si>
  <si>
    <t>Origen Data</t>
  </si>
  <si>
    <t>GNR</t>
  </si>
  <si>
    <t>HdR FICEM</t>
  </si>
  <si>
    <t>GNR 2019</t>
  </si>
  <si>
    <t>HdR Indep.</t>
  </si>
  <si>
    <t>México (Cemento)</t>
  </si>
  <si>
    <t>Mexico (Cementicio)</t>
  </si>
  <si>
    <t>México (Cementicio)</t>
  </si>
  <si>
    <t>HdR Indep</t>
  </si>
  <si>
    <t>Argentina 2015</t>
  </si>
  <si>
    <t>Chile 2018</t>
  </si>
  <si>
    <t>Colombia 2015</t>
  </si>
  <si>
    <t>R. Dominicana 2015</t>
  </si>
  <si>
    <t>Mexico 2016</t>
  </si>
  <si>
    <t>netas</t>
  </si>
  <si>
    <t>brutas</t>
  </si>
  <si>
    <t>coprocesamiento</t>
  </si>
  <si>
    <t>Peru 2014</t>
  </si>
  <si>
    <t>Peru 2016</t>
  </si>
  <si>
    <t>Mundo 2019</t>
  </si>
  <si>
    <t>Mundo 2014</t>
  </si>
  <si>
    <t>Mundo 2010</t>
  </si>
  <si>
    <t>Factor Clínker</t>
  </si>
  <si>
    <t>Austria 2019</t>
  </si>
  <si>
    <t>Alemania 2019</t>
  </si>
  <si>
    <t>Polonia 2019</t>
  </si>
  <si>
    <t>Argentina HR 2015</t>
  </si>
  <si>
    <t>Brasil 2019</t>
  </si>
  <si>
    <t>India 2019</t>
  </si>
  <si>
    <t>Francia 2019</t>
  </si>
  <si>
    <t>Latinoamérica 2019</t>
  </si>
  <si>
    <t>Reino Unido 2019</t>
  </si>
  <si>
    <t>Chile HR 2018</t>
  </si>
  <si>
    <t>ColombiaHR 2015</t>
  </si>
  <si>
    <t>Central America 2019</t>
  </si>
  <si>
    <t>Peru HR 2019</t>
  </si>
  <si>
    <t>R. Dominicana HR 2015</t>
  </si>
  <si>
    <t>Macrozona FICEM 2019</t>
  </si>
  <si>
    <t>Asia (n.e.c.)/Oceania 2019</t>
  </si>
  <si>
    <t>España 2019</t>
  </si>
  <si>
    <t>China/Korea/Japan 2019</t>
  </si>
  <si>
    <t>Tailandia 2019</t>
  </si>
  <si>
    <t>Middle East 2019</t>
  </si>
  <si>
    <t>Egipto 2019</t>
  </si>
  <si>
    <t>Estados Unidos 2019</t>
  </si>
  <si>
    <t>Perú 2010</t>
  </si>
  <si>
    <t>Perú 2014</t>
  </si>
  <si>
    <t>Perú 2016</t>
  </si>
  <si>
    <t>Global Gross 2019</t>
  </si>
  <si>
    <t>Global Net 2019</t>
  </si>
  <si>
    <t>* Austria</t>
  </si>
  <si>
    <t>* Alemania</t>
  </si>
  <si>
    <t>* Polonia</t>
  </si>
  <si>
    <t>** Argentina</t>
  </si>
  <si>
    <t>* Brasil</t>
  </si>
  <si>
    <t>* Latinoamérica</t>
  </si>
  <si>
    <t>** Chile</t>
  </si>
  <si>
    <t>**Colombia</t>
  </si>
  <si>
    <t>* Central America</t>
  </si>
  <si>
    <t>** Centroamérica</t>
  </si>
  <si>
    <t>** México 2016</t>
  </si>
  <si>
    <t>** Peru</t>
  </si>
  <si>
    <t>* Asia (nec)/Oceania</t>
  </si>
  <si>
    <t>* Tailandia</t>
  </si>
  <si>
    <t>* Middle East</t>
  </si>
  <si>
    <t>* Egipto</t>
  </si>
  <si>
    <t>* Estados Unidos</t>
  </si>
  <si>
    <t>Referencia</t>
  </si>
  <si>
    <t>Mexico</t>
  </si>
  <si>
    <t>R. Dominicana</t>
  </si>
  <si>
    <t>Emisiones Netas Cementitious 2023</t>
  </si>
  <si>
    <t>Emisiones Brutas Cementitious 2023</t>
  </si>
  <si>
    <t>Emisiones Brutas Clínker 2023</t>
  </si>
  <si>
    <t>Emisiones Netas Clínker 2023</t>
  </si>
  <si>
    <t>Factor Clínker / Cemento 2023</t>
  </si>
  <si>
    <t>Ecuador*</t>
  </si>
  <si>
    <t>Chile*</t>
  </si>
  <si>
    <t>R. Dominicana*</t>
  </si>
  <si>
    <t>Peru*</t>
  </si>
  <si>
    <t>* Dato Hoja de Ruta</t>
  </si>
  <si>
    <t>GNR Global</t>
  </si>
  <si>
    <t>Coprocesamiento GNR 2023</t>
  </si>
  <si>
    <t>Factor Clínker GNR 2023</t>
  </si>
  <si>
    <r>
      <t>Net CO</t>
    </r>
    <r>
      <rPr>
        <b/>
        <vertAlign val="subscript"/>
        <sz val="16"/>
        <color theme="1"/>
        <rFont val="Avenir Next Regular"/>
      </rPr>
      <t>2</t>
    </r>
    <r>
      <rPr>
        <b/>
        <sz val="16"/>
        <color theme="1"/>
        <rFont val="Avenir Next Regular"/>
      </rPr>
      <t xml:space="preserve"> Cementicio GNR 2023</t>
    </r>
  </si>
  <si>
    <r>
      <t>Net CO</t>
    </r>
    <r>
      <rPr>
        <b/>
        <vertAlign val="subscript"/>
        <sz val="16"/>
        <color theme="1"/>
        <rFont val="Avenir Next Regular"/>
      </rPr>
      <t>2</t>
    </r>
    <r>
      <rPr>
        <b/>
        <sz val="16"/>
        <color theme="1"/>
        <rFont val="Avenir Next Regular"/>
      </rPr>
      <t xml:space="preserve"> Clínker GNR 2023</t>
    </r>
  </si>
  <si>
    <t>Eficiencia Eléctrica GNR 2023</t>
  </si>
  <si>
    <t>Consumo Térmico GNR 2023</t>
  </si>
  <si>
    <t>LAC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</si>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</sst>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Avenir Next Regular"/>
    </font>
    <font>
      <b/>
      <sz val="14"/>
      <color rgb="FFFF0000"/>
      <name val="Avenir Next Regular"/>
    </font>
    <font>
      <b/>
      <sz val="16"/>
      <color theme="1"/>
      <name val="Avenir Next Regular"/>
    </font>
    <font>
      <sz val="14"/>
      <color theme="0"/>
      <name val="Avenir Next Regular"/>
    </font>
    <font>
      <b/>
      <sz val="14"/>
      <color theme="1"/>
      <name val="Avenir Next Regular"/>
    </font>
    <font>
      <b/>
      <sz val="14"/>
      <color theme="0"/>
      <name val="Avenir Next Regular"/>
    </font>
    <font>
      <b/>
      <sz val="14"/>
      <color rgb="FF01BADB"/>
      <name val="Avenir Next Regular"/>
    </font>
    <font>
      <sz val="8"/>
      <color rgb="FF01BADB"/>
      <name val="Avenir Next Regular"/>
    </font>
    <font>
      <b/>
      <sz val="18"/>
      <color rgb="FF01BADB"/>
      <name val="Avenir Next Regular"/>
    </font>
    <font>
      <b/>
      <sz val="8"/>
      <color rgb="FF01BADB"/>
      <name val="Avenir Next Regular"/>
    </font>
    <font>
      <sz val="12"/>
      <color theme="1" tint="0.249977111117893"/>
      <name val="Avenir Next Regular"/>
    </font>
    <font>
      <b/>
      <sz val="14"/>
      <color rgb="FF002060"/>
      <name val="Avenir Next Regular"/>
    </font>
    <font>
      <sz val="14"/>
      <name val="Avenir Next Regular"/>
    </font>
    <font>
      <sz val="16"/>
      <name val="Avenir Next Regular"/>
    </font>
    <font>
      <b/>
      <sz val="20"/>
      <color theme="1"/>
      <name val="Avenir Next Regular"/>
    </font>
    <font>
      <sz val="20"/>
      <color theme="1"/>
      <name val="Avenir Next Regular"/>
    </font>
    <font>
      <b/>
      <sz val="14"/>
      <name val="Avenir Next Regular"/>
    </font>
    <font>
      <sz val="8"/>
      <name val="Calibri"/>
      <family val="2"/>
      <scheme val="minor"/>
    </font>
    <font>
      <b/>
      <sz val="14"/>
      <color theme="8" tint="-0.499984740745262"/>
      <name val="Avenir Next Regular"/>
    </font>
    <font>
      <b/>
      <sz val="11"/>
      <color theme="1"/>
      <name val="Avenir Next Regular"/>
    </font>
    <font>
      <b/>
      <vertAlign val="subscript"/>
      <sz val="16"/>
      <color theme="1"/>
      <name val="Avenir Next Regular"/>
    </font>
    <font>
      <sz val="15"/>
      <color theme="1"/>
      <name val="Avenir Next Regular"/>
    </font>
    <font>
      <sz val="15"/>
      <name val="Avenir Next Regular"/>
    </font>
    <font>
      <b/>
      <sz val="15"/>
      <color rgb="FF002060"/>
      <name val="Avenir Next Regula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BDB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rgb="FF01BADB"/>
      </top>
      <bottom style="thick">
        <color rgb="FF01BADB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83">
    <xf numFmtId="0" fontId="0" fillId="0" borderId="0" xfId="0"/>
    <xf numFmtId="0" fontId="3" fillId="0" borderId="0" xfId="2" applyFont="1"/>
    <xf numFmtId="0" fontId="4" fillId="0" borderId="0" xfId="2" applyFont="1"/>
    <xf numFmtId="0" fontId="5" fillId="0" borderId="0" xfId="2" applyFont="1"/>
    <xf numFmtId="0" fontId="3" fillId="0" borderId="1" xfId="2" applyFont="1" applyBorder="1"/>
    <xf numFmtId="0" fontId="3" fillId="0" borderId="0" xfId="2" applyFont="1" applyAlignment="1">
      <alignment vertical="center"/>
    </xf>
    <xf numFmtId="1" fontId="6" fillId="0" borderId="0" xfId="2" applyNumberFormat="1" applyFont="1" applyAlignment="1">
      <alignment horizontal="left" vertical="center"/>
    </xf>
    <xf numFmtId="1" fontId="8" fillId="0" borderId="0" xfId="2" applyNumberFormat="1" applyFont="1" applyAlignment="1">
      <alignment horizontal="left" vertical="center"/>
    </xf>
    <xf numFmtId="9" fontId="6" fillId="0" borderId="0" xfId="3" applyFont="1" applyAlignment="1">
      <alignment horizontal="left" vertical="center"/>
    </xf>
    <xf numFmtId="1" fontId="6" fillId="0" borderId="0" xfId="3" applyNumberFormat="1" applyFont="1" applyAlignment="1">
      <alignment horizontal="left" vertical="center"/>
    </xf>
    <xf numFmtId="9" fontId="3" fillId="0" borderId="0" xfId="3" applyFont="1" applyAlignment="1">
      <alignment vertical="center"/>
    </xf>
    <xf numFmtId="1" fontId="10" fillId="0" borderId="0" xfId="3" applyNumberFormat="1" applyFont="1" applyAlignment="1">
      <alignment horizontal="left" vertical="center"/>
    </xf>
    <xf numFmtId="0" fontId="7" fillId="0" borderId="0" xfId="2" applyFont="1" applyAlignment="1">
      <alignment vertical="center"/>
    </xf>
    <xf numFmtId="9" fontId="8" fillId="0" borderId="0" xfId="3" applyFont="1" applyAlignment="1">
      <alignment horizontal="left" vertical="center"/>
    </xf>
    <xf numFmtId="1" fontId="8" fillId="0" borderId="0" xfId="3" applyNumberFormat="1" applyFont="1" applyAlignment="1">
      <alignment horizontal="left" vertical="center"/>
    </xf>
    <xf numFmtId="9" fontId="7" fillId="0" borderId="0" xfId="3" applyFont="1" applyAlignment="1">
      <alignment vertical="center"/>
    </xf>
    <xf numFmtId="1" fontId="12" fillId="0" borderId="0" xfId="3" applyNumberFormat="1" applyFont="1" applyAlignment="1">
      <alignment horizontal="left" vertical="center"/>
    </xf>
    <xf numFmtId="9" fontId="7" fillId="0" borderId="0" xfId="1" applyFont="1"/>
    <xf numFmtId="0" fontId="13" fillId="0" borderId="0" xfId="2" applyFont="1" applyAlignment="1">
      <alignment vertical="center"/>
    </xf>
    <xf numFmtId="0" fontId="13" fillId="0" borderId="0" xfId="2" applyFont="1" applyAlignment="1">
      <alignment horizontal="left" vertical="center" indent="2"/>
    </xf>
    <xf numFmtId="0" fontId="7" fillId="2" borderId="0" xfId="2" applyFont="1" applyFill="1" applyAlignment="1">
      <alignment vertical="center"/>
    </xf>
    <xf numFmtId="0" fontId="3" fillId="2" borderId="0" xfId="2" applyFont="1" applyFill="1" applyAlignment="1">
      <alignment vertical="center"/>
    </xf>
    <xf numFmtId="0" fontId="7" fillId="2" borderId="0" xfId="2" applyFont="1" applyFill="1"/>
    <xf numFmtId="0" fontId="9" fillId="2" borderId="0" xfId="2" applyFont="1" applyFill="1" applyAlignment="1">
      <alignment vertical="center"/>
    </xf>
    <xf numFmtId="0" fontId="7" fillId="0" borderId="0" xfId="2" applyFont="1"/>
    <xf numFmtId="164" fontId="3" fillId="0" borderId="0" xfId="3" applyNumberFormat="1" applyFont="1" applyAlignment="1">
      <alignment vertical="center"/>
    </xf>
    <xf numFmtId="0" fontId="11" fillId="2" borderId="0" xfId="2" applyFont="1" applyFill="1" applyAlignment="1">
      <alignment vertical="center"/>
    </xf>
    <xf numFmtId="0" fontId="14" fillId="0" borderId="0" xfId="2" applyFont="1"/>
    <xf numFmtId="0" fontId="15" fillId="0" borderId="0" xfId="2" applyFont="1"/>
    <xf numFmtId="0" fontId="15" fillId="0" borderId="1" xfId="2" applyFont="1" applyBorder="1"/>
    <xf numFmtId="1" fontId="15" fillId="0" borderId="0" xfId="2" applyNumberFormat="1" applyFont="1" applyAlignment="1">
      <alignment horizontal="left" vertical="center"/>
    </xf>
    <xf numFmtId="0" fontId="15" fillId="0" borderId="0" xfId="2" applyFont="1" applyAlignment="1">
      <alignment vertical="center"/>
    </xf>
    <xf numFmtId="0" fontId="16" fillId="0" borderId="0" xfId="2" applyFont="1"/>
    <xf numFmtId="0" fontId="3" fillId="3" borderId="0" xfId="2" applyFont="1" applyFill="1" applyAlignment="1">
      <alignment vertical="center"/>
    </xf>
    <xf numFmtId="0" fontId="3" fillId="0" borderId="0" xfId="4" applyFont="1"/>
    <xf numFmtId="0" fontId="4" fillId="0" borderId="0" xfId="4" applyFont="1"/>
    <xf numFmtId="0" fontId="17" fillId="0" borderId="0" xfId="4" applyFont="1" applyAlignment="1">
      <alignment horizontal="left"/>
    </xf>
    <xf numFmtId="0" fontId="18" fillId="0" borderId="0" xfId="4" applyFont="1" applyAlignment="1">
      <alignment horizontal="left"/>
    </xf>
    <xf numFmtId="0" fontId="3" fillId="0" borderId="1" xfId="4" applyFont="1" applyBorder="1"/>
    <xf numFmtId="0" fontId="15" fillId="0" borderId="1" xfId="4" applyFont="1" applyBorder="1"/>
    <xf numFmtId="0" fontId="3" fillId="0" borderId="0" xfId="4" applyFont="1" applyAlignment="1">
      <alignment vertical="center"/>
    </xf>
    <xf numFmtId="1" fontId="6" fillId="0" borderId="0" xfId="4" applyNumberFormat="1" applyFont="1" applyAlignment="1">
      <alignment horizontal="left" vertical="center"/>
    </xf>
    <xf numFmtId="0" fontId="3" fillId="2" borderId="0" xfId="4" applyFont="1" applyFill="1" applyAlignment="1">
      <alignment vertical="center"/>
    </xf>
    <xf numFmtId="1" fontId="8" fillId="0" borderId="0" xfId="4" applyNumberFormat="1" applyFont="1" applyAlignment="1">
      <alignment horizontal="left" vertical="center"/>
    </xf>
    <xf numFmtId="1" fontId="15" fillId="0" borderId="0" xfId="4" applyNumberFormat="1" applyFont="1" applyAlignment="1">
      <alignment horizontal="left" vertical="center"/>
    </xf>
    <xf numFmtId="0" fontId="7" fillId="2" borderId="0" xfId="4" applyFont="1" applyFill="1" applyAlignment="1">
      <alignment vertical="center"/>
    </xf>
    <xf numFmtId="0" fontId="14" fillId="2" borderId="0" xfId="4" applyFont="1" applyFill="1"/>
    <xf numFmtId="1" fontId="8" fillId="0" borderId="0" xfId="5" applyNumberFormat="1" applyFont="1" applyAlignment="1">
      <alignment horizontal="left" vertical="center"/>
    </xf>
    <xf numFmtId="1" fontId="15" fillId="0" borderId="0" xfId="5" applyNumberFormat="1" applyFont="1" applyAlignment="1">
      <alignment horizontal="left" vertical="center"/>
    </xf>
    <xf numFmtId="0" fontId="7" fillId="2" borderId="0" xfId="4" applyFont="1" applyFill="1"/>
    <xf numFmtId="9" fontId="8" fillId="0" borderId="0" xfId="5" applyFont="1" applyAlignment="1">
      <alignment horizontal="left" vertical="center"/>
    </xf>
    <xf numFmtId="9" fontId="6" fillId="0" borderId="0" xfId="5" applyFont="1" applyAlignment="1">
      <alignment horizontal="left" vertical="center"/>
    </xf>
    <xf numFmtId="9" fontId="3" fillId="0" borderId="0" xfId="5" applyFont="1" applyAlignment="1">
      <alignment vertical="center"/>
    </xf>
    <xf numFmtId="1" fontId="6" fillId="0" borderId="0" xfId="5" applyNumberFormat="1" applyFont="1" applyAlignment="1">
      <alignment horizontal="left" vertical="center"/>
    </xf>
    <xf numFmtId="0" fontId="7" fillId="0" borderId="0" xfId="4" applyFont="1"/>
    <xf numFmtId="0" fontId="7" fillId="0" borderId="0" xfId="4" applyFont="1" applyAlignment="1">
      <alignment vertical="center"/>
    </xf>
    <xf numFmtId="9" fontId="7" fillId="0" borderId="0" xfId="5" applyFont="1" applyAlignment="1">
      <alignment vertical="center"/>
    </xf>
    <xf numFmtId="0" fontId="11" fillId="2" borderId="0" xfId="4" applyFont="1" applyFill="1" applyAlignment="1">
      <alignment vertical="center"/>
    </xf>
    <xf numFmtId="0" fontId="13" fillId="0" borderId="0" xfId="4" applyFont="1" applyAlignment="1">
      <alignment vertical="center"/>
    </xf>
    <xf numFmtId="0" fontId="13" fillId="0" borderId="0" xfId="4" applyFont="1" applyAlignment="1">
      <alignment horizontal="left" vertical="center" indent="2"/>
    </xf>
    <xf numFmtId="9" fontId="3" fillId="0" borderId="0" xfId="1" applyFont="1"/>
    <xf numFmtId="1" fontId="3" fillId="0" borderId="0" xfId="4" applyNumberFormat="1" applyFont="1"/>
    <xf numFmtId="2" fontId="3" fillId="0" borderId="0" xfId="4" applyNumberFormat="1" applyFont="1"/>
    <xf numFmtId="0" fontId="15" fillId="0" borderId="0" xfId="4" applyFont="1"/>
    <xf numFmtId="1" fontId="3" fillId="0" borderId="0" xfId="4" applyNumberFormat="1" applyFont="1" applyAlignment="1">
      <alignment vertical="center"/>
    </xf>
    <xf numFmtId="1" fontId="19" fillId="0" borderId="0" xfId="4" applyNumberFormat="1" applyFont="1" applyAlignment="1">
      <alignment horizontal="left" vertical="center"/>
    </xf>
    <xf numFmtId="0" fontId="15" fillId="0" borderId="0" xfId="4" applyFont="1" applyAlignment="1">
      <alignment vertical="center"/>
    </xf>
    <xf numFmtId="1" fontId="19" fillId="2" borderId="0" xfId="4" applyNumberFormat="1" applyFont="1" applyFill="1" applyAlignment="1">
      <alignment vertical="center"/>
    </xf>
    <xf numFmtId="1" fontId="7" fillId="0" borderId="0" xfId="4" applyNumberFormat="1" applyFont="1"/>
    <xf numFmtId="9" fontId="3" fillId="0" borderId="0" xfId="4" applyNumberFormat="1" applyFont="1"/>
    <xf numFmtId="0" fontId="14" fillId="0" borderId="0" xfId="4" applyFont="1"/>
    <xf numFmtId="0" fontId="21" fillId="0" borderId="0" xfId="2" applyFont="1"/>
    <xf numFmtId="9" fontId="3" fillId="0" borderId="0" xfId="5" applyFont="1" applyBorder="1" applyAlignment="1">
      <alignment vertical="center"/>
    </xf>
    <xf numFmtId="0" fontId="15" fillId="2" borderId="0" xfId="4" applyFont="1" applyFill="1"/>
    <xf numFmtId="0" fontId="22" fillId="0" borderId="0" xfId="4" applyFont="1"/>
    <xf numFmtId="9" fontId="8" fillId="0" borderId="0" xfId="1" applyFont="1" applyAlignment="1">
      <alignment horizontal="left" vertical="center"/>
    </xf>
    <xf numFmtId="9" fontId="8" fillId="0" borderId="0" xfId="1" applyFont="1" applyBorder="1" applyAlignment="1">
      <alignment horizontal="left" vertical="center"/>
    </xf>
    <xf numFmtId="0" fontId="5" fillId="0" borderId="0" xfId="4" applyFont="1"/>
    <xf numFmtId="0" fontId="24" fillId="2" borderId="0" xfId="4" applyFont="1" applyFill="1" applyAlignment="1">
      <alignment vertical="center"/>
    </xf>
    <xf numFmtId="0" fontId="25" fillId="2" borderId="0" xfId="4" applyFont="1" applyFill="1" applyAlignment="1">
      <alignment vertical="center"/>
    </xf>
    <xf numFmtId="0" fontId="25" fillId="0" borderId="0" xfId="4" applyFont="1" applyAlignment="1">
      <alignment vertical="center"/>
    </xf>
    <xf numFmtId="0" fontId="26" fillId="2" borderId="0" xfId="4" applyFont="1" applyFill="1" applyAlignment="1">
      <alignment vertical="center"/>
    </xf>
    <xf numFmtId="0" fontId="24" fillId="0" borderId="0" xfId="4" applyFont="1" applyAlignment="1">
      <alignment vertical="center"/>
    </xf>
  </cellXfs>
  <cellStyles count="6">
    <cellStyle name="Normal" xfId="0" builtinId="0"/>
    <cellStyle name="Normal 3" xfId="2" xr:uid="{4BDAAC4F-0133-4BE8-A8DA-438E3946711E}"/>
    <cellStyle name="Normal 3 2" xfId="4" xr:uid="{02C61F6F-EBAE-4A83-A34D-D687B2E2678B}"/>
    <cellStyle name="Porcentaje" xfId="1" builtinId="5"/>
    <cellStyle name="Porcentaje 2" xfId="3" xr:uid="{135FF045-647E-4BB7-AEF2-C0DE36ADE6D5}"/>
    <cellStyle name="Porcentaje 2 3" xfId="5" xr:uid="{AE70717C-60E4-450A-BEB6-6FBCBA235C1B}"/>
  </cellStyles>
  <dxfs count="0"/>
  <tableStyles count="0" defaultTableStyle="TableStyleMedium2" defaultPivotStyle="PivotStyleLight16"/>
  <colors>
    <mruColors>
      <color rgb="FF00BBDB"/>
      <color rgb="FF638EC6"/>
      <color rgb="FF00BBDA"/>
      <color rgb="FF42D4E8"/>
      <color rgb="FF4EC4D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891951006124234E-2"/>
          <c:y val="0.10315693646402306"/>
          <c:w val="0.90483708286464193"/>
          <c:h val="0.58025052611666783"/>
        </c:manualLayout>
      </c:layout>
      <c:barChart>
        <c:barDir val="col"/>
        <c:grouping val="stacked"/>
        <c:varyColors val="0"/>
        <c:ser>
          <c:idx val="0"/>
          <c:order val="0"/>
          <c:tx>
            <c:v>Emisiones Netas</c:v>
          </c:tx>
          <c:spPr>
            <a:solidFill>
              <a:schemeClr val="accent1"/>
            </a:solidFill>
            <a:ln w="9525" cap="flat" cmpd="sng" algn="ctr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701-4C41-AF83-180C60DC1F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(2)'!$E$5:$E$33</c:f>
              <c:strCache>
                <c:ptCount val="29"/>
                <c:pt idx="0">
                  <c:v>Austria 2019</c:v>
                </c:pt>
                <c:pt idx="1">
                  <c:v>Alemania 2019</c:v>
                </c:pt>
                <c:pt idx="2">
                  <c:v>Polonia 2019</c:v>
                </c:pt>
                <c:pt idx="3">
                  <c:v>Argentina HR 2015</c:v>
                </c:pt>
                <c:pt idx="4">
                  <c:v>Brasil 2019</c:v>
                </c:pt>
                <c:pt idx="5">
                  <c:v>India 2019</c:v>
                </c:pt>
                <c:pt idx="6">
                  <c:v>Francia 2019</c:v>
                </c:pt>
                <c:pt idx="7">
                  <c:v>Latinoamérica 2019</c:v>
                </c:pt>
                <c:pt idx="8">
                  <c:v>Reino Unido 2019</c:v>
                </c:pt>
                <c:pt idx="9">
                  <c:v>Chile HR 2018</c:v>
                </c:pt>
                <c:pt idx="10">
                  <c:v>ColombiaHR 2015</c:v>
                </c:pt>
                <c:pt idx="11">
                  <c:v>Central America 2019</c:v>
                </c:pt>
                <c:pt idx="12">
                  <c:v>Peru HR 2019</c:v>
                </c:pt>
                <c:pt idx="13">
                  <c:v>Mundo 2019</c:v>
                </c:pt>
                <c:pt idx="14">
                  <c:v>R. Dominicana HR 2015</c:v>
                </c:pt>
                <c:pt idx="15">
                  <c:v>Macrozona FICEM 2019</c:v>
                </c:pt>
                <c:pt idx="16">
                  <c:v>Mundo 2014</c:v>
                </c:pt>
                <c:pt idx="17">
                  <c:v>México 2016</c:v>
                </c:pt>
                <c:pt idx="18">
                  <c:v>Peru 2016</c:v>
                </c:pt>
                <c:pt idx="19">
                  <c:v>Peru 2014</c:v>
                </c:pt>
                <c:pt idx="20">
                  <c:v>Mundo 2010</c:v>
                </c:pt>
                <c:pt idx="21">
                  <c:v>Asia (n.e.c.)/Oceania 2019</c:v>
                </c:pt>
                <c:pt idx="22">
                  <c:v>Peru 2010</c:v>
                </c:pt>
                <c:pt idx="23">
                  <c:v>España 2019</c:v>
                </c:pt>
                <c:pt idx="24">
                  <c:v>China/Korea/Japan 2019</c:v>
                </c:pt>
                <c:pt idx="25">
                  <c:v>Tailandia 2019</c:v>
                </c:pt>
                <c:pt idx="26">
                  <c:v>Middle East 2019</c:v>
                </c:pt>
                <c:pt idx="27">
                  <c:v>Egipto 2019</c:v>
                </c:pt>
                <c:pt idx="28">
                  <c:v>Estados Unidos 2019</c:v>
                </c:pt>
              </c:strCache>
            </c:strRef>
          </c:cat>
          <c:val>
            <c:numRef>
              <c:f>'Emisiones Netas y Brutas (2)'!$F$5:$F$33</c:f>
              <c:numCache>
                <c:formatCode>0</c:formatCode>
                <c:ptCount val="29"/>
                <c:pt idx="0">
                  <c:v>419</c:v>
                </c:pt>
                <c:pt idx="1">
                  <c:v>472</c:v>
                </c:pt>
                <c:pt idx="2">
                  <c:v>490</c:v>
                </c:pt>
                <c:pt idx="3">
                  <c:v>516</c:v>
                </c:pt>
                <c:pt idx="4">
                  <c:v>536</c:v>
                </c:pt>
                <c:pt idx="5">
                  <c:v>560</c:v>
                </c:pt>
                <c:pt idx="6">
                  <c:v>565</c:v>
                </c:pt>
                <c:pt idx="7">
                  <c:v>574</c:v>
                </c:pt>
                <c:pt idx="8">
                  <c:v>579</c:v>
                </c:pt>
                <c:pt idx="9">
                  <c:v>581</c:v>
                </c:pt>
                <c:pt idx="10">
                  <c:v>586</c:v>
                </c:pt>
                <c:pt idx="11">
                  <c:v>604</c:v>
                </c:pt>
                <c:pt idx="12">
                  <c:v>607</c:v>
                </c:pt>
                <c:pt idx="13">
                  <c:v>608</c:v>
                </c:pt>
                <c:pt idx="14">
                  <c:v>608</c:v>
                </c:pt>
                <c:pt idx="15">
                  <c:v>612</c:v>
                </c:pt>
                <c:pt idx="16">
                  <c:v>615</c:v>
                </c:pt>
                <c:pt idx="17">
                  <c:v>617</c:v>
                </c:pt>
                <c:pt idx="18">
                  <c:v>619</c:v>
                </c:pt>
                <c:pt idx="19">
                  <c:v>635</c:v>
                </c:pt>
                <c:pt idx="20">
                  <c:v>635</c:v>
                </c:pt>
                <c:pt idx="21">
                  <c:v>638</c:v>
                </c:pt>
                <c:pt idx="22">
                  <c:v>645</c:v>
                </c:pt>
                <c:pt idx="23">
                  <c:v>646</c:v>
                </c:pt>
                <c:pt idx="24">
                  <c:v>656.78616533699903</c:v>
                </c:pt>
                <c:pt idx="25">
                  <c:v>661</c:v>
                </c:pt>
                <c:pt idx="26">
                  <c:v>707</c:v>
                </c:pt>
                <c:pt idx="27">
                  <c:v>713</c:v>
                </c:pt>
                <c:pt idx="28">
                  <c:v>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01-4C41-AF83-180C60DC1FDE}"/>
            </c:ext>
          </c:extLst>
        </c:ser>
        <c:ser>
          <c:idx val="1"/>
          <c:order val="1"/>
          <c:tx>
            <c:v>Emisiones Coprocesamiento</c:v>
          </c:tx>
          <c:spPr>
            <a:solidFill>
              <a:schemeClr val="accent4"/>
            </a:solidFill>
            <a:ln w="9525" cap="flat" cmpd="sng" algn="ctr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01-4C41-AF83-180C60DC1FD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01-4C41-AF83-180C60DC1FD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701-4C41-AF83-180C60DC1F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(2)'!$E$5:$E$33</c:f>
              <c:strCache>
                <c:ptCount val="29"/>
                <c:pt idx="0">
                  <c:v>Austria 2019</c:v>
                </c:pt>
                <c:pt idx="1">
                  <c:v>Alemania 2019</c:v>
                </c:pt>
                <c:pt idx="2">
                  <c:v>Polonia 2019</c:v>
                </c:pt>
                <c:pt idx="3">
                  <c:v>Argentina HR 2015</c:v>
                </c:pt>
                <c:pt idx="4">
                  <c:v>Brasil 2019</c:v>
                </c:pt>
                <c:pt idx="5">
                  <c:v>India 2019</c:v>
                </c:pt>
                <c:pt idx="6">
                  <c:v>Francia 2019</c:v>
                </c:pt>
                <c:pt idx="7">
                  <c:v>Latinoamérica 2019</c:v>
                </c:pt>
                <c:pt idx="8">
                  <c:v>Reino Unido 2019</c:v>
                </c:pt>
                <c:pt idx="9">
                  <c:v>Chile HR 2018</c:v>
                </c:pt>
                <c:pt idx="10">
                  <c:v>ColombiaHR 2015</c:v>
                </c:pt>
                <c:pt idx="11">
                  <c:v>Central America 2019</c:v>
                </c:pt>
                <c:pt idx="12">
                  <c:v>Peru HR 2019</c:v>
                </c:pt>
                <c:pt idx="13">
                  <c:v>Mundo 2019</c:v>
                </c:pt>
                <c:pt idx="14">
                  <c:v>R. Dominicana HR 2015</c:v>
                </c:pt>
                <c:pt idx="15">
                  <c:v>Macrozona FICEM 2019</c:v>
                </c:pt>
                <c:pt idx="16">
                  <c:v>Mundo 2014</c:v>
                </c:pt>
                <c:pt idx="17">
                  <c:v>México 2016</c:v>
                </c:pt>
                <c:pt idx="18">
                  <c:v>Peru 2016</c:v>
                </c:pt>
                <c:pt idx="19">
                  <c:v>Peru 2014</c:v>
                </c:pt>
                <c:pt idx="20">
                  <c:v>Mundo 2010</c:v>
                </c:pt>
                <c:pt idx="21">
                  <c:v>Asia (n.e.c.)/Oceania 2019</c:v>
                </c:pt>
                <c:pt idx="22">
                  <c:v>Peru 2010</c:v>
                </c:pt>
                <c:pt idx="23">
                  <c:v>España 2019</c:v>
                </c:pt>
                <c:pt idx="24">
                  <c:v>China/Korea/Japan 2019</c:v>
                </c:pt>
                <c:pt idx="25">
                  <c:v>Tailandia 2019</c:v>
                </c:pt>
                <c:pt idx="26">
                  <c:v>Middle East 2019</c:v>
                </c:pt>
                <c:pt idx="27">
                  <c:v>Egipto 2019</c:v>
                </c:pt>
                <c:pt idx="28">
                  <c:v>Estados Unidos 2019</c:v>
                </c:pt>
              </c:strCache>
            </c:strRef>
          </c:cat>
          <c:val>
            <c:numRef>
              <c:f>'Emisiones Netas y Brutas (2)'!$G$5:$G$33</c:f>
              <c:numCache>
                <c:formatCode>0</c:formatCode>
                <c:ptCount val="29"/>
                <c:pt idx="0">
                  <c:v>122</c:v>
                </c:pt>
                <c:pt idx="1">
                  <c:v>109</c:v>
                </c:pt>
                <c:pt idx="2">
                  <c:v>109</c:v>
                </c:pt>
                <c:pt idx="3">
                  <c:v>8</c:v>
                </c:pt>
                <c:pt idx="4">
                  <c:v>28</c:v>
                </c:pt>
                <c:pt idx="5">
                  <c:v>6</c:v>
                </c:pt>
                <c:pt idx="6">
                  <c:v>59</c:v>
                </c:pt>
                <c:pt idx="7">
                  <c:v>23</c:v>
                </c:pt>
                <c:pt idx="8">
                  <c:v>62</c:v>
                </c:pt>
                <c:pt idx="9">
                  <c:v>30.100000000000023</c:v>
                </c:pt>
                <c:pt idx="10">
                  <c:v>14</c:v>
                </c:pt>
                <c:pt idx="11">
                  <c:v>33</c:v>
                </c:pt>
                <c:pt idx="12">
                  <c:v>0</c:v>
                </c:pt>
                <c:pt idx="13">
                  <c:v>27</c:v>
                </c:pt>
                <c:pt idx="14">
                  <c:v>9</c:v>
                </c:pt>
                <c:pt idx="15">
                  <c:v>9</c:v>
                </c:pt>
                <c:pt idx="16">
                  <c:v>22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49</c:v>
                </c:pt>
                <c:pt idx="24">
                  <c:v>0</c:v>
                </c:pt>
                <c:pt idx="25">
                  <c:v>18</c:v>
                </c:pt>
                <c:pt idx="26">
                  <c:v>24</c:v>
                </c:pt>
                <c:pt idx="27">
                  <c:v>23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01-4C41-AF83-180C60DC1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23127504"/>
        <c:axId val="423128488"/>
      </c:barChart>
      <c:lineChart>
        <c:grouping val="standard"/>
        <c:varyColors val="0"/>
        <c:ser>
          <c:idx val="2"/>
          <c:order val="2"/>
          <c:tx>
            <c:v>Emisiones Brutas</c:v>
          </c:tx>
          <c:spPr>
            <a:ln w="15875" cap="rnd">
              <a:noFill/>
              <a:round/>
            </a:ln>
            <a:effectLst/>
          </c:spPr>
          <c:marker>
            <c:symbol val="none"/>
          </c:marker>
          <c:dLbls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6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701-4C41-AF83-180C60DC1FDE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600" b="1" i="0" u="none" strike="noStrike" kern="1200" baseline="0">
                      <a:solidFill>
                        <a:srgbClr val="4472C4">
                          <a:lumMod val="75000"/>
                        </a:srgb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701-4C41-AF83-180C60DC1FDE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600" b="1" i="0" u="none" strike="noStrike" kern="1200" baseline="0">
                      <a:solidFill>
                        <a:srgbClr val="4472C4">
                          <a:lumMod val="75000"/>
                        </a:srgb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3E0-4421-9C37-531B85B018B7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600" b="1" i="0" u="none" strike="noStrike" kern="1200" baseline="0">
                      <a:solidFill>
                        <a:srgbClr val="4472C4">
                          <a:lumMod val="75000"/>
                        </a:srgb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3E0-4421-9C37-531B85B018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(2)'!$E$5:$E$28</c:f>
              <c:strCache>
                <c:ptCount val="24"/>
                <c:pt idx="0">
                  <c:v>Austria 2019</c:v>
                </c:pt>
                <c:pt idx="1">
                  <c:v>Alemania 2019</c:v>
                </c:pt>
                <c:pt idx="2">
                  <c:v>Polonia 2019</c:v>
                </c:pt>
                <c:pt idx="3">
                  <c:v>Argentina HR 2015</c:v>
                </c:pt>
                <c:pt idx="4">
                  <c:v>Brasil 2019</c:v>
                </c:pt>
                <c:pt idx="5">
                  <c:v>India 2019</c:v>
                </c:pt>
                <c:pt idx="6">
                  <c:v>Francia 2019</c:v>
                </c:pt>
                <c:pt idx="7">
                  <c:v>Latinoamérica 2019</c:v>
                </c:pt>
                <c:pt idx="8">
                  <c:v>Reino Unido 2019</c:v>
                </c:pt>
                <c:pt idx="9">
                  <c:v>Chile HR 2018</c:v>
                </c:pt>
                <c:pt idx="10">
                  <c:v>ColombiaHR 2015</c:v>
                </c:pt>
                <c:pt idx="11">
                  <c:v>Central America 2019</c:v>
                </c:pt>
                <c:pt idx="12">
                  <c:v>Peru HR 2019</c:v>
                </c:pt>
                <c:pt idx="13">
                  <c:v>Mundo 2019</c:v>
                </c:pt>
                <c:pt idx="14">
                  <c:v>R. Dominicana HR 2015</c:v>
                </c:pt>
                <c:pt idx="15">
                  <c:v>Macrozona FICEM 2019</c:v>
                </c:pt>
                <c:pt idx="16">
                  <c:v>Mundo 2014</c:v>
                </c:pt>
                <c:pt idx="17">
                  <c:v>México 2016</c:v>
                </c:pt>
                <c:pt idx="18">
                  <c:v>Peru 2016</c:v>
                </c:pt>
                <c:pt idx="19">
                  <c:v>Peru 2014</c:v>
                </c:pt>
                <c:pt idx="20">
                  <c:v>Mundo 2010</c:v>
                </c:pt>
                <c:pt idx="21">
                  <c:v>Asia (n.e.c.)/Oceania 2019</c:v>
                </c:pt>
                <c:pt idx="22">
                  <c:v>Peru 2010</c:v>
                </c:pt>
                <c:pt idx="23">
                  <c:v>España 2019</c:v>
                </c:pt>
              </c:strCache>
            </c:strRef>
          </c:cat>
          <c:val>
            <c:numRef>
              <c:f>'Emisiones Netas y Brutas (2)'!$I$5:$I$33</c:f>
              <c:numCache>
                <c:formatCode>0</c:formatCode>
                <c:ptCount val="29"/>
                <c:pt idx="0">
                  <c:v>541</c:v>
                </c:pt>
                <c:pt idx="1">
                  <c:v>581</c:v>
                </c:pt>
                <c:pt idx="2">
                  <c:v>599</c:v>
                </c:pt>
                <c:pt idx="3">
                  <c:v>524</c:v>
                </c:pt>
                <c:pt idx="4">
                  <c:v>564</c:v>
                </c:pt>
                <c:pt idx="5">
                  <c:v>566</c:v>
                </c:pt>
                <c:pt idx="6">
                  <c:v>624</c:v>
                </c:pt>
                <c:pt idx="7">
                  <c:v>597</c:v>
                </c:pt>
                <c:pt idx="8">
                  <c:v>641</c:v>
                </c:pt>
                <c:pt idx="9">
                  <c:v>611.1</c:v>
                </c:pt>
                <c:pt idx="10">
                  <c:v>600</c:v>
                </c:pt>
                <c:pt idx="11">
                  <c:v>637</c:v>
                </c:pt>
                <c:pt idx="12">
                  <c:v>607</c:v>
                </c:pt>
                <c:pt idx="13">
                  <c:v>635</c:v>
                </c:pt>
                <c:pt idx="14">
                  <c:v>617</c:v>
                </c:pt>
                <c:pt idx="15">
                  <c:v>621</c:v>
                </c:pt>
                <c:pt idx="16">
                  <c:v>637</c:v>
                </c:pt>
                <c:pt idx="17">
                  <c:v>640</c:v>
                </c:pt>
                <c:pt idx="18">
                  <c:v>619</c:v>
                </c:pt>
                <c:pt idx="19">
                  <c:v>635</c:v>
                </c:pt>
                <c:pt idx="20">
                  <c:v>646</c:v>
                </c:pt>
                <c:pt idx="21">
                  <c:v>649</c:v>
                </c:pt>
                <c:pt idx="22">
                  <c:v>645</c:v>
                </c:pt>
                <c:pt idx="23">
                  <c:v>695</c:v>
                </c:pt>
                <c:pt idx="24">
                  <c:v>656.78616533699903</c:v>
                </c:pt>
                <c:pt idx="25">
                  <c:v>679</c:v>
                </c:pt>
                <c:pt idx="26">
                  <c:v>731</c:v>
                </c:pt>
                <c:pt idx="27">
                  <c:v>736</c:v>
                </c:pt>
                <c:pt idx="28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701-4C41-AF83-180C60DC1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127504"/>
        <c:axId val="423128488"/>
      </c:lineChart>
      <c:lineChart>
        <c:grouping val="standard"/>
        <c:varyColors val="0"/>
        <c:ser>
          <c:idx val="3"/>
          <c:order val="3"/>
          <c:tx>
            <c:v>% Coprocesamiento</c:v>
          </c:tx>
          <c:spPr>
            <a:ln w="317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4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'Emisiones Netas y Brutas (2)'!$J$5:$J$33</c:f>
              <c:numCache>
                <c:formatCode>0%</c:formatCode>
                <c:ptCount val="29"/>
                <c:pt idx="0">
                  <c:v>0.78</c:v>
                </c:pt>
                <c:pt idx="1">
                  <c:v>0.9</c:v>
                </c:pt>
                <c:pt idx="2">
                  <c:v>0.68</c:v>
                </c:pt>
                <c:pt idx="3">
                  <c:v>0.05</c:v>
                </c:pt>
                <c:pt idx="4">
                  <c:v>0.31</c:v>
                </c:pt>
                <c:pt idx="5">
                  <c:v>0.04</c:v>
                </c:pt>
                <c:pt idx="6">
                  <c:v>0.43</c:v>
                </c:pt>
                <c:pt idx="7">
                  <c:v>0.18</c:v>
                </c:pt>
                <c:pt idx="8">
                  <c:v>0.46</c:v>
                </c:pt>
                <c:pt idx="9">
                  <c:v>0.15</c:v>
                </c:pt>
                <c:pt idx="10">
                  <c:v>0.08</c:v>
                </c:pt>
                <c:pt idx="11">
                  <c:v>0.17</c:v>
                </c:pt>
                <c:pt idx="12">
                  <c:v>0</c:v>
                </c:pt>
                <c:pt idx="13">
                  <c:v>0.19</c:v>
                </c:pt>
                <c:pt idx="14">
                  <c:v>0.04</c:v>
                </c:pt>
                <c:pt idx="15">
                  <c:v>0.08</c:v>
                </c:pt>
                <c:pt idx="16">
                  <c:v>0.16</c:v>
                </c:pt>
                <c:pt idx="17">
                  <c:v>0.12</c:v>
                </c:pt>
                <c:pt idx="18" formatCode="General">
                  <c:v>0</c:v>
                </c:pt>
                <c:pt idx="19" formatCode="General">
                  <c:v>0</c:v>
                </c:pt>
                <c:pt idx="20">
                  <c:v>0.12</c:v>
                </c:pt>
                <c:pt idx="21">
                  <c:v>0.11</c:v>
                </c:pt>
                <c:pt idx="22" formatCode="General">
                  <c:v>0</c:v>
                </c:pt>
                <c:pt idx="23">
                  <c:v>0.36</c:v>
                </c:pt>
                <c:pt idx="24">
                  <c:v>0.08</c:v>
                </c:pt>
                <c:pt idx="25">
                  <c:v>0.15</c:v>
                </c:pt>
                <c:pt idx="26">
                  <c:v>0.13</c:v>
                </c:pt>
                <c:pt idx="27">
                  <c:v>0.17</c:v>
                </c:pt>
                <c:pt idx="28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701-4C41-AF83-180C60DC1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64400"/>
        <c:axId val="611265056"/>
      </c:lineChart>
      <c:catAx>
        <c:axId val="4231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206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L"/>
          </a:p>
        </c:txPr>
        <c:crossAx val="423128488"/>
        <c:crosses val="autoZero"/>
        <c:auto val="1"/>
        <c:lblAlgn val="ctr"/>
        <c:lblOffset val="100"/>
        <c:noMultiLvlLbl val="0"/>
      </c:catAx>
      <c:valAx>
        <c:axId val="4231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rgbClr val="00206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L" sz="1200">
                    <a:solidFill>
                      <a:srgbClr val="002060"/>
                    </a:solidFill>
                    <a:latin typeface="Avenir Next LT Pro" panose="020B0504020202020204" pitchFamily="34" charset="0"/>
                  </a:rPr>
                  <a:t>Kg</a:t>
                </a:r>
                <a:r>
                  <a:rPr lang="es-CL" sz="1200" baseline="0">
                    <a:solidFill>
                      <a:srgbClr val="002060"/>
                    </a:solidFill>
                    <a:latin typeface="Avenir Next LT Pro" panose="020B0504020202020204" pitchFamily="34" charset="0"/>
                  </a:rPr>
                  <a:t> CO2 / TON cementicio</a:t>
                </a:r>
                <a:endParaRPr lang="es-CL" sz="1200">
                  <a:solidFill>
                    <a:srgbClr val="002060"/>
                  </a:solidFill>
                  <a:latin typeface="Avenir Next LT Pro" panose="020B05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3492063492063493E-2"/>
              <c:y val="4.943463148187557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cap="all" baseline="0">
                  <a:solidFill>
                    <a:srgbClr val="00206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206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L"/>
          </a:p>
        </c:txPr>
        <c:crossAx val="423127504"/>
        <c:crosses val="autoZero"/>
        <c:crossBetween val="between"/>
      </c:valAx>
      <c:valAx>
        <c:axId val="611265056"/>
        <c:scaling>
          <c:orientation val="minMax"/>
          <c:max val="2.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1264400"/>
        <c:crosses val="max"/>
        <c:crossBetween val="between"/>
      </c:valAx>
      <c:catAx>
        <c:axId val="611264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265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26153454945313875"/>
          <c:y val="3.021754037502063E-2"/>
          <c:w val="0.57488699511064845"/>
          <c:h val="3.785415336596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00206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891951006124234E-2"/>
          <c:y val="0.10315693646402306"/>
          <c:w val="0.90483708286464193"/>
          <c:h val="0.58025052611666783"/>
        </c:manualLayout>
      </c:layout>
      <c:barChart>
        <c:barDir val="col"/>
        <c:grouping val="stacked"/>
        <c:varyColors val="0"/>
        <c:ser>
          <c:idx val="0"/>
          <c:order val="0"/>
          <c:tx>
            <c:v>Emisiones Netas</c:v>
          </c:tx>
          <c:spPr>
            <a:solidFill>
              <a:schemeClr val="accent1"/>
            </a:solidFill>
            <a:ln w="9525" cap="flat" cmpd="sng" algn="ctr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2FE-4535-AC94-76A3EF8073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(2)'!$E$5:$E$33</c:f>
              <c:strCache>
                <c:ptCount val="29"/>
                <c:pt idx="0">
                  <c:v>Austria 2019</c:v>
                </c:pt>
                <c:pt idx="1">
                  <c:v>Alemania 2019</c:v>
                </c:pt>
                <c:pt idx="2">
                  <c:v>Polonia 2019</c:v>
                </c:pt>
                <c:pt idx="3">
                  <c:v>Argentina HR 2015</c:v>
                </c:pt>
                <c:pt idx="4">
                  <c:v>Brasil 2019</c:v>
                </c:pt>
                <c:pt idx="5">
                  <c:v>India 2019</c:v>
                </c:pt>
                <c:pt idx="6">
                  <c:v>Francia 2019</c:v>
                </c:pt>
                <c:pt idx="7">
                  <c:v>Latinoamérica 2019</c:v>
                </c:pt>
                <c:pt idx="8">
                  <c:v>Reino Unido 2019</c:v>
                </c:pt>
                <c:pt idx="9">
                  <c:v>Chile HR 2018</c:v>
                </c:pt>
                <c:pt idx="10">
                  <c:v>ColombiaHR 2015</c:v>
                </c:pt>
                <c:pt idx="11">
                  <c:v>Central America 2019</c:v>
                </c:pt>
                <c:pt idx="12">
                  <c:v>Peru HR 2019</c:v>
                </c:pt>
                <c:pt idx="13">
                  <c:v>Mundo 2019</c:v>
                </c:pt>
                <c:pt idx="14">
                  <c:v>R. Dominicana HR 2015</c:v>
                </c:pt>
                <c:pt idx="15">
                  <c:v>Macrozona FICEM 2019</c:v>
                </c:pt>
                <c:pt idx="16">
                  <c:v>Mundo 2014</c:v>
                </c:pt>
                <c:pt idx="17">
                  <c:v>México 2016</c:v>
                </c:pt>
                <c:pt idx="18">
                  <c:v>Peru 2016</c:v>
                </c:pt>
                <c:pt idx="19">
                  <c:v>Peru 2014</c:v>
                </c:pt>
                <c:pt idx="20">
                  <c:v>Mundo 2010</c:v>
                </c:pt>
                <c:pt idx="21">
                  <c:v>Asia (n.e.c.)/Oceania 2019</c:v>
                </c:pt>
                <c:pt idx="22">
                  <c:v>Peru 2010</c:v>
                </c:pt>
                <c:pt idx="23">
                  <c:v>España 2019</c:v>
                </c:pt>
                <c:pt idx="24">
                  <c:v>China/Korea/Japan 2019</c:v>
                </c:pt>
                <c:pt idx="25">
                  <c:v>Tailandia 2019</c:v>
                </c:pt>
                <c:pt idx="26">
                  <c:v>Middle East 2019</c:v>
                </c:pt>
                <c:pt idx="27">
                  <c:v>Egipto 2019</c:v>
                </c:pt>
                <c:pt idx="28">
                  <c:v>Estados Unidos 2019</c:v>
                </c:pt>
              </c:strCache>
            </c:strRef>
          </c:cat>
          <c:val>
            <c:numRef>
              <c:f>'Emisiones Netas y Brutas (2)'!$F$5:$F$33</c:f>
              <c:numCache>
                <c:formatCode>0</c:formatCode>
                <c:ptCount val="29"/>
                <c:pt idx="0">
                  <c:v>419</c:v>
                </c:pt>
                <c:pt idx="1">
                  <c:v>472</c:v>
                </c:pt>
                <c:pt idx="2">
                  <c:v>490</c:v>
                </c:pt>
                <c:pt idx="3">
                  <c:v>516</c:v>
                </c:pt>
                <c:pt idx="4">
                  <c:v>536</c:v>
                </c:pt>
                <c:pt idx="5">
                  <c:v>560</c:v>
                </c:pt>
                <c:pt idx="6">
                  <c:v>565</c:v>
                </c:pt>
                <c:pt idx="7">
                  <c:v>574</c:v>
                </c:pt>
                <c:pt idx="8">
                  <c:v>579</c:v>
                </c:pt>
                <c:pt idx="9">
                  <c:v>581</c:v>
                </c:pt>
                <c:pt idx="10">
                  <c:v>586</c:v>
                </c:pt>
                <c:pt idx="11">
                  <c:v>604</c:v>
                </c:pt>
                <c:pt idx="12">
                  <c:v>607</c:v>
                </c:pt>
                <c:pt idx="13">
                  <c:v>608</c:v>
                </c:pt>
                <c:pt idx="14">
                  <c:v>608</c:v>
                </c:pt>
                <c:pt idx="15">
                  <c:v>612</c:v>
                </c:pt>
                <c:pt idx="16">
                  <c:v>615</c:v>
                </c:pt>
                <c:pt idx="17">
                  <c:v>617</c:v>
                </c:pt>
                <c:pt idx="18">
                  <c:v>619</c:v>
                </c:pt>
                <c:pt idx="19">
                  <c:v>635</c:v>
                </c:pt>
                <c:pt idx="20">
                  <c:v>635</c:v>
                </c:pt>
                <c:pt idx="21">
                  <c:v>638</c:v>
                </c:pt>
                <c:pt idx="22">
                  <c:v>645</c:v>
                </c:pt>
                <c:pt idx="23">
                  <c:v>646</c:v>
                </c:pt>
                <c:pt idx="24">
                  <c:v>656.78616533699903</c:v>
                </c:pt>
                <c:pt idx="25">
                  <c:v>661</c:v>
                </c:pt>
                <c:pt idx="26">
                  <c:v>707</c:v>
                </c:pt>
                <c:pt idx="27">
                  <c:v>713</c:v>
                </c:pt>
                <c:pt idx="28">
                  <c:v>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FE-4535-AC94-76A3EF8073FB}"/>
            </c:ext>
          </c:extLst>
        </c:ser>
        <c:ser>
          <c:idx val="1"/>
          <c:order val="1"/>
          <c:tx>
            <c:v>Coprocesamiento</c:v>
          </c:tx>
          <c:spPr>
            <a:solidFill>
              <a:schemeClr val="accent4"/>
            </a:solidFill>
            <a:ln w="9525" cap="flat" cmpd="sng" algn="ctr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FE-4535-AC94-76A3EF8073F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FE-4535-AC94-76A3EF8073F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FE-4535-AC94-76A3EF8073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(2)'!$E$5:$E$33</c:f>
              <c:strCache>
                <c:ptCount val="29"/>
                <c:pt idx="0">
                  <c:v>Austria 2019</c:v>
                </c:pt>
                <c:pt idx="1">
                  <c:v>Alemania 2019</c:v>
                </c:pt>
                <c:pt idx="2">
                  <c:v>Polonia 2019</c:v>
                </c:pt>
                <c:pt idx="3">
                  <c:v>Argentina HR 2015</c:v>
                </c:pt>
                <c:pt idx="4">
                  <c:v>Brasil 2019</c:v>
                </c:pt>
                <c:pt idx="5">
                  <c:v>India 2019</c:v>
                </c:pt>
                <c:pt idx="6">
                  <c:v>Francia 2019</c:v>
                </c:pt>
                <c:pt idx="7">
                  <c:v>Latinoamérica 2019</c:v>
                </c:pt>
                <c:pt idx="8">
                  <c:v>Reino Unido 2019</c:v>
                </c:pt>
                <c:pt idx="9">
                  <c:v>Chile HR 2018</c:v>
                </c:pt>
                <c:pt idx="10">
                  <c:v>ColombiaHR 2015</c:v>
                </c:pt>
                <c:pt idx="11">
                  <c:v>Central America 2019</c:v>
                </c:pt>
                <c:pt idx="12">
                  <c:v>Peru HR 2019</c:v>
                </c:pt>
                <c:pt idx="13">
                  <c:v>Mundo 2019</c:v>
                </c:pt>
                <c:pt idx="14">
                  <c:v>R. Dominicana HR 2015</c:v>
                </c:pt>
                <c:pt idx="15">
                  <c:v>Macrozona FICEM 2019</c:v>
                </c:pt>
                <c:pt idx="16">
                  <c:v>Mundo 2014</c:v>
                </c:pt>
                <c:pt idx="17">
                  <c:v>México 2016</c:v>
                </c:pt>
                <c:pt idx="18">
                  <c:v>Peru 2016</c:v>
                </c:pt>
                <c:pt idx="19">
                  <c:v>Peru 2014</c:v>
                </c:pt>
                <c:pt idx="20">
                  <c:v>Mundo 2010</c:v>
                </c:pt>
                <c:pt idx="21">
                  <c:v>Asia (n.e.c.)/Oceania 2019</c:v>
                </c:pt>
                <c:pt idx="22">
                  <c:v>Peru 2010</c:v>
                </c:pt>
                <c:pt idx="23">
                  <c:v>España 2019</c:v>
                </c:pt>
                <c:pt idx="24">
                  <c:v>China/Korea/Japan 2019</c:v>
                </c:pt>
                <c:pt idx="25">
                  <c:v>Tailandia 2019</c:v>
                </c:pt>
                <c:pt idx="26">
                  <c:v>Middle East 2019</c:v>
                </c:pt>
                <c:pt idx="27">
                  <c:v>Egipto 2019</c:v>
                </c:pt>
                <c:pt idx="28">
                  <c:v>Estados Unidos 2019</c:v>
                </c:pt>
              </c:strCache>
            </c:strRef>
          </c:cat>
          <c:val>
            <c:numRef>
              <c:f>'Emisiones Netas y Brutas (2)'!$G$5:$G$33</c:f>
              <c:numCache>
                <c:formatCode>0</c:formatCode>
                <c:ptCount val="29"/>
                <c:pt idx="0">
                  <c:v>122</c:v>
                </c:pt>
                <c:pt idx="1">
                  <c:v>109</c:v>
                </c:pt>
                <c:pt idx="2">
                  <c:v>109</c:v>
                </c:pt>
                <c:pt idx="3">
                  <c:v>8</c:v>
                </c:pt>
                <c:pt idx="4">
                  <c:v>28</c:v>
                </c:pt>
                <c:pt idx="5">
                  <c:v>6</c:v>
                </c:pt>
                <c:pt idx="6">
                  <c:v>59</c:v>
                </c:pt>
                <c:pt idx="7">
                  <c:v>23</c:v>
                </c:pt>
                <c:pt idx="8">
                  <c:v>62</c:v>
                </c:pt>
                <c:pt idx="9">
                  <c:v>30.100000000000023</c:v>
                </c:pt>
                <c:pt idx="10">
                  <c:v>14</c:v>
                </c:pt>
                <c:pt idx="11">
                  <c:v>33</c:v>
                </c:pt>
                <c:pt idx="12">
                  <c:v>0</c:v>
                </c:pt>
                <c:pt idx="13">
                  <c:v>27</c:v>
                </c:pt>
                <c:pt idx="14">
                  <c:v>9</c:v>
                </c:pt>
                <c:pt idx="15">
                  <c:v>9</c:v>
                </c:pt>
                <c:pt idx="16">
                  <c:v>22</c:v>
                </c:pt>
                <c:pt idx="17">
                  <c:v>23</c:v>
                </c:pt>
                <c:pt idx="18">
                  <c:v>0</c:v>
                </c:pt>
                <c:pt idx="19">
                  <c:v>0</c:v>
                </c:pt>
                <c:pt idx="20">
                  <c:v>11</c:v>
                </c:pt>
                <c:pt idx="21">
                  <c:v>11</c:v>
                </c:pt>
                <c:pt idx="22">
                  <c:v>0</c:v>
                </c:pt>
                <c:pt idx="23">
                  <c:v>49</c:v>
                </c:pt>
                <c:pt idx="24">
                  <c:v>0</c:v>
                </c:pt>
                <c:pt idx="25">
                  <c:v>18</c:v>
                </c:pt>
                <c:pt idx="26">
                  <c:v>24</c:v>
                </c:pt>
                <c:pt idx="27">
                  <c:v>23</c:v>
                </c:pt>
                <c:pt idx="28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FE-4535-AC94-76A3EF80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423127504"/>
        <c:axId val="423128488"/>
      </c:barChart>
      <c:lineChart>
        <c:grouping val="standard"/>
        <c:varyColors val="0"/>
        <c:ser>
          <c:idx val="2"/>
          <c:order val="2"/>
          <c:tx>
            <c:v>Emisiones Brutas</c:v>
          </c:tx>
          <c:spPr>
            <a:ln w="15875" cap="rnd">
              <a:noFill/>
              <a:round/>
            </a:ln>
            <a:effectLst/>
          </c:spPr>
          <c:marker>
            <c:symbol val="none"/>
          </c:marker>
          <c:dLbls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6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2FE-4535-AC94-76A3EF8073FB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600" b="1" i="0" u="none" strike="noStrike" kern="1200" baseline="0">
                      <a:solidFill>
                        <a:srgbClr val="4472C4">
                          <a:lumMod val="75000"/>
                        </a:srgb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2FE-4535-AC94-76A3EF8073FB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600" b="1" i="0" u="none" strike="noStrike" kern="1200" baseline="0">
                      <a:solidFill>
                        <a:srgbClr val="4472C4">
                          <a:lumMod val="75000"/>
                        </a:srgb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0D2-4392-B1D4-CD2D02A8D02A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600" b="1" i="0" u="none" strike="noStrike" kern="1200" baseline="0">
                      <a:solidFill>
                        <a:srgbClr val="4472C4">
                          <a:lumMod val="75000"/>
                        </a:srgb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0D2-4392-B1D4-CD2D02A8D0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(2)'!$E$5:$E$28</c:f>
              <c:strCache>
                <c:ptCount val="24"/>
                <c:pt idx="0">
                  <c:v>Austria 2019</c:v>
                </c:pt>
                <c:pt idx="1">
                  <c:v>Alemania 2019</c:v>
                </c:pt>
                <c:pt idx="2">
                  <c:v>Polonia 2019</c:v>
                </c:pt>
                <c:pt idx="3">
                  <c:v>Argentina HR 2015</c:v>
                </c:pt>
                <c:pt idx="4">
                  <c:v>Brasil 2019</c:v>
                </c:pt>
                <c:pt idx="5">
                  <c:v>India 2019</c:v>
                </c:pt>
                <c:pt idx="6">
                  <c:v>Francia 2019</c:v>
                </c:pt>
                <c:pt idx="7">
                  <c:v>Latinoamérica 2019</c:v>
                </c:pt>
                <c:pt idx="8">
                  <c:v>Reino Unido 2019</c:v>
                </c:pt>
                <c:pt idx="9">
                  <c:v>Chile HR 2018</c:v>
                </c:pt>
                <c:pt idx="10">
                  <c:v>ColombiaHR 2015</c:v>
                </c:pt>
                <c:pt idx="11">
                  <c:v>Central America 2019</c:v>
                </c:pt>
                <c:pt idx="12">
                  <c:v>Peru HR 2019</c:v>
                </c:pt>
                <c:pt idx="13">
                  <c:v>Mundo 2019</c:v>
                </c:pt>
                <c:pt idx="14">
                  <c:v>R. Dominicana HR 2015</c:v>
                </c:pt>
                <c:pt idx="15">
                  <c:v>Macrozona FICEM 2019</c:v>
                </c:pt>
                <c:pt idx="16">
                  <c:v>Mundo 2014</c:v>
                </c:pt>
                <c:pt idx="17">
                  <c:v>México 2016</c:v>
                </c:pt>
                <c:pt idx="18">
                  <c:v>Peru 2016</c:v>
                </c:pt>
                <c:pt idx="19">
                  <c:v>Peru 2014</c:v>
                </c:pt>
                <c:pt idx="20">
                  <c:v>Mundo 2010</c:v>
                </c:pt>
                <c:pt idx="21">
                  <c:v>Asia (n.e.c.)/Oceania 2019</c:v>
                </c:pt>
                <c:pt idx="22">
                  <c:v>Peru 2010</c:v>
                </c:pt>
                <c:pt idx="23">
                  <c:v>España 2019</c:v>
                </c:pt>
              </c:strCache>
            </c:strRef>
          </c:cat>
          <c:val>
            <c:numRef>
              <c:f>'Emisiones Netas y Brutas (2)'!$I$5:$I$33</c:f>
              <c:numCache>
                <c:formatCode>0</c:formatCode>
                <c:ptCount val="29"/>
                <c:pt idx="0">
                  <c:v>541</c:v>
                </c:pt>
                <c:pt idx="1">
                  <c:v>581</c:v>
                </c:pt>
                <c:pt idx="2">
                  <c:v>599</c:v>
                </c:pt>
                <c:pt idx="3">
                  <c:v>524</c:v>
                </c:pt>
                <c:pt idx="4">
                  <c:v>564</c:v>
                </c:pt>
                <c:pt idx="5">
                  <c:v>566</c:v>
                </c:pt>
                <c:pt idx="6">
                  <c:v>624</c:v>
                </c:pt>
                <c:pt idx="7">
                  <c:v>597</c:v>
                </c:pt>
                <c:pt idx="8">
                  <c:v>641</c:v>
                </c:pt>
                <c:pt idx="9">
                  <c:v>611.1</c:v>
                </c:pt>
                <c:pt idx="10">
                  <c:v>600</c:v>
                </c:pt>
                <c:pt idx="11">
                  <c:v>637</c:v>
                </c:pt>
                <c:pt idx="12">
                  <c:v>607</c:v>
                </c:pt>
                <c:pt idx="13">
                  <c:v>635</c:v>
                </c:pt>
                <c:pt idx="14">
                  <c:v>617</c:v>
                </c:pt>
                <c:pt idx="15">
                  <c:v>621</c:v>
                </c:pt>
                <c:pt idx="16">
                  <c:v>637</c:v>
                </c:pt>
                <c:pt idx="17">
                  <c:v>640</c:v>
                </c:pt>
                <c:pt idx="18">
                  <c:v>619</c:v>
                </c:pt>
                <c:pt idx="19">
                  <c:v>635</c:v>
                </c:pt>
                <c:pt idx="20">
                  <c:v>646</c:v>
                </c:pt>
                <c:pt idx="21">
                  <c:v>649</c:v>
                </c:pt>
                <c:pt idx="22">
                  <c:v>645</c:v>
                </c:pt>
                <c:pt idx="23">
                  <c:v>695</c:v>
                </c:pt>
                <c:pt idx="24">
                  <c:v>656.78616533699903</c:v>
                </c:pt>
                <c:pt idx="25">
                  <c:v>679</c:v>
                </c:pt>
                <c:pt idx="26">
                  <c:v>731</c:v>
                </c:pt>
                <c:pt idx="27">
                  <c:v>736</c:v>
                </c:pt>
                <c:pt idx="28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2FE-4535-AC94-76A3EF80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127504"/>
        <c:axId val="423128488"/>
      </c:lineChart>
      <c:lineChart>
        <c:grouping val="standard"/>
        <c:varyColors val="0"/>
        <c:ser>
          <c:idx val="3"/>
          <c:order val="3"/>
          <c:tx>
            <c:v>Factor Clínker %</c:v>
          </c:tx>
          <c:spPr>
            <a:ln w="38100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'Emisiones Netas y Brutas (2)'!$K$5:$K$33</c:f>
              <c:numCache>
                <c:formatCode>0%</c:formatCode>
                <c:ptCount val="29"/>
                <c:pt idx="0">
                  <c:v>0.7</c:v>
                </c:pt>
                <c:pt idx="1">
                  <c:v>0.72</c:v>
                </c:pt>
                <c:pt idx="2">
                  <c:v>0.74</c:v>
                </c:pt>
                <c:pt idx="3">
                  <c:v>0.68</c:v>
                </c:pt>
                <c:pt idx="4">
                  <c:v>0.68</c:v>
                </c:pt>
                <c:pt idx="5">
                  <c:v>0.68</c:v>
                </c:pt>
                <c:pt idx="6">
                  <c:v>0.77</c:v>
                </c:pt>
                <c:pt idx="7">
                  <c:v>0.71</c:v>
                </c:pt>
                <c:pt idx="8">
                  <c:v>0.88</c:v>
                </c:pt>
                <c:pt idx="9">
                  <c:v>0.7</c:v>
                </c:pt>
                <c:pt idx="10">
                  <c:v>0.68</c:v>
                </c:pt>
                <c:pt idx="11">
                  <c:v>0.72</c:v>
                </c:pt>
                <c:pt idx="12">
                  <c:v>0.76</c:v>
                </c:pt>
                <c:pt idx="13">
                  <c:v>0.76</c:v>
                </c:pt>
                <c:pt idx="14">
                  <c:v>0.73</c:v>
                </c:pt>
                <c:pt idx="15">
                  <c:v>0.72</c:v>
                </c:pt>
                <c:pt idx="16">
                  <c:v>0.77</c:v>
                </c:pt>
                <c:pt idx="17">
                  <c:v>0.73</c:v>
                </c:pt>
                <c:pt idx="18">
                  <c:v>0.77</c:v>
                </c:pt>
                <c:pt idx="19">
                  <c:v>0.8</c:v>
                </c:pt>
                <c:pt idx="20">
                  <c:v>0.77</c:v>
                </c:pt>
                <c:pt idx="21">
                  <c:v>0.79</c:v>
                </c:pt>
                <c:pt idx="22">
                  <c:v>0.82</c:v>
                </c:pt>
                <c:pt idx="23">
                  <c:v>0.81</c:v>
                </c:pt>
                <c:pt idx="24">
                  <c:v>0.77</c:v>
                </c:pt>
                <c:pt idx="25">
                  <c:v>0.82</c:v>
                </c:pt>
                <c:pt idx="26">
                  <c:v>0.86</c:v>
                </c:pt>
                <c:pt idx="27">
                  <c:v>0.84</c:v>
                </c:pt>
                <c:pt idx="28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FE-4535-AC94-76A3EF80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64400"/>
        <c:axId val="611265056"/>
      </c:lineChart>
      <c:catAx>
        <c:axId val="4231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600" b="0" i="0" u="none" strike="noStrike" kern="1200" baseline="0">
                <a:solidFill>
                  <a:srgbClr val="00206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L"/>
          </a:p>
        </c:txPr>
        <c:crossAx val="423128488"/>
        <c:crosses val="autoZero"/>
        <c:auto val="1"/>
        <c:lblAlgn val="ctr"/>
        <c:lblOffset val="100"/>
        <c:noMultiLvlLbl val="0"/>
      </c:catAx>
      <c:valAx>
        <c:axId val="4231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cap="all" baseline="0">
                    <a:solidFill>
                      <a:srgbClr val="00206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L" sz="1200">
                    <a:solidFill>
                      <a:srgbClr val="002060"/>
                    </a:solidFill>
                    <a:latin typeface="Avenir Next LT Pro" panose="020B0504020202020204" pitchFamily="34" charset="0"/>
                  </a:rPr>
                  <a:t>Kg</a:t>
                </a:r>
                <a:r>
                  <a:rPr lang="es-CL" sz="1200" baseline="0">
                    <a:solidFill>
                      <a:srgbClr val="002060"/>
                    </a:solidFill>
                    <a:latin typeface="Avenir Next LT Pro" panose="020B0504020202020204" pitchFamily="34" charset="0"/>
                  </a:rPr>
                  <a:t> CO2 / TON cementicio</a:t>
                </a:r>
                <a:endParaRPr lang="es-CL" sz="1200">
                  <a:solidFill>
                    <a:srgbClr val="002060"/>
                  </a:solidFill>
                  <a:latin typeface="Avenir Next LT Pro" panose="020B05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3492063492063493E-2"/>
              <c:y val="4.943463148187557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cap="all" baseline="0">
                  <a:solidFill>
                    <a:srgbClr val="002060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2060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L"/>
          </a:p>
        </c:txPr>
        <c:crossAx val="423127504"/>
        <c:crosses val="autoZero"/>
        <c:crossBetween val="between"/>
      </c:valAx>
      <c:valAx>
        <c:axId val="611265056"/>
        <c:scaling>
          <c:orientation val="minMax"/>
          <c:max val="1.2"/>
          <c:min val="0.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11264400"/>
        <c:crosses val="max"/>
        <c:crossBetween val="between"/>
      </c:valAx>
      <c:catAx>
        <c:axId val="611264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112650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26153454945313875"/>
          <c:y val="3.021754037502063E-2"/>
          <c:w val="0.42692357033924377"/>
          <c:h val="3.78541533659643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rgbClr val="002060"/>
              </a:solidFill>
              <a:latin typeface="Avenir Next LT Pro" panose="020B0504020202020204" pitchFamily="34" charset="0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891951006124234E-2"/>
          <c:y val="5.7932740863532416E-2"/>
          <c:w val="0.80203921287430324"/>
          <c:h val="0.72973504627711006"/>
        </c:manualLayout>
      </c:layout>
      <c:barChart>
        <c:barDir val="col"/>
        <c:grouping val="stacked"/>
        <c:varyColors val="0"/>
        <c:ser>
          <c:idx val="0"/>
          <c:order val="0"/>
          <c:tx>
            <c:v>Emisiones Netas</c:v>
          </c:tx>
          <c:spPr>
            <a:solidFill>
              <a:schemeClr val="bg1">
                <a:lumMod val="50000"/>
              </a:schemeClr>
            </a:solidFill>
            <a:ln w="9525" cap="flat" cmpd="sng" algn="ctr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171-4C24-83C6-F4ADF81332DB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9525" cap="flat" cmpd="sng" algn="ctr">
                <a:noFill/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171-4C24-83C6-F4ADF81332DB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171-4C24-83C6-F4ADF81332DB}"/>
              </c:ext>
            </c:extLst>
          </c:dPt>
          <c:dLbls>
            <c:dLbl>
              <c:idx val="10"/>
              <c:spPr>
                <a:solidFill>
                  <a:schemeClr val="bg1">
                    <a:lumMod val="5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171-4C24-83C6-F4ADF81332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(4)'!$E$5:$E$21</c:f>
              <c:strCache>
                <c:ptCount val="17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</c:strCache>
            </c:strRef>
          </c:cat>
          <c:val>
            <c:numRef>
              <c:f>'Emisiones Netas y Brutas (4)'!$F$5:$F$21</c:f>
              <c:numCache>
                <c:formatCode>0</c:formatCode>
                <c:ptCount val="17"/>
                <c:pt idx="0">
                  <c:v>419</c:v>
                </c:pt>
                <c:pt idx="1">
                  <c:v>472</c:v>
                </c:pt>
                <c:pt idx="2">
                  <c:v>490</c:v>
                </c:pt>
                <c:pt idx="3">
                  <c:v>516</c:v>
                </c:pt>
                <c:pt idx="4">
                  <c:v>536</c:v>
                </c:pt>
                <c:pt idx="5">
                  <c:v>574</c:v>
                </c:pt>
                <c:pt idx="6">
                  <c:v>581</c:v>
                </c:pt>
                <c:pt idx="7">
                  <c:v>586</c:v>
                </c:pt>
                <c:pt idx="8">
                  <c:v>604</c:v>
                </c:pt>
                <c:pt idx="9">
                  <c:v>612</c:v>
                </c:pt>
                <c:pt idx="10">
                  <c:v>620</c:v>
                </c:pt>
                <c:pt idx="11">
                  <c:v>619</c:v>
                </c:pt>
                <c:pt idx="12">
                  <c:v>638</c:v>
                </c:pt>
                <c:pt idx="13">
                  <c:v>661</c:v>
                </c:pt>
                <c:pt idx="14">
                  <c:v>707</c:v>
                </c:pt>
                <c:pt idx="15">
                  <c:v>713</c:v>
                </c:pt>
                <c:pt idx="16">
                  <c:v>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71-4C24-83C6-F4ADF81332DB}"/>
            </c:ext>
          </c:extLst>
        </c:ser>
        <c:ser>
          <c:idx val="1"/>
          <c:order val="1"/>
          <c:tx>
            <c:v>Emisiones Coprocesamiento</c:v>
          </c:tx>
          <c:spPr>
            <a:solidFill>
              <a:schemeClr val="bg1">
                <a:lumMod val="75000"/>
              </a:schemeClr>
            </a:solidFill>
            <a:ln w="9525" cap="flat" cmpd="sng" algn="ctr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9525" cap="flat" cmpd="sng" algn="ctr">
                <a:noFill/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0171-4C24-83C6-F4ADF81332DB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71-4C24-83C6-F4ADF81332DB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171-4C24-83C6-F4ADF81332D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171-4C24-83C6-F4ADF81332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(4)'!$E$5:$E$21</c:f>
              <c:strCache>
                <c:ptCount val="17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</c:strCache>
            </c:strRef>
          </c:cat>
          <c:val>
            <c:numRef>
              <c:f>'Emisiones Netas y Brutas (4)'!$G$5:$G$21</c:f>
              <c:numCache>
                <c:formatCode>0</c:formatCode>
                <c:ptCount val="17"/>
                <c:pt idx="0">
                  <c:v>122</c:v>
                </c:pt>
                <c:pt idx="1">
                  <c:v>109</c:v>
                </c:pt>
                <c:pt idx="2">
                  <c:v>109</c:v>
                </c:pt>
                <c:pt idx="3">
                  <c:v>8</c:v>
                </c:pt>
                <c:pt idx="4">
                  <c:v>28</c:v>
                </c:pt>
                <c:pt idx="5">
                  <c:v>23</c:v>
                </c:pt>
                <c:pt idx="6">
                  <c:v>30.100000000000023</c:v>
                </c:pt>
                <c:pt idx="7">
                  <c:v>14</c:v>
                </c:pt>
                <c:pt idx="8">
                  <c:v>33</c:v>
                </c:pt>
                <c:pt idx="9">
                  <c:v>9</c:v>
                </c:pt>
                <c:pt idx="10">
                  <c:v>23</c:v>
                </c:pt>
                <c:pt idx="11">
                  <c:v>0</c:v>
                </c:pt>
                <c:pt idx="12">
                  <c:v>11</c:v>
                </c:pt>
                <c:pt idx="13">
                  <c:v>18</c:v>
                </c:pt>
                <c:pt idx="14">
                  <c:v>24</c:v>
                </c:pt>
                <c:pt idx="15">
                  <c:v>23</c:v>
                </c:pt>
                <c:pt idx="1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71-4C24-83C6-F4ADF8133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23127504"/>
        <c:axId val="423128488"/>
      </c:barChart>
      <c:lineChart>
        <c:grouping val="standard"/>
        <c:varyColors val="0"/>
        <c:ser>
          <c:idx val="2"/>
          <c:order val="2"/>
          <c:tx>
            <c:v>Emisiones Brutas</c:v>
          </c:tx>
          <c:spPr>
            <a:ln w="15875" cap="rnd">
              <a:noFill/>
              <a:round/>
            </a:ln>
            <a:effectLst/>
          </c:spPr>
          <c:marker>
            <c:symbol val="none"/>
          </c:marker>
          <c:dLbls>
            <c:dLbl>
              <c:idx val="1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600" b="1" i="0" u="none" strike="noStrike" kern="1200" baseline="0">
                      <a:solidFill>
                        <a:sysClr val="windowText" lastClr="000000"/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0171-4C24-83C6-F4ADF81332DB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600" b="1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(4)'!$E$5:$E$22</c:f>
              <c:strCache>
                <c:ptCount val="18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  <c:pt idx="17">
                  <c:v>Referencia</c:v>
                </c:pt>
              </c:strCache>
            </c:strRef>
          </c:cat>
          <c:val>
            <c:numRef>
              <c:f>'Emisiones Netas y Brutas (4)'!$I$5:$I$21</c:f>
              <c:numCache>
                <c:formatCode>0</c:formatCode>
                <c:ptCount val="17"/>
                <c:pt idx="0">
                  <c:v>541</c:v>
                </c:pt>
                <c:pt idx="1">
                  <c:v>581</c:v>
                </c:pt>
                <c:pt idx="2">
                  <c:v>599</c:v>
                </c:pt>
                <c:pt idx="3">
                  <c:v>524</c:v>
                </c:pt>
                <c:pt idx="4">
                  <c:v>564</c:v>
                </c:pt>
                <c:pt idx="5">
                  <c:v>597</c:v>
                </c:pt>
                <c:pt idx="6">
                  <c:v>611.1</c:v>
                </c:pt>
                <c:pt idx="7">
                  <c:v>600</c:v>
                </c:pt>
                <c:pt idx="8">
                  <c:v>637</c:v>
                </c:pt>
                <c:pt idx="9">
                  <c:v>621</c:v>
                </c:pt>
                <c:pt idx="10">
                  <c:v>643</c:v>
                </c:pt>
                <c:pt idx="11">
                  <c:v>619</c:v>
                </c:pt>
                <c:pt idx="12">
                  <c:v>649</c:v>
                </c:pt>
                <c:pt idx="13">
                  <c:v>679</c:v>
                </c:pt>
                <c:pt idx="14">
                  <c:v>731</c:v>
                </c:pt>
                <c:pt idx="15">
                  <c:v>736</c:v>
                </c:pt>
                <c:pt idx="16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171-4C24-83C6-F4ADF81332DB}"/>
            </c:ext>
          </c:extLst>
        </c:ser>
        <c:ser>
          <c:idx val="4"/>
          <c:order val="4"/>
          <c:tx>
            <c:strRef>
              <c:f>'Emisiones Netas y Brutas (4)'!$L$3</c:f>
              <c:strCache>
                <c:ptCount val="1"/>
                <c:pt idx="0">
                  <c:v>Global Gross 2019</c:v>
                </c:pt>
              </c:strCache>
            </c:strRef>
          </c:tx>
          <c:spPr>
            <a:ln w="15875" cap="rnd">
              <a:solidFill>
                <a:schemeClr val="accent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7"/>
              <c:layout>
                <c:manualLayout>
                  <c:x val="0"/>
                  <c:y val="-1.226993338166881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171-4C24-83C6-F4ADF81332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(4)'!$E$5:$E$22</c:f>
              <c:strCache>
                <c:ptCount val="18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  <c:pt idx="17">
                  <c:v>Referencia</c:v>
                </c:pt>
              </c:strCache>
            </c:strRef>
          </c:cat>
          <c:val>
            <c:numRef>
              <c:f>'Emisiones Netas y Brutas (4)'!$L$5:$L$22</c:f>
              <c:numCache>
                <c:formatCode>General</c:formatCode>
                <c:ptCount val="18"/>
                <c:pt idx="0">
                  <c:v>637</c:v>
                </c:pt>
                <c:pt idx="1">
                  <c:v>637</c:v>
                </c:pt>
                <c:pt idx="2">
                  <c:v>637</c:v>
                </c:pt>
                <c:pt idx="3">
                  <c:v>637</c:v>
                </c:pt>
                <c:pt idx="4">
                  <c:v>637</c:v>
                </c:pt>
                <c:pt idx="5">
                  <c:v>637</c:v>
                </c:pt>
                <c:pt idx="6">
                  <c:v>637</c:v>
                </c:pt>
                <c:pt idx="7">
                  <c:v>637</c:v>
                </c:pt>
                <c:pt idx="8">
                  <c:v>637</c:v>
                </c:pt>
                <c:pt idx="9">
                  <c:v>637</c:v>
                </c:pt>
                <c:pt idx="10">
                  <c:v>637</c:v>
                </c:pt>
                <c:pt idx="11">
                  <c:v>637</c:v>
                </c:pt>
                <c:pt idx="12">
                  <c:v>637</c:v>
                </c:pt>
                <c:pt idx="13">
                  <c:v>637</c:v>
                </c:pt>
                <c:pt idx="14">
                  <c:v>637</c:v>
                </c:pt>
                <c:pt idx="15">
                  <c:v>637</c:v>
                </c:pt>
                <c:pt idx="16">
                  <c:v>637</c:v>
                </c:pt>
                <c:pt idx="17">
                  <c:v>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171-4C24-83C6-F4ADF81332DB}"/>
            </c:ext>
          </c:extLst>
        </c:ser>
        <c:ser>
          <c:idx val="5"/>
          <c:order val="5"/>
          <c:tx>
            <c:strRef>
              <c:f>'Emisiones Netas y Brutas (4)'!$M$3</c:f>
              <c:strCache>
                <c:ptCount val="1"/>
                <c:pt idx="0">
                  <c:v>Global Net 2019</c:v>
                </c:pt>
              </c:strCache>
            </c:strRef>
          </c:tx>
          <c:spPr>
            <a:ln w="15875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7"/>
              <c:layout>
                <c:manualLayout>
                  <c:x val="0"/>
                  <c:y val="9.5432815190757206E-3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171-4C24-83C6-F4ADF81332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(4)'!$E$5:$E$22</c:f>
              <c:strCache>
                <c:ptCount val="18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  <c:pt idx="17">
                  <c:v>Referencia</c:v>
                </c:pt>
              </c:strCache>
            </c:strRef>
          </c:cat>
          <c:val>
            <c:numRef>
              <c:f>'Emisiones Netas y Brutas (4)'!$M$5:$M$22</c:f>
              <c:numCache>
                <c:formatCode>General</c:formatCode>
                <c:ptCount val="18"/>
                <c:pt idx="0">
                  <c:v>608</c:v>
                </c:pt>
                <c:pt idx="1">
                  <c:v>608</c:v>
                </c:pt>
                <c:pt idx="2">
                  <c:v>608</c:v>
                </c:pt>
                <c:pt idx="3">
                  <c:v>608</c:v>
                </c:pt>
                <c:pt idx="4">
                  <c:v>608</c:v>
                </c:pt>
                <c:pt idx="5">
                  <c:v>608</c:v>
                </c:pt>
                <c:pt idx="6">
                  <c:v>608</c:v>
                </c:pt>
                <c:pt idx="7">
                  <c:v>608</c:v>
                </c:pt>
                <c:pt idx="8">
                  <c:v>608</c:v>
                </c:pt>
                <c:pt idx="9">
                  <c:v>608</c:v>
                </c:pt>
                <c:pt idx="10">
                  <c:v>608</c:v>
                </c:pt>
                <c:pt idx="11">
                  <c:v>608</c:v>
                </c:pt>
                <c:pt idx="12">
                  <c:v>608</c:v>
                </c:pt>
                <c:pt idx="13">
                  <c:v>608</c:v>
                </c:pt>
                <c:pt idx="14">
                  <c:v>608</c:v>
                </c:pt>
                <c:pt idx="15">
                  <c:v>608</c:v>
                </c:pt>
                <c:pt idx="16">
                  <c:v>608</c:v>
                </c:pt>
                <c:pt idx="17">
                  <c:v>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171-4C24-83C6-F4ADF8133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127504"/>
        <c:axId val="423128488"/>
      </c:lineChart>
      <c:lineChart>
        <c:grouping val="standard"/>
        <c:varyColors val="0"/>
        <c:ser>
          <c:idx val="3"/>
          <c:order val="3"/>
          <c:tx>
            <c:v>% Coprocesamiento</c:v>
          </c:tx>
          <c:spPr>
            <a:ln w="317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(4)'!$E$5:$E$22</c:f>
              <c:strCache>
                <c:ptCount val="18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  <c:pt idx="17">
                  <c:v>Referencia</c:v>
                </c:pt>
              </c:strCache>
            </c:strRef>
          </c:cat>
          <c:val>
            <c:numRef>
              <c:f>'Emisiones Netas y Brutas (4)'!$J$5:$J$21</c:f>
              <c:numCache>
                <c:formatCode>0%</c:formatCode>
                <c:ptCount val="17"/>
                <c:pt idx="0">
                  <c:v>0.78</c:v>
                </c:pt>
                <c:pt idx="1">
                  <c:v>0.9</c:v>
                </c:pt>
                <c:pt idx="2">
                  <c:v>0.68</c:v>
                </c:pt>
                <c:pt idx="3">
                  <c:v>0.05</c:v>
                </c:pt>
                <c:pt idx="4">
                  <c:v>0.31</c:v>
                </c:pt>
                <c:pt idx="5">
                  <c:v>0.18</c:v>
                </c:pt>
                <c:pt idx="6">
                  <c:v>0.15</c:v>
                </c:pt>
                <c:pt idx="7">
                  <c:v>0.08</c:v>
                </c:pt>
                <c:pt idx="8">
                  <c:v>0.17</c:v>
                </c:pt>
                <c:pt idx="9">
                  <c:v>0.08</c:v>
                </c:pt>
                <c:pt idx="10">
                  <c:v>0.12</c:v>
                </c:pt>
                <c:pt idx="11" formatCode="General">
                  <c:v>0</c:v>
                </c:pt>
                <c:pt idx="12">
                  <c:v>0.11</c:v>
                </c:pt>
                <c:pt idx="13">
                  <c:v>0.15</c:v>
                </c:pt>
                <c:pt idx="14">
                  <c:v>0.13</c:v>
                </c:pt>
                <c:pt idx="15">
                  <c:v>0.17</c:v>
                </c:pt>
                <c:pt idx="16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171-4C24-83C6-F4ADF81332DB}"/>
            </c:ext>
          </c:extLst>
        </c:ser>
        <c:ser>
          <c:idx val="6"/>
          <c:order val="6"/>
          <c:tx>
            <c:strRef>
              <c:f>'Emisiones Netas y Brutas (4)'!$N$3</c:f>
              <c:strCache>
                <c:ptCount val="1"/>
                <c:pt idx="0">
                  <c:v>Coprocesamiento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171-4C24-83C6-F4ADF81332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(4)'!$E$5:$E$22</c:f>
              <c:strCache>
                <c:ptCount val="18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  <c:pt idx="17">
                  <c:v>Referencia</c:v>
                </c:pt>
              </c:strCache>
            </c:strRef>
          </c:cat>
          <c:val>
            <c:numRef>
              <c:f>'Emisiones Netas y Brutas (4)'!$N$5:$N$22</c:f>
              <c:numCache>
                <c:formatCode>0%</c:formatCode>
                <c:ptCount val="18"/>
                <c:pt idx="0">
                  <c:v>0.18</c:v>
                </c:pt>
                <c:pt idx="1">
                  <c:v>0.18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0.18</c:v>
                </c:pt>
                <c:pt idx="10">
                  <c:v>0.18</c:v>
                </c:pt>
                <c:pt idx="11">
                  <c:v>0.18</c:v>
                </c:pt>
                <c:pt idx="12">
                  <c:v>0.18</c:v>
                </c:pt>
                <c:pt idx="13">
                  <c:v>0.18</c:v>
                </c:pt>
                <c:pt idx="14">
                  <c:v>0.18</c:v>
                </c:pt>
                <c:pt idx="15">
                  <c:v>0.18</c:v>
                </c:pt>
                <c:pt idx="16">
                  <c:v>0.18</c:v>
                </c:pt>
                <c:pt idx="1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171-4C24-83C6-F4ADF8133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225528"/>
        <c:axId val="600231432"/>
      </c:lineChart>
      <c:catAx>
        <c:axId val="4231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8000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L"/>
          </a:p>
        </c:txPr>
        <c:crossAx val="423128488"/>
        <c:crosses val="autoZero"/>
        <c:auto val="1"/>
        <c:lblAlgn val="ctr"/>
        <c:lblOffset val="100"/>
        <c:noMultiLvlLbl val="0"/>
      </c:catAx>
      <c:valAx>
        <c:axId val="4231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cap="all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L" sz="1800">
                    <a:solidFill>
                      <a:schemeClr val="bg1"/>
                    </a:solidFill>
                    <a:latin typeface="Avenir Next LT Pro" panose="020B0504020202020204" pitchFamily="34" charset="0"/>
                  </a:rPr>
                  <a:t>Kg</a:t>
                </a:r>
                <a:r>
                  <a:rPr lang="es-CL" sz="1800" baseline="0">
                    <a:solidFill>
                      <a:schemeClr val="bg1"/>
                    </a:solidFill>
                    <a:latin typeface="Avenir Next LT Pro" panose="020B0504020202020204" pitchFamily="34" charset="0"/>
                  </a:rPr>
                  <a:t> CO2 / TON cementicio</a:t>
                </a:r>
                <a:endParaRPr lang="es-CL" sz="1800">
                  <a:solidFill>
                    <a:schemeClr val="bg1"/>
                  </a:solidFill>
                  <a:latin typeface="Avenir Next LT Pro" panose="020B05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56708534837319E-2"/>
              <c:y val="0.23968798637012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cap="all" baseline="0">
                  <a:solidFill>
                    <a:schemeClr val="bg1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L"/>
          </a:p>
        </c:txPr>
        <c:crossAx val="423127504"/>
        <c:crosses val="autoZero"/>
        <c:crossBetween val="between"/>
      </c:valAx>
      <c:valAx>
        <c:axId val="600231432"/>
        <c:scaling>
          <c:orientation val="minMax"/>
          <c:max val="2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0225528"/>
        <c:crosses val="max"/>
        <c:crossBetween val="between"/>
      </c:valAx>
      <c:catAx>
        <c:axId val="600225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0231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27461566478878552"/>
          <c:y val="0.95728066501106657"/>
          <c:w val="0.45076867042242891"/>
          <c:h val="4.2719334988933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891951006124234E-2"/>
          <c:y val="5.7932740863532416E-2"/>
          <c:w val="0.80203921287430324"/>
          <c:h val="0.72973504627711006"/>
        </c:manualLayout>
      </c:layout>
      <c:barChart>
        <c:barDir val="col"/>
        <c:grouping val="stacked"/>
        <c:varyColors val="0"/>
        <c:ser>
          <c:idx val="0"/>
          <c:order val="0"/>
          <c:tx>
            <c:v>Emisiones Netas</c:v>
          </c:tx>
          <c:spPr>
            <a:solidFill>
              <a:schemeClr val="bg1">
                <a:lumMod val="50000"/>
              </a:schemeClr>
            </a:solidFill>
            <a:ln w="9525" cap="flat" cmpd="sng" algn="ctr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652-4720-BBAA-A5D9789DBE2F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9525" cap="flat" cmpd="sng" algn="ctr">
                <a:noFill/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52-4720-BBAA-A5D9789DBE2F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652-4720-BBAA-A5D9789DBE2F}"/>
              </c:ext>
            </c:extLst>
          </c:dPt>
          <c:dLbls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(4)'!$E$5:$E$21</c:f>
              <c:strCache>
                <c:ptCount val="17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</c:strCache>
            </c:strRef>
          </c:cat>
          <c:val>
            <c:numRef>
              <c:f>'Emisiones Netas y Brutas (4)'!$F$5:$F$21</c:f>
              <c:numCache>
                <c:formatCode>0</c:formatCode>
                <c:ptCount val="17"/>
                <c:pt idx="0">
                  <c:v>419</c:v>
                </c:pt>
                <c:pt idx="1">
                  <c:v>472</c:v>
                </c:pt>
                <c:pt idx="2">
                  <c:v>490</c:v>
                </c:pt>
                <c:pt idx="3">
                  <c:v>516</c:v>
                </c:pt>
                <c:pt idx="4">
                  <c:v>536</c:v>
                </c:pt>
                <c:pt idx="5">
                  <c:v>574</c:v>
                </c:pt>
                <c:pt idx="6">
                  <c:v>581</c:v>
                </c:pt>
                <c:pt idx="7">
                  <c:v>586</c:v>
                </c:pt>
                <c:pt idx="8">
                  <c:v>604</c:v>
                </c:pt>
                <c:pt idx="9">
                  <c:v>612</c:v>
                </c:pt>
                <c:pt idx="10">
                  <c:v>620</c:v>
                </c:pt>
                <c:pt idx="11">
                  <c:v>619</c:v>
                </c:pt>
                <c:pt idx="12">
                  <c:v>638</c:v>
                </c:pt>
                <c:pt idx="13">
                  <c:v>661</c:v>
                </c:pt>
                <c:pt idx="14">
                  <c:v>707</c:v>
                </c:pt>
                <c:pt idx="15">
                  <c:v>713</c:v>
                </c:pt>
                <c:pt idx="16">
                  <c:v>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52-4720-BBAA-A5D9789DBE2F}"/>
            </c:ext>
          </c:extLst>
        </c:ser>
        <c:ser>
          <c:idx val="1"/>
          <c:order val="1"/>
          <c:tx>
            <c:v>Emisiones Coprocesamiento</c:v>
          </c:tx>
          <c:spPr>
            <a:solidFill>
              <a:schemeClr val="bg1">
                <a:lumMod val="75000"/>
              </a:schemeClr>
            </a:solidFill>
            <a:ln w="9525" cap="flat" cmpd="sng" algn="ctr">
              <a:noFill/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1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9525" cap="flat" cmpd="sng" algn="ctr">
                <a:noFill/>
                <a:round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652-4720-BBAA-A5D9789DBE2F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652-4720-BBAA-A5D9789DBE2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652-4720-BBAA-A5D9789DBE2F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652-4720-BBAA-A5D9789DBE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(4)'!$E$5:$E$21</c:f>
              <c:strCache>
                <c:ptCount val="17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</c:strCache>
            </c:strRef>
          </c:cat>
          <c:val>
            <c:numRef>
              <c:f>'Emisiones Netas y Brutas (4)'!$G$5:$G$21</c:f>
              <c:numCache>
                <c:formatCode>0</c:formatCode>
                <c:ptCount val="17"/>
                <c:pt idx="0">
                  <c:v>122</c:v>
                </c:pt>
                <c:pt idx="1">
                  <c:v>109</c:v>
                </c:pt>
                <c:pt idx="2">
                  <c:v>109</c:v>
                </c:pt>
                <c:pt idx="3">
                  <c:v>8</c:v>
                </c:pt>
                <c:pt idx="4">
                  <c:v>28</c:v>
                </c:pt>
                <c:pt idx="5">
                  <c:v>23</c:v>
                </c:pt>
                <c:pt idx="6">
                  <c:v>30.100000000000023</c:v>
                </c:pt>
                <c:pt idx="7">
                  <c:v>14</c:v>
                </c:pt>
                <c:pt idx="8">
                  <c:v>33</c:v>
                </c:pt>
                <c:pt idx="9">
                  <c:v>9</c:v>
                </c:pt>
                <c:pt idx="10">
                  <c:v>23</c:v>
                </c:pt>
                <c:pt idx="11">
                  <c:v>0</c:v>
                </c:pt>
                <c:pt idx="12">
                  <c:v>11</c:v>
                </c:pt>
                <c:pt idx="13">
                  <c:v>18</c:v>
                </c:pt>
                <c:pt idx="14">
                  <c:v>24</c:v>
                </c:pt>
                <c:pt idx="15">
                  <c:v>23</c:v>
                </c:pt>
                <c:pt idx="16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52-4720-BBAA-A5D9789DB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100"/>
        <c:axId val="423127504"/>
        <c:axId val="423128488"/>
      </c:barChart>
      <c:lineChart>
        <c:grouping val="standard"/>
        <c:varyColors val="0"/>
        <c:ser>
          <c:idx val="4"/>
          <c:order val="4"/>
          <c:tx>
            <c:strRef>
              <c:f>'Emisiones Netas y Brutas (4)'!$L$3</c:f>
              <c:strCache>
                <c:ptCount val="1"/>
                <c:pt idx="0">
                  <c:v>Global Gross 2019</c:v>
                </c:pt>
              </c:strCache>
            </c:strRef>
          </c:tx>
          <c:spPr>
            <a:ln w="15875" cap="rnd">
              <a:solidFill>
                <a:schemeClr val="accent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7"/>
              <c:layout>
                <c:manualLayout>
                  <c:x val="0"/>
                  <c:y val="-1.226993338166881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652-4720-BBAA-A5D9789DBE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(4)'!$E$5:$E$22</c:f>
              <c:strCache>
                <c:ptCount val="18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  <c:pt idx="17">
                  <c:v>Referencia</c:v>
                </c:pt>
              </c:strCache>
            </c:strRef>
          </c:cat>
          <c:val>
            <c:numRef>
              <c:f>'Emisiones Netas y Brutas (4)'!$L$5:$L$22</c:f>
              <c:numCache>
                <c:formatCode>General</c:formatCode>
                <c:ptCount val="18"/>
                <c:pt idx="0">
                  <c:v>637</c:v>
                </c:pt>
                <c:pt idx="1">
                  <c:v>637</c:v>
                </c:pt>
                <c:pt idx="2">
                  <c:v>637</c:v>
                </c:pt>
                <c:pt idx="3">
                  <c:v>637</c:v>
                </c:pt>
                <c:pt idx="4">
                  <c:v>637</c:v>
                </c:pt>
                <c:pt idx="5">
                  <c:v>637</c:v>
                </c:pt>
                <c:pt idx="6">
                  <c:v>637</c:v>
                </c:pt>
                <c:pt idx="7">
                  <c:v>637</c:v>
                </c:pt>
                <c:pt idx="8">
                  <c:v>637</c:v>
                </c:pt>
                <c:pt idx="9">
                  <c:v>637</c:v>
                </c:pt>
                <c:pt idx="10">
                  <c:v>637</c:v>
                </c:pt>
                <c:pt idx="11">
                  <c:v>637</c:v>
                </c:pt>
                <c:pt idx="12">
                  <c:v>637</c:v>
                </c:pt>
                <c:pt idx="13">
                  <c:v>637</c:v>
                </c:pt>
                <c:pt idx="14">
                  <c:v>637</c:v>
                </c:pt>
                <c:pt idx="15">
                  <c:v>637</c:v>
                </c:pt>
                <c:pt idx="16">
                  <c:v>637</c:v>
                </c:pt>
                <c:pt idx="17">
                  <c:v>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652-4720-BBAA-A5D9789DBE2F}"/>
            </c:ext>
          </c:extLst>
        </c:ser>
        <c:ser>
          <c:idx val="2"/>
          <c:order val="2"/>
          <c:tx>
            <c:v>Emisiones Brutas</c:v>
          </c:tx>
          <c:spPr>
            <a:ln w="15875" cap="rnd">
              <a:noFill/>
              <a:round/>
            </a:ln>
            <a:effectLst/>
          </c:spPr>
          <c:marker>
            <c:symbol val="none"/>
          </c:marker>
          <c:dLbls>
            <c:dLbl>
              <c:idx val="11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 rtl="0">
                    <a:defRPr lang="en-US" sz="1600" b="1" i="0" u="none" strike="noStrike" kern="1200" baseline="0">
                      <a:solidFill>
                        <a:sysClr val="windowText" lastClr="000000"/>
                      </a:solidFill>
                      <a:latin typeface="Avenir Next LT Pro" panose="020B0504020202020204" pitchFamily="34" charset="0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6652-4720-BBAA-A5D9789DBE2F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600" b="1" i="0" u="none" strike="noStrike" kern="1200" baseline="0">
                    <a:solidFill>
                      <a:sysClr val="windowText" lastClr="000000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(4)'!$E$5:$E$22</c:f>
              <c:strCache>
                <c:ptCount val="18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  <c:pt idx="17">
                  <c:v>Referencia</c:v>
                </c:pt>
              </c:strCache>
            </c:strRef>
          </c:cat>
          <c:val>
            <c:numRef>
              <c:f>'Emisiones Netas y Brutas (4)'!$I$5:$I$21</c:f>
              <c:numCache>
                <c:formatCode>0</c:formatCode>
                <c:ptCount val="17"/>
                <c:pt idx="0">
                  <c:v>541</c:v>
                </c:pt>
                <c:pt idx="1">
                  <c:v>581</c:v>
                </c:pt>
                <c:pt idx="2">
                  <c:v>599</c:v>
                </c:pt>
                <c:pt idx="3">
                  <c:v>524</c:v>
                </c:pt>
                <c:pt idx="4">
                  <c:v>564</c:v>
                </c:pt>
                <c:pt idx="5">
                  <c:v>597</c:v>
                </c:pt>
                <c:pt idx="6">
                  <c:v>611.1</c:v>
                </c:pt>
                <c:pt idx="7">
                  <c:v>600</c:v>
                </c:pt>
                <c:pt idx="8">
                  <c:v>637</c:v>
                </c:pt>
                <c:pt idx="9">
                  <c:v>621</c:v>
                </c:pt>
                <c:pt idx="10">
                  <c:v>643</c:v>
                </c:pt>
                <c:pt idx="11">
                  <c:v>619</c:v>
                </c:pt>
                <c:pt idx="12">
                  <c:v>649</c:v>
                </c:pt>
                <c:pt idx="13">
                  <c:v>679</c:v>
                </c:pt>
                <c:pt idx="14">
                  <c:v>731</c:v>
                </c:pt>
                <c:pt idx="15">
                  <c:v>736</c:v>
                </c:pt>
                <c:pt idx="16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652-4720-BBAA-A5D9789DBE2F}"/>
            </c:ext>
          </c:extLst>
        </c:ser>
        <c:ser>
          <c:idx val="5"/>
          <c:order val="5"/>
          <c:tx>
            <c:strRef>
              <c:f>'Emisiones Netas y Brutas (4)'!$M$3</c:f>
              <c:strCache>
                <c:ptCount val="1"/>
                <c:pt idx="0">
                  <c:v>Global Net 2019</c:v>
                </c:pt>
              </c:strCache>
            </c:strRef>
          </c:tx>
          <c:spPr>
            <a:ln w="15875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17"/>
              <c:layout>
                <c:manualLayout>
                  <c:x val="0"/>
                  <c:y val="9.5432815190757206E-3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652-4720-BBAA-A5D9789DBE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(4)'!$E$5:$E$22</c:f>
              <c:strCache>
                <c:ptCount val="18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  <c:pt idx="17">
                  <c:v>Referencia</c:v>
                </c:pt>
              </c:strCache>
            </c:strRef>
          </c:cat>
          <c:val>
            <c:numRef>
              <c:f>'Emisiones Netas y Brutas (4)'!$M$5:$M$22</c:f>
              <c:numCache>
                <c:formatCode>General</c:formatCode>
                <c:ptCount val="18"/>
                <c:pt idx="0">
                  <c:v>608</c:v>
                </c:pt>
                <c:pt idx="1">
                  <c:v>608</c:v>
                </c:pt>
                <c:pt idx="2">
                  <c:v>608</c:v>
                </c:pt>
                <c:pt idx="3">
                  <c:v>608</c:v>
                </c:pt>
                <c:pt idx="4">
                  <c:v>608</c:v>
                </c:pt>
                <c:pt idx="5">
                  <c:v>608</c:v>
                </c:pt>
                <c:pt idx="6">
                  <c:v>608</c:v>
                </c:pt>
                <c:pt idx="7">
                  <c:v>608</c:v>
                </c:pt>
                <c:pt idx="8">
                  <c:v>608</c:v>
                </c:pt>
                <c:pt idx="9">
                  <c:v>608</c:v>
                </c:pt>
                <c:pt idx="10">
                  <c:v>608</c:v>
                </c:pt>
                <c:pt idx="11">
                  <c:v>608</c:v>
                </c:pt>
                <c:pt idx="12">
                  <c:v>608</c:v>
                </c:pt>
                <c:pt idx="13">
                  <c:v>608</c:v>
                </c:pt>
                <c:pt idx="14">
                  <c:v>608</c:v>
                </c:pt>
                <c:pt idx="15">
                  <c:v>608</c:v>
                </c:pt>
                <c:pt idx="16">
                  <c:v>608</c:v>
                </c:pt>
                <c:pt idx="17">
                  <c:v>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652-4720-BBAA-A5D9789DB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127504"/>
        <c:axId val="423128488"/>
      </c:lineChart>
      <c:lineChart>
        <c:grouping val="standard"/>
        <c:varyColors val="0"/>
        <c:ser>
          <c:idx val="3"/>
          <c:order val="3"/>
          <c:tx>
            <c:strRef>
              <c:f>'Emisiones Netas y Brutas (4)'!$K$3</c:f>
              <c:strCache>
                <c:ptCount val="1"/>
                <c:pt idx="0">
                  <c:v>Factor Clínker</c:v>
                </c:pt>
              </c:strCache>
            </c:strRef>
          </c:tx>
          <c:spPr>
            <a:ln w="158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'Emisiones Netas y Brutas (4)'!$E$5:$E$22</c:f>
              <c:strCache>
                <c:ptCount val="18"/>
                <c:pt idx="0">
                  <c:v>* Austria</c:v>
                </c:pt>
                <c:pt idx="1">
                  <c:v>* Alemania</c:v>
                </c:pt>
                <c:pt idx="2">
                  <c:v>* Polonia</c:v>
                </c:pt>
                <c:pt idx="3">
                  <c:v>** Argentina</c:v>
                </c:pt>
                <c:pt idx="4">
                  <c:v>* Brasil</c:v>
                </c:pt>
                <c:pt idx="5">
                  <c:v>* Latinoamérica</c:v>
                </c:pt>
                <c:pt idx="6">
                  <c:v>** Chile</c:v>
                </c:pt>
                <c:pt idx="7">
                  <c:v>**Colombia</c:v>
                </c:pt>
                <c:pt idx="8">
                  <c:v>* Central America</c:v>
                </c:pt>
                <c:pt idx="9">
                  <c:v>** Centroamérica</c:v>
                </c:pt>
                <c:pt idx="10">
                  <c:v>** México 2016</c:v>
                </c:pt>
                <c:pt idx="11">
                  <c:v>** Peru</c:v>
                </c:pt>
                <c:pt idx="12">
                  <c:v>* Asia (nec)/Oceania</c:v>
                </c:pt>
                <c:pt idx="13">
                  <c:v>* Tailandia</c:v>
                </c:pt>
                <c:pt idx="14">
                  <c:v>* Middle East</c:v>
                </c:pt>
                <c:pt idx="15">
                  <c:v>* Egipto</c:v>
                </c:pt>
                <c:pt idx="16">
                  <c:v>* Estados Unidos</c:v>
                </c:pt>
                <c:pt idx="17">
                  <c:v>Referencia</c:v>
                </c:pt>
              </c:strCache>
            </c:strRef>
          </c:cat>
          <c:val>
            <c:numRef>
              <c:f>'Emisiones Netas y Brutas (4)'!$K$5:$K$21</c:f>
              <c:numCache>
                <c:formatCode>0%</c:formatCode>
                <c:ptCount val="17"/>
                <c:pt idx="0">
                  <c:v>0.7</c:v>
                </c:pt>
                <c:pt idx="1">
                  <c:v>0.72</c:v>
                </c:pt>
                <c:pt idx="2">
                  <c:v>0.74</c:v>
                </c:pt>
                <c:pt idx="3">
                  <c:v>0.68</c:v>
                </c:pt>
                <c:pt idx="4">
                  <c:v>0.68</c:v>
                </c:pt>
                <c:pt idx="5">
                  <c:v>0.71</c:v>
                </c:pt>
                <c:pt idx="6">
                  <c:v>0.7</c:v>
                </c:pt>
                <c:pt idx="7">
                  <c:v>0.68</c:v>
                </c:pt>
                <c:pt idx="8">
                  <c:v>0.72</c:v>
                </c:pt>
                <c:pt idx="9">
                  <c:v>0.72</c:v>
                </c:pt>
                <c:pt idx="10">
                  <c:v>0.74</c:v>
                </c:pt>
                <c:pt idx="11">
                  <c:v>0.77</c:v>
                </c:pt>
                <c:pt idx="12">
                  <c:v>0.79</c:v>
                </c:pt>
                <c:pt idx="13">
                  <c:v>0.82</c:v>
                </c:pt>
                <c:pt idx="14">
                  <c:v>0.86</c:v>
                </c:pt>
                <c:pt idx="15">
                  <c:v>0.84</c:v>
                </c:pt>
                <c:pt idx="16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652-4720-BBAA-A5D9789DB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225528"/>
        <c:axId val="600231432"/>
      </c:lineChart>
      <c:catAx>
        <c:axId val="4231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980000" spcFirstLastPara="1" vertOverflow="ellipsis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L"/>
          </a:p>
        </c:txPr>
        <c:crossAx val="423128488"/>
        <c:crosses val="autoZero"/>
        <c:auto val="1"/>
        <c:lblAlgn val="ctr"/>
        <c:lblOffset val="100"/>
        <c:noMultiLvlLbl val="0"/>
      </c:catAx>
      <c:valAx>
        <c:axId val="423128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cap="all" baseline="0">
                    <a:solidFill>
                      <a:schemeClr val="bg1"/>
                    </a:solidFill>
                    <a:latin typeface="Avenir Next LT Pro" panose="020B0504020202020204" pitchFamily="34" charset="0"/>
                    <a:ea typeface="+mn-ea"/>
                    <a:cs typeface="+mn-cs"/>
                  </a:defRPr>
                </a:pPr>
                <a:r>
                  <a:rPr lang="es-CL" sz="1800">
                    <a:solidFill>
                      <a:schemeClr val="bg1"/>
                    </a:solidFill>
                    <a:latin typeface="Avenir Next LT Pro" panose="020B0504020202020204" pitchFamily="34" charset="0"/>
                  </a:rPr>
                  <a:t>Kg</a:t>
                </a:r>
                <a:r>
                  <a:rPr lang="es-CL" sz="1800" baseline="0">
                    <a:solidFill>
                      <a:schemeClr val="bg1"/>
                    </a:solidFill>
                    <a:latin typeface="Avenir Next LT Pro" panose="020B0504020202020204" pitchFamily="34" charset="0"/>
                  </a:rPr>
                  <a:t> CO2 / TON cementicio</a:t>
                </a:r>
                <a:endParaRPr lang="es-CL" sz="1800">
                  <a:solidFill>
                    <a:schemeClr val="bg1"/>
                  </a:solidFill>
                  <a:latin typeface="Avenir Next LT Pro" panose="020B05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3.7456708534837319E-2"/>
              <c:y val="0.239687986370124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cap="all" baseline="0">
                  <a:solidFill>
                    <a:schemeClr val="bg1"/>
                  </a:solidFill>
                  <a:latin typeface="Avenir Next LT Pro" panose="020B0504020202020204" pitchFamily="34" charset="0"/>
                  <a:ea typeface="+mn-ea"/>
                  <a:cs typeface="+mn-cs"/>
                </a:defRPr>
              </a:pPr>
              <a:endParaRPr lang="es-C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bg1"/>
                </a:solidFill>
                <a:latin typeface="Avenir Next LT Pro" panose="020B0504020202020204" pitchFamily="34" charset="0"/>
                <a:ea typeface="+mn-ea"/>
                <a:cs typeface="+mn-cs"/>
              </a:defRPr>
            </a:pPr>
            <a:endParaRPr lang="es-CL"/>
          </a:p>
        </c:txPr>
        <c:crossAx val="423127504"/>
        <c:crosses val="autoZero"/>
        <c:crossBetween val="between"/>
      </c:valAx>
      <c:valAx>
        <c:axId val="600231432"/>
        <c:scaling>
          <c:orientation val="minMax"/>
          <c:max val="2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00225528"/>
        <c:crosses val="max"/>
        <c:crossBetween val="between"/>
      </c:valAx>
      <c:catAx>
        <c:axId val="600225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02314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01677643783802"/>
          <c:y val="0.4407376095531918"/>
          <c:w val="9.4727657971538204E-2"/>
          <c:h val="0.4350938588816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152400</xdr:colOff>
      <xdr:row>1</xdr:row>
      <xdr:rowOff>171450</xdr:rowOff>
    </xdr:from>
    <xdr:to>
      <xdr:col>25</xdr:col>
      <xdr:colOff>190500</xdr:colOff>
      <xdr:row>36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4C8A100-8E8F-40D3-B441-8C08BC4EE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38</xdr:row>
      <xdr:rowOff>0</xdr:rowOff>
    </xdr:from>
    <xdr:to>
      <xdr:col>25</xdr:col>
      <xdr:colOff>38100</xdr:colOff>
      <xdr:row>75</xdr:row>
      <xdr:rowOff>31750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DD57047-A466-4BF8-8CB0-BB6676ABE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1638303</xdr:colOff>
      <xdr:row>4</xdr:row>
      <xdr:rowOff>142874</xdr:rowOff>
    </xdr:from>
    <xdr:to>
      <xdr:col>32</xdr:col>
      <xdr:colOff>1452563</xdr:colOff>
      <xdr:row>43</xdr:row>
      <xdr:rowOff>100015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D3FDC50-57C7-4042-B863-790FDB2FB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738187</xdr:colOff>
      <xdr:row>57</xdr:row>
      <xdr:rowOff>71437</xdr:rowOff>
    </xdr:from>
    <xdr:to>
      <xdr:col>32</xdr:col>
      <xdr:colOff>1076322</xdr:colOff>
      <xdr:row>96</xdr:row>
      <xdr:rowOff>100016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54534E4-94DB-426C-80A4-4BCDB0C46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icardoparejasoto/Desktop/FICEM%20Temp/CALCULADORA%20Para%20Talleres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Instrucciones"/>
      <sheetName val="Inputs"/>
      <sheetName val="Outputs"/>
      <sheetName val="Gráficas"/>
      <sheetName val="Aplicación"/>
      <sheetName val="Motor"/>
      <sheetName val="Comments"/>
      <sheetName val="VTS"/>
      <sheetName val="PTM"/>
      <sheetName val="Company"/>
      <sheetName val="Validation"/>
      <sheetName val="ControlPlant"/>
      <sheetName val="Fuel CO2 Factors"/>
      <sheetName val="Plant_new"/>
      <sheetName val="CalcA1"/>
      <sheetName val="CalcA2"/>
      <sheetName val="CalcB2"/>
      <sheetName val="ControlRangesPlant"/>
      <sheetName val="ControlRangesGrCent"/>
      <sheetName val="InputLines"/>
      <sheetName val="KilnControlRanges"/>
      <sheetName val="GrCentControlRanges"/>
      <sheetName val="Def"/>
      <sheetName val="Plant_Template_b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7">
          <cell r="D7">
            <v>96</v>
          </cell>
        </row>
        <row r="8">
          <cell r="E8">
            <v>92.8</v>
          </cell>
        </row>
        <row r="9">
          <cell r="D9">
            <v>77.400000000000006</v>
          </cell>
        </row>
        <row r="10">
          <cell r="D10">
            <v>74.099999999999994</v>
          </cell>
        </row>
        <row r="11">
          <cell r="D11">
            <v>56.1</v>
          </cell>
        </row>
        <row r="12">
          <cell r="D12">
            <v>107</v>
          </cell>
        </row>
        <row r="13">
          <cell r="D13">
            <v>101</v>
          </cell>
        </row>
        <row r="14">
          <cell r="D14">
            <v>69.3</v>
          </cell>
        </row>
        <row r="16">
          <cell r="E16">
            <v>74</v>
          </cell>
        </row>
        <row r="17">
          <cell r="E17">
            <v>85</v>
          </cell>
          <cell r="F17">
            <v>0.27</v>
          </cell>
        </row>
        <row r="18">
          <cell r="E18">
            <v>75</v>
          </cell>
        </row>
        <row r="19">
          <cell r="E19">
            <v>74</v>
          </cell>
        </row>
        <row r="20">
          <cell r="E20">
            <v>75</v>
          </cell>
        </row>
        <row r="21">
          <cell r="E21">
            <v>83</v>
          </cell>
        </row>
        <row r="22">
          <cell r="E22">
            <v>80</v>
          </cell>
        </row>
        <row r="24">
          <cell r="E24">
            <v>110</v>
          </cell>
        </row>
        <row r="25">
          <cell r="E25">
            <v>110</v>
          </cell>
        </row>
        <row r="26">
          <cell r="E26">
            <v>110</v>
          </cell>
        </row>
        <row r="27">
          <cell r="E27">
            <v>89</v>
          </cell>
        </row>
        <row r="28">
          <cell r="E28">
            <v>89</v>
          </cell>
        </row>
        <row r="29">
          <cell r="E29">
            <v>89</v>
          </cell>
        </row>
        <row r="30">
          <cell r="E30">
            <v>110</v>
          </cell>
        </row>
        <row r="31">
          <cell r="E31">
            <v>110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>
        <row r="1">
          <cell r="A1" t="str">
            <v>Kiln_Type</v>
          </cell>
          <cell r="B1" t="str">
            <v>Capacity</v>
          </cell>
          <cell r="C1" t="str">
            <v>Plant_Type</v>
          </cell>
          <cell r="D1" t="str">
            <v>Steps</v>
          </cell>
        </row>
        <row r="2">
          <cell r="A2" t="str">
            <v>DRY WITHOUT PREHEATER (LONG DRY KILN)</v>
          </cell>
          <cell r="B2" t="str">
            <v>0 &lt; X &lt; 500</v>
          </cell>
          <cell r="C2" t="str">
            <v>GREY CEMENT</v>
          </cell>
          <cell r="D2" t="str">
            <v>yes</v>
          </cell>
          <cell r="E2" t="str">
            <v>ALBANIA</v>
          </cell>
          <cell r="F2" t="str">
            <v>AFRICA</v>
          </cell>
          <cell r="G2" t="str">
            <v>NO ASSURANCE</v>
          </cell>
          <cell r="H2" t="str">
            <v>Annex 1</v>
          </cell>
          <cell r="I2">
            <v>1990</v>
          </cell>
          <cell r="K2" t="str">
            <v>A1</v>
          </cell>
        </row>
        <row r="3">
          <cell r="A3" t="str">
            <v>DRY WITH PREHEATER WITHOUT PRECALCINER</v>
          </cell>
          <cell r="B3" t="str">
            <v>500 &lt; X &lt; 2000</v>
          </cell>
          <cell r="C3" t="str">
            <v>WHITE CEMENT</v>
          </cell>
          <cell r="D3" t="str">
            <v>no</v>
          </cell>
          <cell r="E3" t="str">
            <v>ALGERIA</v>
          </cell>
          <cell r="F3" t="str">
            <v>AMERICA</v>
          </cell>
          <cell r="G3" t="str">
            <v>REASONABLE ASSURANCE</v>
          </cell>
          <cell r="H3" t="str">
            <v>non-Annex 1</v>
          </cell>
          <cell r="I3">
            <v>1991</v>
          </cell>
          <cell r="K3" t="str">
            <v>A2</v>
          </cell>
        </row>
        <row r="4">
          <cell r="A4" t="str">
            <v>DRY WITH PREHEATER AND PRECALCINER</v>
          </cell>
          <cell r="B4" t="str">
            <v>2000 &lt; X &lt; 5000</v>
          </cell>
          <cell r="C4" t="str">
            <v>GRINDING CENTER</v>
          </cell>
          <cell r="D4" t="str">
            <v>n.a.</v>
          </cell>
          <cell r="E4" t="str">
            <v>ANGOLA</v>
          </cell>
          <cell r="F4" t="str">
            <v>ASIA</v>
          </cell>
          <cell r="G4" t="str">
            <v>MODERATE ASSURANCE</v>
          </cell>
          <cell r="I4">
            <v>1992</v>
          </cell>
          <cell r="K4" t="str">
            <v>B1</v>
          </cell>
        </row>
        <row r="5">
          <cell r="A5" t="str">
            <v>MIXED KILN TYPE</v>
          </cell>
          <cell r="B5" t="str">
            <v>5000 &lt; X &lt; 8000</v>
          </cell>
          <cell r="C5" t="str">
            <v>OTHER PLANT</v>
          </cell>
          <cell r="E5" t="str">
            <v>ARGENTINA</v>
          </cell>
          <cell r="F5" t="str">
            <v>EUROPE</v>
          </cell>
          <cell r="I5">
            <v>1993</v>
          </cell>
          <cell r="K5" t="str">
            <v>B2</v>
          </cell>
        </row>
        <row r="6">
          <cell r="A6" t="str">
            <v>SEMI-WET/SEMI DRY</v>
          </cell>
          <cell r="B6" t="str">
            <v>X &gt; 8000</v>
          </cell>
          <cell r="C6" t="str">
            <v>NOT IN USE</v>
          </cell>
          <cell r="E6" t="str">
            <v>ARMENIA</v>
          </cell>
          <cell r="F6" t="str">
            <v>NORTH AMERICA</v>
          </cell>
          <cell r="I6">
            <v>1994</v>
          </cell>
        </row>
        <row r="7">
          <cell r="A7" t="str">
            <v>SHAFT KILN</v>
          </cell>
          <cell r="E7" t="str">
            <v>AUSTRALIA</v>
          </cell>
          <cell r="F7" t="str">
            <v>OCEANIA</v>
          </cell>
          <cell r="I7">
            <v>1995</v>
          </cell>
        </row>
        <row r="8">
          <cell r="A8" t="str">
            <v>WET</v>
          </cell>
          <cell r="E8" t="str">
            <v>AUSTRIA</v>
          </cell>
          <cell r="I8">
            <v>1996</v>
          </cell>
        </row>
        <row r="9">
          <cell r="A9" t="str">
            <v>N/A</v>
          </cell>
          <cell r="E9" t="str">
            <v>AZERBAIJAN</v>
          </cell>
          <cell r="I9">
            <v>1997</v>
          </cell>
        </row>
        <row r="10">
          <cell r="E10" t="str">
            <v>BAHRAIN</v>
          </cell>
          <cell r="I10">
            <v>1998</v>
          </cell>
        </row>
        <row r="11">
          <cell r="E11" t="str">
            <v>BANGLADESH</v>
          </cell>
          <cell r="I11">
            <v>1999</v>
          </cell>
        </row>
        <row r="12">
          <cell r="E12" t="str">
            <v>BELARUS</v>
          </cell>
          <cell r="I12">
            <v>2000</v>
          </cell>
        </row>
        <row r="13">
          <cell r="E13" t="str">
            <v>BELGIUM</v>
          </cell>
          <cell r="I13">
            <v>2001</v>
          </cell>
        </row>
        <row r="14">
          <cell r="E14" t="str">
            <v>BENIN</v>
          </cell>
          <cell r="I14">
            <v>2002</v>
          </cell>
        </row>
        <row r="15">
          <cell r="E15" t="str">
            <v>BOLIVIA</v>
          </cell>
          <cell r="I15">
            <v>2003</v>
          </cell>
        </row>
        <row r="16">
          <cell r="E16" t="str">
            <v>BOSNIA AND HERZEGOVINA</v>
          </cell>
          <cell r="I16">
            <v>2004</v>
          </cell>
        </row>
        <row r="17">
          <cell r="E17" t="str">
            <v>BRAZIL</v>
          </cell>
          <cell r="I17">
            <v>2005</v>
          </cell>
        </row>
        <row r="18">
          <cell r="E18" t="str">
            <v>BRUNEI DARUSSALAM</v>
          </cell>
          <cell r="I18">
            <v>2006</v>
          </cell>
        </row>
        <row r="19">
          <cell r="E19" t="str">
            <v>BULGARIA</v>
          </cell>
          <cell r="I19">
            <v>2007</v>
          </cell>
        </row>
        <row r="20">
          <cell r="E20" t="str">
            <v>CAMBODJA</v>
          </cell>
          <cell r="I20">
            <v>2008</v>
          </cell>
        </row>
        <row r="21">
          <cell r="E21" t="str">
            <v>CAMEROON</v>
          </cell>
          <cell r="I21">
            <v>2009</v>
          </cell>
        </row>
        <row r="22">
          <cell r="E22" t="str">
            <v>CANADA</v>
          </cell>
          <cell r="I22">
            <v>2010</v>
          </cell>
        </row>
        <row r="23">
          <cell r="E23" t="str">
            <v>CHILE</v>
          </cell>
          <cell r="I23">
            <v>2011</v>
          </cell>
        </row>
        <row r="24">
          <cell r="E24" t="str">
            <v>CHINA</v>
          </cell>
          <cell r="I24">
            <v>2012</v>
          </cell>
        </row>
        <row r="25">
          <cell r="E25" t="str">
            <v>COLOMBIA</v>
          </cell>
          <cell r="I25">
            <v>2013</v>
          </cell>
        </row>
        <row r="26">
          <cell r="E26" t="str">
            <v>CONGO</v>
          </cell>
          <cell r="I26">
            <v>2014</v>
          </cell>
        </row>
        <row r="27">
          <cell r="E27" t="str">
            <v>COSTA RICA</v>
          </cell>
          <cell r="I27">
            <v>2015</v>
          </cell>
        </row>
        <row r="28">
          <cell r="E28" t="str">
            <v>COTE D'IVOIRE</v>
          </cell>
          <cell r="I28">
            <v>2016</v>
          </cell>
        </row>
        <row r="29">
          <cell r="E29" t="str">
            <v>CROATIA</v>
          </cell>
          <cell r="I29">
            <v>2017</v>
          </cell>
        </row>
        <row r="30">
          <cell r="E30" t="str">
            <v>CUBA</v>
          </cell>
          <cell r="I30">
            <v>2018</v>
          </cell>
        </row>
        <row r="31">
          <cell r="E31" t="str">
            <v>CYPRUS</v>
          </cell>
          <cell r="I31">
            <v>2019</v>
          </cell>
        </row>
        <row r="32">
          <cell r="E32" t="str">
            <v>CZECH REPUBLIC</v>
          </cell>
          <cell r="I32">
            <v>2020</v>
          </cell>
        </row>
        <row r="33">
          <cell r="E33" t="str">
            <v>DENMARK</v>
          </cell>
        </row>
        <row r="34">
          <cell r="E34" t="str">
            <v>DOMINICAN REPUBLIC</v>
          </cell>
        </row>
        <row r="35">
          <cell r="E35" t="str">
            <v>ECUADOR</v>
          </cell>
        </row>
        <row r="36">
          <cell r="E36" t="str">
            <v>EGYPT</v>
          </cell>
        </row>
        <row r="37">
          <cell r="E37" t="str">
            <v>EL SALVADOR</v>
          </cell>
        </row>
        <row r="38">
          <cell r="E38" t="str">
            <v>ERITREA</v>
          </cell>
        </row>
        <row r="39">
          <cell r="E39" t="str">
            <v>ESTONIA</v>
          </cell>
        </row>
        <row r="40">
          <cell r="E40" t="str">
            <v>ETHIOPIA</v>
          </cell>
        </row>
        <row r="41">
          <cell r="E41" t="str">
            <v>FINLAND</v>
          </cell>
        </row>
        <row r="42">
          <cell r="E42" t="str">
            <v>FRANCE</v>
          </cell>
        </row>
        <row r="43">
          <cell r="E43" t="str">
            <v>GABON</v>
          </cell>
        </row>
        <row r="44">
          <cell r="E44" t="str">
            <v>GEORGIA</v>
          </cell>
        </row>
        <row r="45">
          <cell r="E45" t="str">
            <v>GERMANY</v>
          </cell>
        </row>
        <row r="46">
          <cell r="E46" t="str">
            <v>GHANA</v>
          </cell>
        </row>
        <row r="47">
          <cell r="E47" t="str">
            <v>GIBRALTAR</v>
          </cell>
        </row>
        <row r="48">
          <cell r="E48" t="str">
            <v>GREECE</v>
          </cell>
        </row>
        <row r="49">
          <cell r="E49" t="str">
            <v>GUATEMALA</v>
          </cell>
        </row>
        <row r="50">
          <cell r="E50" t="str">
            <v>HAITI</v>
          </cell>
        </row>
        <row r="51">
          <cell r="E51" t="str">
            <v>HONDURAS</v>
          </cell>
        </row>
        <row r="52">
          <cell r="E52" t="str">
            <v>HUNGARY</v>
          </cell>
        </row>
        <row r="53">
          <cell r="E53" t="str">
            <v>ICELAND</v>
          </cell>
        </row>
        <row r="54">
          <cell r="E54" t="str">
            <v>INDIA</v>
          </cell>
        </row>
        <row r="55">
          <cell r="E55" t="str">
            <v>INDONESIA</v>
          </cell>
        </row>
        <row r="56">
          <cell r="E56" t="str">
            <v>IRAN, ISLAMIC REPUBLIC OF</v>
          </cell>
        </row>
        <row r="57">
          <cell r="E57" t="str">
            <v>IRAQ</v>
          </cell>
        </row>
        <row r="58">
          <cell r="E58" t="str">
            <v>IRELAND</v>
          </cell>
        </row>
        <row r="59">
          <cell r="E59" t="str">
            <v>ISRAEL</v>
          </cell>
        </row>
        <row r="60">
          <cell r="E60" t="str">
            <v>ITALY</v>
          </cell>
        </row>
        <row r="61">
          <cell r="E61" t="str">
            <v>JAMAICA</v>
          </cell>
        </row>
        <row r="62">
          <cell r="E62" t="str">
            <v>JAPAN</v>
          </cell>
        </row>
        <row r="63">
          <cell r="E63" t="str">
            <v>JORDAN</v>
          </cell>
        </row>
        <row r="64">
          <cell r="E64" t="str">
            <v>KAZAKHSTAN</v>
          </cell>
        </row>
        <row r="65">
          <cell r="E65" t="str">
            <v>KENYA</v>
          </cell>
        </row>
        <row r="66">
          <cell r="E66" t="str">
            <v>KUWAIT</v>
          </cell>
        </row>
        <row r="67">
          <cell r="E67" t="str">
            <v>KYRGYZSTAN</v>
          </cell>
        </row>
        <row r="68">
          <cell r="E68" t="str">
            <v>LAOS</v>
          </cell>
        </row>
        <row r="69">
          <cell r="E69" t="str">
            <v>LATVIA</v>
          </cell>
        </row>
        <row r="70">
          <cell r="E70" t="str">
            <v>LEBANON</v>
          </cell>
        </row>
        <row r="71">
          <cell r="E71" t="str">
            <v>LIBYAN ARAB JAMAHIRIYA</v>
          </cell>
        </row>
        <row r="72">
          <cell r="E72" t="str">
            <v>LITHUANIA</v>
          </cell>
        </row>
        <row r="73">
          <cell r="E73" t="str">
            <v>LUXEMBOURG</v>
          </cell>
        </row>
        <row r="74">
          <cell r="E74" t="str">
            <v>MACEDONIA, THE FORMER YUGOSLAV REPUBLIC OF</v>
          </cell>
        </row>
        <row r="75">
          <cell r="E75" t="str">
            <v>MADAGASCAR</v>
          </cell>
        </row>
        <row r="76">
          <cell r="E76" t="str">
            <v>MALAYSIA</v>
          </cell>
        </row>
        <row r="77">
          <cell r="E77" t="str">
            <v>MALTA</v>
          </cell>
        </row>
        <row r="78">
          <cell r="E78" t="str">
            <v>MEXICO</v>
          </cell>
        </row>
        <row r="79">
          <cell r="E79" t="str">
            <v>MOROCCO</v>
          </cell>
        </row>
        <row r="80">
          <cell r="E80" t="str">
            <v>MOZAMBIQUE</v>
          </cell>
        </row>
        <row r="81">
          <cell r="E81" t="str">
            <v>MYANMAR</v>
          </cell>
        </row>
        <row r="82">
          <cell r="E82" t="str">
            <v>NAMIBIA</v>
          </cell>
        </row>
        <row r="83">
          <cell r="E83" t="str">
            <v>NEPAL</v>
          </cell>
        </row>
        <row r="84">
          <cell r="E84" t="str">
            <v>NETHERLANDS</v>
          </cell>
        </row>
        <row r="85">
          <cell r="E85" t="str">
            <v>NETHERLANDS ANTILLES</v>
          </cell>
        </row>
        <row r="86">
          <cell r="E86" t="str">
            <v>NEW ZEALAND</v>
          </cell>
        </row>
        <row r="87">
          <cell r="E87" t="str">
            <v>NICARAGUA</v>
          </cell>
        </row>
        <row r="88">
          <cell r="E88" t="str">
            <v>NIGERIA</v>
          </cell>
        </row>
        <row r="89">
          <cell r="E89" t="str">
            <v>NORWAY</v>
          </cell>
        </row>
        <row r="90">
          <cell r="E90" t="str">
            <v>OMAN</v>
          </cell>
        </row>
        <row r="91">
          <cell r="E91" t="str">
            <v>PARAGUAY</v>
          </cell>
        </row>
        <row r="92">
          <cell r="E92" t="str">
            <v>PHILIPPINES</v>
          </cell>
        </row>
        <row r="93">
          <cell r="E93" t="str">
            <v>POLAND</v>
          </cell>
        </row>
        <row r="94">
          <cell r="E94" t="str">
            <v>PORTUGAL</v>
          </cell>
        </row>
        <row r="95">
          <cell r="E95" t="str">
            <v>ROMANIA</v>
          </cell>
        </row>
        <row r="96">
          <cell r="E96" t="str">
            <v>RUSSIAN FEDERATION</v>
          </cell>
        </row>
        <row r="97">
          <cell r="E97" t="str">
            <v>SAOUDI ARABIA</v>
          </cell>
        </row>
        <row r="98">
          <cell r="E98" t="str">
            <v>SERBIA</v>
          </cell>
        </row>
        <row r="99">
          <cell r="E99" t="str">
            <v>SINGAPORE</v>
          </cell>
        </row>
        <row r="100">
          <cell r="E100" t="str">
            <v>SLOVAKIA</v>
          </cell>
        </row>
        <row r="101">
          <cell r="E101" t="str">
            <v>SLOVENIA</v>
          </cell>
        </row>
        <row r="102">
          <cell r="E102" t="str">
            <v>SOUTH AFRICA</v>
          </cell>
        </row>
        <row r="103">
          <cell r="E103" t="str">
            <v>SPAIN</v>
          </cell>
        </row>
        <row r="104">
          <cell r="E104" t="str">
            <v>SRI LANKA</v>
          </cell>
        </row>
        <row r="105">
          <cell r="E105" t="str">
            <v>SWEDEN</v>
          </cell>
        </row>
        <row r="106">
          <cell r="E106" t="str">
            <v>SWITZERLAND</v>
          </cell>
        </row>
        <row r="107">
          <cell r="E107" t="str">
            <v>THAILAND</v>
          </cell>
        </row>
        <row r="108">
          <cell r="E108" t="str">
            <v>TUNESIA</v>
          </cell>
        </row>
        <row r="109">
          <cell r="E109" t="str">
            <v>TURKEY</v>
          </cell>
        </row>
        <row r="110">
          <cell r="E110" t="str">
            <v>UKRAINE</v>
          </cell>
        </row>
        <row r="111">
          <cell r="E111" t="str">
            <v>UNITED KINGDOM</v>
          </cell>
        </row>
        <row r="112">
          <cell r="E112" t="str">
            <v>UNITED STATES OF AMERICA</v>
          </cell>
        </row>
        <row r="113">
          <cell r="E113" t="str">
            <v>URUGUAY</v>
          </cell>
        </row>
        <row r="114">
          <cell r="E114" t="str">
            <v>UZBEKISTAN</v>
          </cell>
        </row>
        <row r="115">
          <cell r="E115" t="str">
            <v>VENZUELA</v>
          </cell>
        </row>
        <row r="116">
          <cell r="E116" t="str">
            <v>VIETNAM</v>
          </cell>
        </row>
        <row r="117">
          <cell r="E117" t="str">
            <v>OTHER AFRICA XA</v>
          </cell>
        </row>
        <row r="118">
          <cell r="E118" t="str">
            <v>OTHER ASIA XS</v>
          </cell>
        </row>
        <row r="119">
          <cell r="E119" t="str">
            <v>OTHER AMERICA XL</v>
          </cell>
        </row>
        <row r="120">
          <cell r="E120" t="str">
            <v>OTHER EUROPE XE</v>
          </cell>
        </row>
      </sheetData>
      <sheetData sheetId="24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7DD2-5DB6-4DBA-B6A2-C05C97CF2C51}">
  <dimension ref="A1:AV41"/>
  <sheetViews>
    <sheetView showGridLines="0" topLeftCell="C1" zoomScale="50" zoomScaleNormal="50" workbookViewId="0">
      <pane ySplit="3" topLeftCell="A4" activePane="bottomLeft" state="frozen"/>
      <selection activeCell="C1" sqref="C1"/>
      <selection pane="bottomLeft" activeCell="K21" sqref="K21"/>
    </sheetView>
  </sheetViews>
  <sheetFormatPr baseColWidth="10" defaultColWidth="28.7109375" defaultRowHeight="18"/>
  <cols>
    <col min="1" max="2" width="0" style="1" hidden="1" customWidth="1"/>
    <col min="3" max="3" width="4" style="1" customWidth="1"/>
    <col min="4" max="4" width="3.7109375" style="1" customWidth="1"/>
    <col min="5" max="5" width="30.85546875" style="1" customWidth="1"/>
    <col min="6" max="6" width="28.140625" style="1" customWidth="1"/>
    <col min="7" max="7" width="16.28515625" style="28" customWidth="1"/>
    <col min="8" max="8" width="11.7109375" style="1" customWidth="1"/>
    <col min="9" max="9" width="3.7109375" style="1" customWidth="1"/>
    <col min="10" max="10" width="30.85546875" style="1" customWidth="1"/>
    <col min="11" max="11" width="29" style="1" customWidth="1"/>
    <col min="12" max="12" width="16.28515625" style="28" customWidth="1"/>
    <col min="13" max="13" width="5.42578125" style="1" customWidth="1"/>
    <col min="14" max="14" width="4" style="1" customWidth="1"/>
    <col min="15" max="16" width="28.7109375" style="1"/>
    <col min="17" max="17" width="16.28515625" style="28" customWidth="1"/>
    <col min="18" max="18" width="3.85546875" style="1" customWidth="1"/>
    <col min="19" max="19" width="3.7109375" style="1" customWidth="1"/>
    <col min="20" max="21" width="28.7109375" style="1"/>
    <col min="22" max="22" width="16.28515625" style="28" customWidth="1"/>
    <col min="23" max="23" width="11.7109375" style="1" customWidth="1"/>
    <col min="24" max="24" width="3.7109375" style="1" customWidth="1"/>
    <col min="25" max="25" width="36.7109375" style="1" customWidth="1"/>
    <col min="26" max="26" width="29" style="1" customWidth="1"/>
    <col min="27" max="27" width="16.28515625" style="28" customWidth="1"/>
    <col min="28" max="28" width="11.7109375" style="1" customWidth="1"/>
    <col min="29" max="29" width="3.7109375" style="1" customWidth="1"/>
    <col min="30" max="30" width="28.7109375" style="1"/>
    <col min="31" max="31" width="25.140625" style="1" customWidth="1"/>
    <col min="32" max="32" width="16.28515625" style="28" customWidth="1"/>
    <col min="33" max="33" width="11.7109375" style="1" customWidth="1"/>
    <col min="34" max="34" width="3.42578125" style="1" customWidth="1"/>
    <col min="35" max="35" width="28.7109375" style="1"/>
    <col min="36" max="36" width="7.7109375" style="1" customWidth="1"/>
    <col min="37" max="37" width="26.28515625" style="1" customWidth="1"/>
    <col min="38" max="38" width="16.28515625" style="28" customWidth="1"/>
    <col min="39" max="39" width="11.7109375" style="1" customWidth="1"/>
    <col min="40" max="40" width="3.7109375" style="1" customWidth="1"/>
    <col min="41" max="42" width="28.7109375" style="1"/>
    <col min="43" max="43" width="16.28515625" style="28" customWidth="1"/>
    <col min="44" max="44" width="11.7109375" style="1" customWidth="1"/>
    <col min="45" max="45" width="3.7109375" style="1" customWidth="1"/>
    <col min="46" max="47" width="28.7109375" style="1"/>
    <col min="48" max="48" width="16.28515625" style="28" customWidth="1"/>
    <col min="49" max="49" width="11.7109375" style="1" customWidth="1"/>
    <col min="50" max="50" width="3.7109375" style="1" customWidth="1"/>
    <col min="51" max="16384" width="28.7109375" style="1"/>
  </cols>
  <sheetData>
    <row r="1" spans="1:48" ht="24" customHeight="1">
      <c r="Y1" s="2"/>
    </row>
    <row r="2" spans="1:48" s="3" customFormat="1" ht="24" customHeight="1" thickBot="1">
      <c r="E2" s="3" t="s">
        <v>65</v>
      </c>
      <c r="G2" s="32"/>
      <c r="J2" s="3" t="s">
        <v>66</v>
      </c>
      <c r="L2" s="32"/>
      <c r="O2" s="3" t="s">
        <v>69</v>
      </c>
      <c r="Q2" s="32"/>
      <c r="T2" s="3" t="s">
        <v>68</v>
      </c>
      <c r="V2" s="32"/>
      <c r="Y2" s="3" t="s">
        <v>70</v>
      </c>
      <c r="AA2" s="32"/>
      <c r="AD2" s="3" t="s">
        <v>0</v>
      </c>
      <c r="AF2" s="32"/>
      <c r="AI2" s="3" t="s">
        <v>1</v>
      </c>
      <c r="AL2" s="32"/>
      <c r="AO2" s="3" t="s">
        <v>2</v>
      </c>
      <c r="AQ2" s="32"/>
      <c r="AT2" s="3" t="s">
        <v>3</v>
      </c>
      <c r="AV2" s="32"/>
    </row>
    <row r="3" spans="1:48" ht="24" customHeight="1" thickTop="1" thickBot="1">
      <c r="A3" s="4" t="s">
        <v>4</v>
      </c>
      <c r="B3" s="4" t="s">
        <v>5</v>
      </c>
      <c r="E3" s="4" t="s">
        <v>4</v>
      </c>
      <c r="F3" s="4" t="s">
        <v>6</v>
      </c>
      <c r="G3" s="29" t="s">
        <v>75</v>
      </c>
      <c r="J3" s="4" t="s">
        <v>4</v>
      </c>
      <c r="K3" s="4" t="s">
        <v>6</v>
      </c>
      <c r="L3" s="29" t="s">
        <v>75</v>
      </c>
      <c r="O3" s="4" t="s">
        <v>10</v>
      </c>
      <c r="P3" s="4" t="s">
        <v>67</v>
      </c>
      <c r="Q3" s="29" t="s">
        <v>75</v>
      </c>
      <c r="T3" s="4" t="s">
        <v>10</v>
      </c>
      <c r="U3" s="4" t="s">
        <v>67</v>
      </c>
      <c r="V3" s="29" t="s">
        <v>75</v>
      </c>
      <c r="Y3" s="4" t="s">
        <v>7</v>
      </c>
      <c r="Z3" s="4" t="s">
        <v>8</v>
      </c>
      <c r="AA3" s="29" t="s">
        <v>75</v>
      </c>
      <c r="AD3" s="4" t="s">
        <v>7</v>
      </c>
      <c r="AE3" s="4" t="s">
        <v>9</v>
      </c>
      <c r="AF3" s="29" t="s">
        <v>75</v>
      </c>
      <c r="AI3" s="4" t="s">
        <v>10</v>
      </c>
      <c r="AJ3" s="4" t="s">
        <v>11</v>
      </c>
      <c r="AK3" s="4"/>
      <c r="AL3" s="29" t="s">
        <v>75</v>
      </c>
      <c r="AO3" s="4" t="s">
        <v>10</v>
      </c>
      <c r="AP3" s="4" t="s">
        <v>12</v>
      </c>
      <c r="AQ3" s="29" t="s">
        <v>75</v>
      </c>
      <c r="AT3" s="4" t="s">
        <v>4</v>
      </c>
      <c r="AU3" s="4" t="s">
        <v>13</v>
      </c>
      <c r="AV3" s="29" t="s">
        <v>75</v>
      </c>
    </row>
    <row r="4" spans="1:48" ht="24" customHeight="1" thickTop="1"/>
    <row r="5" spans="1:48" ht="24" customHeight="1">
      <c r="A5" s="5" t="s">
        <v>14</v>
      </c>
      <c r="B5" s="6">
        <v>558.38095791136209</v>
      </c>
      <c r="C5" s="6"/>
      <c r="E5" s="21" t="s">
        <v>14</v>
      </c>
      <c r="F5" s="7">
        <v>419</v>
      </c>
      <c r="G5" s="30" t="s">
        <v>78</v>
      </c>
      <c r="H5" s="7"/>
      <c r="I5" s="5"/>
      <c r="J5" s="20" t="s">
        <v>84</v>
      </c>
      <c r="K5" s="7">
        <v>530</v>
      </c>
      <c r="L5" s="30" t="s">
        <v>77</v>
      </c>
      <c r="M5" s="7"/>
      <c r="N5" s="7"/>
      <c r="O5" s="21" t="s">
        <v>51</v>
      </c>
      <c r="P5" s="9">
        <v>750</v>
      </c>
      <c r="Q5" s="30" t="s">
        <v>76</v>
      </c>
      <c r="T5" s="21" t="s">
        <v>14</v>
      </c>
      <c r="U5" s="9">
        <v>612</v>
      </c>
      <c r="V5" s="30" t="s">
        <v>78</v>
      </c>
      <c r="W5" s="5"/>
      <c r="X5" s="5"/>
      <c r="Y5" s="23" t="s">
        <v>16</v>
      </c>
      <c r="Z5" s="8">
        <v>0.65</v>
      </c>
      <c r="AA5" s="30" t="s">
        <v>78</v>
      </c>
      <c r="AB5" s="8"/>
      <c r="AC5" s="5"/>
      <c r="AD5" s="23" t="s">
        <v>16</v>
      </c>
      <c r="AE5" s="9">
        <v>3000</v>
      </c>
      <c r="AF5" s="30" t="s">
        <v>78</v>
      </c>
      <c r="AG5" s="9"/>
      <c r="AH5" s="5"/>
      <c r="AI5" s="21" t="s">
        <v>20</v>
      </c>
      <c r="AJ5" s="10">
        <v>0.9</v>
      </c>
      <c r="AK5" s="11">
        <f t="shared" ref="AK5:AK34" si="0">+AJ5</f>
        <v>0.9</v>
      </c>
      <c r="AL5" s="30" t="s">
        <v>78</v>
      </c>
      <c r="AM5" s="11"/>
      <c r="AN5" s="5"/>
      <c r="AO5" s="21" t="s">
        <v>17</v>
      </c>
      <c r="AP5" s="9">
        <v>73</v>
      </c>
      <c r="AQ5" s="30" t="s">
        <v>78</v>
      </c>
      <c r="AR5" s="9"/>
      <c r="AT5" s="21" t="s">
        <v>15</v>
      </c>
      <c r="AU5" s="6">
        <v>66</v>
      </c>
      <c r="AV5" s="30" t="s">
        <v>77</v>
      </c>
    </row>
    <row r="6" spans="1:48" ht="24" customHeight="1">
      <c r="A6" s="5" t="s">
        <v>18</v>
      </c>
      <c r="B6" s="6">
        <v>571.941080162047</v>
      </c>
      <c r="C6" s="6"/>
      <c r="E6" s="21" t="s">
        <v>20</v>
      </c>
      <c r="F6" s="7">
        <v>472</v>
      </c>
      <c r="G6" s="30" t="s">
        <v>78</v>
      </c>
      <c r="H6" s="6"/>
      <c r="I6" s="5"/>
      <c r="J6" s="21" t="s">
        <v>14</v>
      </c>
      <c r="K6" s="7">
        <v>541</v>
      </c>
      <c r="L6" s="30" t="s">
        <v>78</v>
      </c>
      <c r="M6" s="7"/>
      <c r="N6" s="7"/>
      <c r="O6" s="22" t="s">
        <v>73</v>
      </c>
      <c r="P6" s="9">
        <v>775</v>
      </c>
      <c r="Q6" s="30" t="s">
        <v>77</v>
      </c>
      <c r="T6" s="21" t="s">
        <v>20</v>
      </c>
      <c r="U6" s="9">
        <v>658</v>
      </c>
      <c r="V6" s="30" t="s">
        <v>78</v>
      </c>
      <c r="W6" s="5"/>
      <c r="X6" s="5"/>
      <c r="Y6" s="20" t="s">
        <v>19</v>
      </c>
      <c r="Z6" s="8">
        <v>0.68</v>
      </c>
      <c r="AA6" s="30" t="s">
        <v>77</v>
      </c>
      <c r="AB6" s="13"/>
      <c r="AC6" s="5"/>
      <c r="AD6" s="21" t="s">
        <v>17</v>
      </c>
      <c r="AE6" s="9">
        <v>3098</v>
      </c>
      <c r="AF6" s="30" t="s">
        <v>78</v>
      </c>
      <c r="AG6" s="9"/>
      <c r="AH6" s="5"/>
      <c r="AI6" s="21" t="s">
        <v>14</v>
      </c>
      <c r="AJ6" s="10">
        <v>0.78</v>
      </c>
      <c r="AK6" s="11">
        <f t="shared" si="0"/>
        <v>0.78</v>
      </c>
      <c r="AL6" s="30" t="s">
        <v>78</v>
      </c>
      <c r="AM6" s="11"/>
      <c r="AN6" s="5"/>
      <c r="AO6" s="23" t="s">
        <v>16</v>
      </c>
      <c r="AP6" s="9">
        <v>85</v>
      </c>
      <c r="AQ6" s="30" t="s">
        <v>78</v>
      </c>
      <c r="AR6" s="9"/>
      <c r="AT6" s="21" t="s">
        <v>20</v>
      </c>
      <c r="AU6" s="6">
        <v>70</v>
      </c>
      <c r="AV6" s="30" t="s">
        <v>78</v>
      </c>
    </row>
    <row r="7" spans="1:48" ht="24" customHeight="1">
      <c r="A7" s="5" t="s">
        <v>20</v>
      </c>
      <c r="B7" s="6">
        <v>574.38410709625896</v>
      </c>
      <c r="C7" s="6"/>
      <c r="E7" s="21" t="s">
        <v>21</v>
      </c>
      <c r="F7" s="7">
        <v>490</v>
      </c>
      <c r="G7" s="30" t="s">
        <v>78</v>
      </c>
      <c r="H7" s="6"/>
      <c r="I7" s="5"/>
      <c r="J7" s="21" t="s">
        <v>18</v>
      </c>
      <c r="K7" s="7">
        <v>564</v>
      </c>
      <c r="L7" s="30" t="s">
        <v>79</v>
      </c>
      <c r="M7" s="7"/>
      <c r="N7" s="7"/>
      <c r="O7" s="21" t="s">
        <v>14</v>
      </c>
      <c r="P7" s="9">
        <v>790</v>
      </c>
      <c r="Q7" s="30" t="s">
        <v>78</v>
      </c>
      <c r="T7" s="21" t="s">
        <v>21</v>
      </c>
      <c r="U7" s="9">
        <v>659</v>
      </c>
      <c r="V7" s="30" t="s">
        <v>78</v>
      </c>
      <c r="W7" s="5"/>
      <c r="X7" s="5"/>
      <c r="Y7" s="21" t="s">
        <v>17</v>
      </c>
      <c r="Z7" s="8">
        <v>0.68</v>
      </c>
      <c r="AA7" s="30" t="s">
        <v>78</v>
      </c>
      <c r="AB7" s="8"/>
      <c r="AC7" s="5"/>
      <c r="AD7" s="21" t="s">
        <v>22</v>
      </c>
      <c r="AE7" s="9">
        <v>3274.9078700887799</v>
      </c>
      <c r="AF7" s="30" t="s">
        <v>78</v>
      </c>
      <c r="AG7" s="9"/>
      <c r="AH7" s="5"/>
      <c r="AI7" s="21" t="s">
        <v>21</v>
      </c>
      <c r="AJ7" s="10">
        <v>0.68</v>
      </c>
      <c r="AK7" s="11">
        <f t="shared" si="0"/>
        <v>0.68</v>
      </c>
      <c r="AL7" s="30" t="s">
        <v>78</v>
      </c>
      <c r="AM7" s="11"/>
      <c r="AN7" s="5"/>
      <c r="AO7" s="21" t="s">
        <v>23</v>
      </c>
      <c r="AP7" s="9">
        <v>94</v>
      </c>
      <c r="AQ7" s="30" t="s">
        <v>78</v>
      </c>
      <c r="AR7" s="9"/>
      <c r="AT7" s="21" t="s">
        <v>21</v>
      </c>
      <c r="AU7" s="6">
        <v>71</v>
      </c>
      <c r="AV7" s="30" t="s">
        <v>78</v>
      </c>
    </row>
    <row r="8" spans="1:48" ht="24" customHeight="1">
      <c r="A8" s="12" t="s">
        <v>24</v>
      </c>
      <c r="B8" s="7">
        <v>581</v>
      </c>
      <c r="C8" s="7"/>
      <c r="E8" s="20" t="s">
        <v>84</v>
      </c>
      <c r="F8" s="7">
        <v>530</v>
      </c>
      <c r="G8" s="30" t="s">
        <v>77</v>
      </c>
      <c r="H8" s="6"/>
      <c r="I8" s="5"/>
      <c r="J8" s="21" t="s">
        <v>17</v>
      </c>
      <c r="K8" s="7">
        <v>566</v>
      </c>
      <c r="L8" s="30" t="s">
        <v>78</v>
      </c>
      <c r="M8" s="7"/>
      <c r="N8" s="7"/>
      <c r="O8" s="21" t="s">
        <v>41</v>
      </c>
      <c r="P8" s="9">
        <v>800</v>
      </c>
      <c r="Q8" s="30" t="s">
        <v>78</v>
      </c>
      <c r="T8" s="21" t="s">
        <v>36</v>
      </c>
      <c r="U8" s="9">
        <v>713</v>
      </c>
      <c r="V8" s="30" t="s">
        <v>78</v>
      </c>
      <c r="W8" s="5"/>
      <c r="X8" s="5"/>
      <c r="Y8" s="21" t="s">
        <v>18</v>
      </c>
      <c r="Z8" s="8">
        <v>0.68</v>
      </c>
      <c r="AA8" s="30" t="s">
        <v>83</v>
      </c>
      <c r="AB8" s="8"/>
      <c r="AC8" s="5"/>
      <c r="AD8" s="21" t="s">
        <v>25</v>
      </c>
      <c r="AE8" s="9">
        <v>3330.228404001999</v>
      </c>
      <c r="AF8" s="30" t="s">
        <v>78</v>
      </c>
      <c r="AG8" s="9"/>
      <c r="AH8" s="5"/>
      <c r="AI8" s="21" t="s">
        <v>26</v>
      </c>
      <c r="AJ8" s="10">
        <v>0.5</v>
      </c>
      <c r="AK8" s="11">
        <f t="shared" si="0"/>
        <v>0.5</v>
      </c>
      <c r="AL8" s="30" t="s">
        <v>78</v>
      </c>
      <c r="AM8" s="11"/>
      <c r="AN8" s="5"/>
      <c r="AO8" s="21" t="s">
        <v>27</v>
      </c>
      <c r="AP8" s="14">
        <v>98</v>
      </c>
      <c r="AQ8" s="30" t="s">
        <v>77</v>
      </c>
      <c r="AR8" s="9"/>
      <c r="AT8" s="21" t="s">
        <v>28</v>
      </c>
      <c r="AU8" s="6">
        <v>72</v>
      </c>
      <c r="AV8" s="30" t="s">
        <v>78</v>
      </c>
    </row>
    <row r="9" spans="1:48" ht="24" customHeight="1">
      <c r="A9" s="5" t="s">
        <v>17</v>
      </c>
      <c r="B9" s="6">
        <v>583.2733466010302</v>
      </c>
      <c r="C9" s="6"/>
      <c r="E9" s="21" t="s">
        <v>18</v>
      </c>
      <c r="F9" s="7">
        <v>536</v>
      </c>
      <c r="G9" s="30" t="s">
        <v>79</v>
      </c>
      <c r="H9" s="7"/>
      <c r="I9" s="5"/>
      <c r="J9" s="21" t="s">
        <v>20</v>
      </c>
      <c r="K9" s="7">
        <v>581</v>
      </c>
      <c r="L9" s="30" t="s">
        <v>78</v>
      </c>
      <c r="M9" s="7"/>
      <c r="N9" s="7"/>
      <c r="O9" s="21" t="s">
        <v>21</v>
      </c>
      <c r="P9" s="9">
        <v>806</v>
      </c>
      <c r="Q9" s="30" t="s">
        <v>78</v>
      </c>
      <c r="T9" s="21" t="s">
        <v>41</v>
      </c>
      <c r="U9" s="9">
        <v>740</v>
      </c>
      <c r="V9" s="30" t="s">
        <v>78</v>
      </c>
      <c r="W9" s="5"/>
      <c r="X9" s="5"/>
      <c r="Y9" s="20" t="s">
        <v>15</v>
      </c>
      <c r="Z9" s="8">
        <v>0.68440882728069985</v>
      </c>
      <c r="AA9" s="30" t="s">
        <v>77</v>
      </c>
      <c r="AB9" s="13"/>
      <c r="AC9" s="5"/>
      <c r="AD9" s="21" t="s">
        <v>29</v>
      </c>
      <c r="AE9" s="9">
        <v>3348</v>
      </c>
      <c r="AF9" s="30" t="s">
        <v>78</v>
      </c>
      <c r="AG9" s="9"/>
      <c r="AH9" s="5"/>
      <c r="AI9" s="23" t="s">
        <v>30</v>
      </c>
      <c r="AJ9" s="10">
        <v>0.47</v>
      </c>
      <c r="AK9" s="11">
        <f t="shared" si="0"/>
        <v>0.47</v>
      </c>
      <c r="AL9" s="30" t="s">
        <v>78</v>
      </c>
      <c r="AM9" s="11"/>
      <c r="AN9" s="5"/>
      <c r="AO9" s="21" t="s">
        <v>31</v>
      </c>
      <c r="AP9" s="9">
        <v>99</v>
      </c>
      <c r="AQ9" s="30" t="s">
        <v>78</v>
      </c>
      <c r="AR9" s="9"/>
      <c r="AT9" s="21" t="s">
        <v>32</v>
      </c>
      <c r="AU9" s="6">
        <v>75</v>
      </c>
      <c r="AV9" s="30" t="s">
        <v>78</v>
      </c>
    </row>
    <row r="10" spans="1:48" ht="24" customHeight="1">
      <c r="A10" s="5" t="s">
        <v>33</v>
      </c>
      <c r="B10" s="6">
        <v>587.66768676562992</v>
      </c>
      <c r="C10" s="6"/>
      <c r="E10" s="21" t="s">
        <v>17</v>
      </c>
      <c r="F10" s="7">
        <v>560</v>
      </c>
      <c r="G10" s="30" t="s">
        <v>78</v>
      </c>
      <c r="H10" s="6"/>
      <c r="I10" s="5"/>
      <c r="J10" s="20" t="s">
        <v>24</v>
      </c>
      <c r="K10" s="7">
        <v>585</v>
      </c>
      <c r="L10" s="30" t="s">
        <v>77</v>
      </c>
      <c r="M10" s="7"/>
      <c r="N10" s="7"/>
      <c r="O10" s="21" t="s">
        <v>39</v>
      </c>
      <c r="P10" s="9">
        <v>809</v>
      </c>
      <c r="Q10" s="30" t="s">
        <v>78</v>
      </c>
      <c r="T10" s="21" t="s">
        <v>32</v>
      </c>
      <c r="U10" s="9">
        <v>747</v>
      </c>
      <c r="V10" s="30" t="s">
        <v>78</v>
      </c>
      <c r="W10" s="5"/>
      <c r="X10" s="5"/>
      <c r="Y10" s="21" t="s">
        <v>14</v>
      </c>
      <c r="Z10" s="8">
        <v>0.69986507987698987</v>
      </c>
      <c r="AA10" s="30" t="s">
        <v>78</v>
      </c>
      <c r="AB10" s="13"/>
      <c r="AC10" s="5"/>
      <c r="AD10" s="21" t="s">
        <v>34</v>
      </c>
      <c r="AE10" s="9">
        <v>3362</v>
      </c>
      <c r="AF10" s="30" t="s">
        <v>78</v>
      </c>
      <c r="AG10" s="9"/>
      <c r="AH10" s="5"/>
      <c r="AI10" s="21" t="s">
        <v>28</v>
      </c>
      <c r="AJ10" s="10">
        <v>0.46</v>
      </c>
      <c r="AK10" s="11">
        <f t="shared" si="0"/>
        <v>0.46</v>
      </c>
      <c r="AL10" s="30" t="s">
        <v>78</v>
      </c>
      <c r="AM10" s="11"/>
      <c r="AN10" s="5"/>
      <c r="AO10" s="21" t="s">
        <v>35</v>
      </c>
      <c r="AP10" s="14">
        <v>100</v>
      </c>
      <c r="AQ10" s="30" t="s">
        <v>78</v>
      </c>
      <c r="AR10" s="14"/>
      <c r="AT10" s="21" t="s">
        <v>36</v>
      </c>
      <c r="AU10" s="6">
        <v>75</v>
      </c>
      <c r="AV10" s="30" t="s">
        <v>78</v>
      </c>
    </row>
    <row r="11" spans="1:48" ht="24" customHeight="1">
      <c r="A11" s="12" t="s">
        <v>37</v>
      </c>
      <c r="B11" s="7">
        <v>609</v>
      </c>
      <c r="C11" s="7"/>
      <c r="E11" s="21" t="s">
        <v>32</v>
      </c>
      <c r="F11" s="7">
        <v>565</v>
      </c>
      <c r="G11" s="30" t="s">
        <v>78</v>
      </c>
      <c r="H11" s="6"/>
      <c r="I11" s="5"/>
      <c r="J11" s="21" t="s">
        <v>33</v>
      </c>
      <c r="K11" s="7">
        <v>597</v>
      </c>
      <c r="L11" s="30" t="s">
        <v>78</v>
      </c>
      <c r="M11" s="7"/>
      <c r="N11" s="7"/>
      <c r="O11" s="21" t="s">
        <v>20</v>
      </c>
      <c r="P11" s="9">
        <v>810</v>
      </c>
      <c r="Q11" s="30" t="s">
        <v>78</v>
      </c>
      <c r="T11" s="21" t="s">
        <v>28</v>
      </c>
      <c r="U11" s="9">
        <v>751</v>
      </c>
      <c r="V11" s="30" t="s">
        <v>78</v>
      </c>
      <c r="W11" s="5"/>
      <c r="X11" s="5"/>
      <c r="Y11" s="20" t="s">
        <v>24</v>
      </c>
      <c r="Z11" s="8">
        <v>0.7</v>
      </c>
      <c r="AA11" s="30" t="s">
        <v>77</v>
      </c>
      <c r="AB11" s="8"/>
      <c r="AC11" s="5"/>
      <c r="AD11" s="20" t="s">
        <v>73</v>
      </c>
      <c r="AE11" s="9">
        <v>3398</v>
      </c>
      <c r="AF11" s="30" t="s">
        <v>77</v>
      </c>
      <c r="AG11" s="9"/>
      <c r="AH11" s="5"/>
      <c r="AI11" s="21" t="s">
        <v>32</v>
      </c>
      <c r="AJ11" s="10">
        <v>0.43</v>
      </c>
      <c r="AK11" s="11">
        <f t="shared" si="0"/>
        <v>0.43</v>
      </c>
      <c r="AL11" s="30" t="s">
        <v>78</v>
      </c>
      <c r="AM11" s="11"/>
      <c r="AN11" s="5"/>
      <c r="AO11" s="21" t="s">
        <v>39</v>
      </c>
      <c r="AP11" s="9">
        <v>101</v>
      </c>
      <c r="AQ11" s="30" t="s">
        <v>78</v>
      </c>
      <c r="AR11" s="9"/>
      <c r="AT11" s="21" t="s">
        <v>40</v>
      </c>
      <c r="AU11" s="6">
        <v>77</v>
      </c>
      <c r="AV11" s="30" t="s">
        <v>78</v>
      </c>
    </row>
    <row r="12" spans="1:48" ht="24" customHeight="1">
      <c r="A12" s="5" t="s">
        <v>21</v>
      </c>
      <c r="B12" s="6">
        <v>616.83970044851208</v>
      </c>
      <c r="C12" s="6"/>
      <c r="E12" s="21" t="s">
        <v>33</v>
      </c>
      <c r="F12" s="7">
        <v>574</v>
      </c>
      <c r="G12" s="30" t="s">
        <v>78</v>
      </c>
      <c r="H12" s="7"/>
      <c r="I12" s="5"/>
      <c r="J12" s="21" t="s">
        <v>21</v>
      </c>
      <c r="K12" s="7">
        <v>599</v>
      </c>
      <c r="L12" s="30" t="s">
        <v>78</v>
      </c>
      <c r="M12" s="7"/>
      <c r="N12" s="7"/>
      <c r="O12" s="21" t="s">
        <v>36</v>
      </c>
      <c r="P12" s="9">
        <v>811</v>
      </c>
      <c r="Q12" s="30" t="s">
        <v>78</v>
      </c>
      <c r="T12" s="22" t="s">
        <v>73</v>
      </c>
      <c r="U12" s="9">
        <v>775</v>
      </c>
      <c r="V12" s="30" t="s">
        <v>77</v>
      </c>
      <c r="W12" s="5"/>
      <c r="X12" s="5"/>
      <c r="Y12" s="21" t="s">
        <v>25</v>
      </c>
      <c r="Z12" s="8">
        <v>0.70894694061403596</v>
      </c>
      <c r="AA12" s="30" t="s">
        <v>78</v>
      </c>
      <c r="AB12" s="8"/>
      <c r="AC12" s="5"/>
      <c r="AD12" s="21" t="s">
        <v>38</v>
      </c>
      <c r="AE12" s="9">
        <v>3407</v>
      </c>
      <c r="AF12" s="30" t="s">
        <v>78</v>
      </c>
      <c r="AG12" s="14"/>
      <c r="AH12" s="5"/>
      <c r="AI12" s="21" t="s">
        <v>41</v>
      </c>
      <c r="AJ12" s="10">
        <v>0.36</v>
      </c>
      <c r="AK12" s="11">
        <f t="shared" si="0"/>
        <v>0.36</v>
      </c>
      <c r="AL12" s="30" t="s">
        <v>78</v>
      </c>
      <c r="AM12" s="11"/>
      <c r="AN12" s="21"/>
      <c r="AO12" s="20" t="s">
        <v>15</v>
      </c>
      <c r="AP12" s="14">
        <v>101</v>
      </c>
      <c r="AQ12" s="30" t="s">
        <v>77</v>
      </c>
      <c r="AR12" s="9"/>
      <c r="AT12" s="21" t="s">
        <v>43</v>
      </c>
      <c r="AU12" s="6">
        <v>77</v>
      </c>
      <c r="AV12" s="30" t="s">
        <v>78</v>
      </c>
    </row>
    <row r="13" spans="1:48" ht="24" customHeight="1">
      <c r="A13" s="5" t="s">
        <v>28</v>
      </c>
      <c r="B13" s="6">
        <v>617.51914924430901</v>
      </c>
      <c r="C13" s="6"/>
      <c r="E13" s="21" t="s">
        <v>28</v>
      </c>
      <c r="F13" s="7">
        <v>579</v>
      </c>
      <c r="G13" s="30" t="s">
        <v>78</v>
      </c>
      <c r="H13" s="7"/>
      <c r="I13" s="5"/>
      <c r="J13" s="22" t="s">
        <v>19</v>
      </c>
      <c r="K13" s="7">
        <v>600</v>
      </c>
      <c r="L13" s="30" t="s">
        <v>77</v>
      </c>
      <c r="M13" s="7"/>
      <c r="N13" s="7"/>
      <c r="O13" s="21" t="s">
        <v>32</v>
      </c>
      <c r="P13" s="9">
        <v>822</v>
      </c>
      <c r="Q13" s="30" t="s">
        <v>78</v>
      </c>
      <c r="T13" s="22" t="s">
        <v>18</v>
      </c>
      <c r="U13" s="9">
        <v>791</v>
      </c>
      <c r="V13" s="30" t="s">
        <v>79</v>
      </c>
      <c r="W13" s="5"/>
      <c r="X13" s="5"/>
      <c r="Y13" s="20" t="s">
        <v>33</v>
      </c>
      <c r="Z13" s="8">
        <v>0.71</v>
      </c>
      <c r="AA13" s="30" t="s">
        <v>78</v>
      </c>
      <c r="AB13" s="8"/>
      <c r="AC13" s="5"/>
      <c r="AD13" s="20" t="s">
        <v>27</v>
      </c>
      <c r="AE13" s="14">
        <v>3440</v>
      </c>
      <c r="AF13" s="30" t="s">
        <v>77</v>
      </c>
      <c r="AG13" s="9"/>
      <c r="AH13" s="5"/>
      <c r="AI13" s="21" t="s">
        <v>18</v>
      </c>
      <c r="AJ13" s="10">
        <v>0.31</v>
      </c>
      <c r="AK13" s="11">
        <f t="shared" si="0"/>
        <v>0.31</v>
      </c>
      <c r="AL13" s="30" t="s">
        <v>79</v>
      </c>
      <c r="AM13" s="11"/>
      <c r="AN13" s="5"/>
      <c r="AO13" s="20" t="s">
        <v>19</v>
      </c>
      <c r="AP13" s="14">
        <v>101</v>
      </c>
      <c r="AQ13" s="30" t="s">
        <v>77</v>
      </c>
      <c r="AR13" s="14"/>
      <c r="AT13" s="22" t="s">
        <v>18</v>
      </c>
      <c r="AU13" s="6">
        <v>77</v>
      </c>
      <c r="AV13" s="30" t="s">
        <v>79</v>
      </c>
    </row>
    <row r="14" spans="1:48" ht="24" customHeight="1">
      <c r="A14" s="5" t="s">
        <v>32</v>
      </c>
      <c r="B14" s="6">
        <v>620.68939144761021</v>
      </c>
      <c r="C14" s="6"/>
      <c r="E14" s="20" t="s">
        <v>85</v>
      </c>
      <c r="F14" s="7">
        <v>585</v>
      </c>
      <c r="G14" s="30" t="s">
        <v>77</v>
      </c>
      <c r="H14" s="7"/>
      <c r="I14" s="5"/>
      <c r="J14" s="22" t="s">
        <v>73</v>
      </c>
      <c r="K14" s="7">
        <v>607</v>
      </c>
      <c r="L14" s="30" t="s">
        <v>77</v>
      </c>
      <c r="M14" s="7"/>
      <c r="N14" s="7"/>
      <c r="O14" s="21" t="s">
        <v>17</v>
      </c>
      <c r="P14" s="9">
        <v>827</v>
      </c>
      <c r="Q14" s="30" t="s">
        <v>78</v>
      </c>
      <c r="T14" s="26" t="s">
        <v>42</v>
      </c>
      <c r="U14" s="9">
        <v>798</v>
      </c>
      <c r="V14" s="30" t="s">
        <v>78</v>
      </c>
      <c r="W14" s="5"/>
      <c r="X14" s="5"/>
      <c r="Y14" s="21" t="s">
        <v>20</v>
      </c>
      <c r="Z14" s="8">
        <v>0.72</v>
      </c>
      <c r="AA14" s="30" t="s">
        <v>78</v>
      </c>
      <c r="AB14" s="8"/>
      <c r="AC14" s="5"/>
      <c r="AD14" s="26" t="s">
        <v>42</v>
      </c>
      <c r="AE14" s="9">
        <v>3489</v>
      </c>
      <c r="AF14" s="30" t="s">
        <v>78</v>
      </c>
      <c r="AG14" s="9"/>
      <c r="AH14" s="5"/>
      <c r="AI14" s="26" t="s">
        <v>42</v>
      </c>
      <c r="AJ14" s="10">
        <v>0.19</v>
      </c>
      <c r="AK14" s="11">
        <f t="shared" si="0"/>
        <v>0.19</v>
      </c>
      <c r="AL14" s="30" t="s">
        <v>78</v>
      </c>
      <c r="AM14" s="11"/>
      <c r="AN14" s="5"/>
      <c r="AO14" s="26" t="s">
        <v>42</v>
      </c>
      <c r="AP14" s="14">
        <v>102</v>
      </c>
      <c r="AQ14" s="30" t="s">
        <v>78</v>
      </c>
      <c r="AR14" s="14"/>
      <c r="AT14" s="21" t="s">
        <v>41</v>
      </c>
      <c r="AU14" s="6">
        <v>78</v>
      </c>
      <c r="AV14" s="30" t="s">
        <v>78</v>
      </c>
    </row>
    <row r="15" spans="1:48" ht="24" customHeight="1">
      <c r="A15" s="12" t="s">
        <v>35</v>
      </c>
      <c r="B15" s="7">
        <v>621</v>
      </c>
      <c r="C15" s="7"/>
      <c r="E15" s="22" t="s">
        <v>19</v>
      </c>
      <c r="F15" s="7">
        <v>600</v>
      </c>
      <c r="G15" s="30" t="s">
        <v>77</v>
      </c>
      <c r="H15" s="6"/>
      <c r="I15" s="5"/>
      <c r="J15" s="22" t="s">
        <v>27</v>
      </c>
      <c r="K15" s="7">
        <v>609</v>
      </c>
      <c r="L15" s="30" t="s">
        <v>77</v>
      </c>
      <c r="M15" s="7"/>
      <c r="N15" s="7"/>
      <c r="O15" s="22" t="s">
        <v>18</v>
      </c>
      <c r="P15" s="9">
        <v>832</v>
      </c>
      <c r="Q15" s="30" t="s">
        <v>79</v>
      </c>
      <c r="T15" s="21" t="s">
        <v>39</v>
      </c>
      <c r="U15" s="9">
        <v>799</v>
      </c>
      <c r="V15" s="30" t="s">
        <v>78</v>
      </c>
      <c r="W15" s="5"/>
      <c r="X15" s="5"/>
      <c r="Y15" s="20" t="s">
        <v>35</v>
      </c>
      <c r="Z15" s="8">
        <v>0.72</v>
      </c>
      <c r="AA15" s="30" t="s">
        <v>78</v>
      </c>
      <c r="AB15" s="8"/>
      <c r="AC15" s="5"/>
      <c r="AD15" s="23" t="s">
        <v>45</v>
      </c>
      <c r="AE15" s="9">
        <v>3510</v>
      </c>
      <c r="AF15" s="30" t="s">
        <v>78</v>
      </c>
      <c r="AG15" s="9"/>
      <c r="AH15" s="5"/>
      <c r="AI15" s="21" t="s">
        <v>33</v>
      </c>
      <c r="AJ15" s="10">
        <v>0.18</v>
      </c>
      <c r="AK15" s="11">
        <f t="shared" si="0"/>
        <v>0.18</v>
      </c>
      <c r="AL15" s="30" t="s">
        <v>78</v>
      </c>
      <c r="AM15" s="11"/>
      <c r="AN15" s="5"/>
      <c r="AO15" s="21" t="s">
        <v>44</v>
      </c>
      <c r="AP15" s="9">
        <v>102</v>
      </c>
      <c r="AQ15" s="30" t="s">
        <v>78</v>
      </c>
      <c r="AR15" s="14"/>
      <c r="AT15" s="21" t="s">
        <v>44</v>
      </c>
      <c r="AU15" s="6">
        <v>79</v>
      </c>
      <c r="AV15" s="30" t="s">
        <v>78</v>
      </c>
    </row>
    <row r="16" spans="1:48" ht="24" customHeight="1">
      <c r="A16" s="5" t="s">
        <v>46</v>
      </c>
      <c r="B16" s="6">
        <v>652.160797392321</v>
      </c>
      <c r="C16" s="6"/>
      <c r="E16" s="21" t="s">
        <v>46</v>
      </c>
      <c r="F16" s="7">
        <v>604</v>
      </c>
      <c r="G16" s="30" t="s">
        <v>78</v>
      </c>
      <c r="H16" s="6"/>
      <c r="I16" s="5"/>
      <c r="J16" s="20" t="s">
        <v>35</v>
      </c>
      <c r="K16" s="7">
        <v>612</v>
      </c>
      <c r="L16" s="30" t="s">
        <v>78</v>
      </c>
      <c r="M16" s="7"/>
      <c r="N16" s="7"/>
      <c r="O16" s="21" t="s">
        <v>28</v>
      </c>
      <c r="P16" s="9">
        <v>832</v>
      </c>
      <c r="Q16" s="30" t="s">
        <v>78</v>
      </c>
      <c r="T16" s="22" t="s">
        <v>33</v>
      </c>
      <c r="U16" s="9">
        <v>808</v>
      </c>
      <c r="V16" s="30" t="s">
        <v>78</v>
      </c>
      <c r="W16" s="5"/>
      <c r="X16" s="5"/>
      <c r="Y16" s="20" t="s">
        <v>46</v>
      </c>
      <c r="Z16" s="8">
        <v>0.72</v>
      </c>
      <c r="AA16" s="30" t="s">
        <v>78</v>
      </c>
      <c r="AB16" s="13"/>
      <c r="AC16" s="5"/>
      <c r="AD16" s="20" t="s">
        <v>35</v>
      </c>
      <c r="AE16" s="14">
        <v>3515</v>
      </c>
      <c r="AF16" s="30" t="s">
        <v>78</v>
      </c>
      <c r="AG16" s="14"/>
      <c r="AH16" s="5"/>
      <c r="AI16" s="21" t="s">
        <v>46</v>
      </c>
      <c r="AJ16" s="10">
        <v>0.17</v>
      </c>
      <c r="AK16" s="11">
        <f t="shared" si="0"/>
        <v>0.17</v>
      </c>
      <c r="AL16" s="30" t="s">
        <v>78</v>
      </c>
      <c r="AM16" s="11"/>
      <c r="AN16" s="5"/>
      <c r="AO16" s="23" t="s">
        <v>45</v>
      </c>
      <c r="AP16" s="9">
        <v>104</v>
      </c>
      <c r="AQ16" s="30" t="s">
        <v>78</v>
      </c>
      <c r="AR16" s="14"/>
      <c r="AT16" s="22" t="s">
        <v>73</v>
      </c>
      <c r="AU16" s="6">
        <v>79</v>
      </c>
      <c r="AV16" s="30" t="s">
        <v>77</v>
      </c>
    </row>
    <row r="17" spans="1:48" ht="24" customHeight="1">
      <c r="A17" s="5" t="s">
        <v>23</v>
      </c>
      <c r="B17" s="6">
        <v>655.02427560847298</v>
      </c>
      <c r="C17" s="6"/>
      <c r="E17" s="22" t="s">
        <v>73</v>
      </c>
      <c r="F17" s="7">
        <v>607</v>
      </c>
      <c r="G17" s="30" t="s">
        <v>77</v>
      </c>
      <c r="H17" s="6"/>
      <c r="I17" s="5"/>
      <c r="J17" s="21" t="s">
        <v>32</v>
      </c>
      <c r="K17" s="7">
        <v>624</v>
      </c>
      <c r="L17" s="30" t="s">
        <v>78</v>
      </c>
      <c r="M17" s="7"/>
      <c r="N17" s="7"/>
      <c r="O17" s="26" t="s">
        <v>42</v>
      </c>
      <c r="P17" s="9">
        <v>834</v>
      </c>
      <c r="Q17" s="30" t="s">
        <v>78</v>
      </c>
      <c r="T17" s="21" t="s">
        <v>53</v>
      </c>
      <c r="U17" s="9">
        <v>814</v>
      </c>
      <c r="V17" s="30" t="s">
        <v>78</v>
      </c>
      <c r="W17" s="5"/>
      <c r="X17" s="5"/>
      <c r="Y17" s="20" t="s">
        <v>27</v>
      </c>
      <c r="Z17" s="8">
        <v>0.73</v>
      </c>
      <c r="AA17" s="30" t="s">
        <v>77</v>
      </c>
      <c r="AB17" s="13"/>
      <c r="AC17" s="5"/>
      <c r="AD17" s="21" t="s">
        <v>52</v>
      </c>
      <c r="AE17" s="9">
        <v>3523</v>
      </c>
      <c r="AF17" s="30" t="s">
        <v>78</v>
      </c>
      <c r="AG17" s="9"/>
      <c r="AH17" s="5"/>
      <c r="AI17" s="21" t="s">
        <v>48</v>
      </c>
      <c r="AJ17" s="10">
        <v>0.17</v>
      </c>
      <c r="AK17" s="11">
        <f t="shared" si="0"/>
        <v>0.17</v>
      </c>
      <c r="AL17" s="30" t="s">
        <v>78</v>
      </c>
      <c r="AM17" s="11"/>
      <c r="AN17" s="5"/>
      <c r="AO17" s="21" t="s">
        <v>29</v>
      </c>
      <c r="AP17" s="9">
        <v>104</v>
      </c>
      <c r="AQ17" s="30" t="s">
        <v>78</v>
      </c>
      <c r="AR17" s="9"/>
      <c r="AT17" s="21" t="s">
        <v>47</v>
      </c>
      <c r="AU17" s="6">
        <v>83</v>
      </c>
      <c r="AV17" s="30" t="s">
        <v>78</v>
      </c>
    </row>
    <row r="18" spans="1:48" ht="24" customHeight="1">
      <c r="A18" s="5" t="s">
        <v>31</v>
      </c>
      <c r="B18" s="6">
        <v>656.78616533699903</v>
      </c>
      <c r="C18" s="6"/>
      <c r="D18" s="33"/>
      <c r="E18" s="27" t="s">
        <v>80</v>
      </c>
      <c r="F18" s="7">
        <v>607</v>
      </c>
      <c r="G18" s="30" t="s">
        <v>77</v>
      </c>
      <c r="H18" s="7"/>
      <c r="I18" s="33"/>
      <c r="J18" s="27" t="s">
        <v>80</v>
      </c>
      <c r="K18" s="7">
        <v>630</v>
      </c>
      <c r="L18" s="30" t="s">
        <v>77</v>
      </c>
      <c r="M18" s="7"/>
      <c r="N18" s="7"/>
      <c r="O18" s="21" t="s">
        <v>44</v>
      </c>
      <c r="P18" s="9">
        <v>836</v>
      </c>
      <c r="Q18" s="30" t="s">
        <v>78</v>
      </c>
      <c r="T18" s="21" t="s">
        <v>44</v>
      </c>
      <c r="U18" s="9">
        <v>818</v>
      </c>
      <c r="V18" s="30" t="s">
        <v>78</v>
      </c>
      <c r="W18" s="5"/>
      <c r="X18" s="33"/>
      <c r="Y18" s="27" t="s">
        <v>74</v>
      </c>
      <c r="Z18" s="8">
        <v>0.73</v>
      </c>
      <c r="AA18" s="30" t="s">
        <v>77</v>
      </c>
      <c r="AB18" s="8"/>
      <c r="AC18" s="5"/>
      <c r="AD18" s="21" t="s">
        <v>41</v>
      </c>
      <c r="AE18" s="9">
        <v>3531</v>
      </c>
      <c r="AF18" s="30" t="s">
        <v>78</v>
      </c>
      <c r="AG18" s="9"/>
      <c r="AH18" s="5"/>
      <c r="AI18" s="23" t="s">
        <v>45</v>
      </c>
      <c r="AJ18" s="10">
        <v>0.16</v>
      </c>
      <c r="AK18" s="11">
        <f t="shared" si="0"/>
        <v>0.16</v>
      </c>
      <c r="AL18" s="30" t="s">
        <v>78</v>
      </c>
      <c r="AM18" s="11"/>
      <c r="AN18" s="5"/>
      <c r="AO18" s="21" t="s">
        <v>21</v>
      </c>
      <c r="AP18" s="9">
        <v>105</v>
      </c>
      <c r="AQ18" s="30" t="s">
        <v>78</v>
      </c>
      <c r="AR18" s="9"/>
      <c r="AT18" s="21" t="s">
        <v>48</v>
      </c>
      <c r="AU18" s="6">
        <v>85</v>
      </c>
      <c r="AV18" s="30" t="s">
        <v>78</v>
      </c>
    </row>
    <row r="19" spans="1:48" ht="24" customHeight="1">
      <c r="A19" s="5" t="s">
        <v>29</v>
      </c>
      <c r="B19" s="6">
        <v>697.02746782029885</v>
      </c>
      <c r="C19" s="6"/>
      <c r="E19" s="26" t="s">
        <v>42</v>
      </c>
      <c r="F19" s="7">
        <v>608</v>
      </c>
      <c r="G19" s="30" t="s">
        <v>78</v>
      </c>
      <c r="H19" s="6"/>
      <c r="I19" s="5"/>
      <c r="J19" s="26" t="s">
        <v>42</v>
      </c>
      <c r="K19" s="7">
        <v>635</v>
      </c>
      <c r="L19" s="30" t="s">
        <v>78</v>
      </c>
      <c r="M19" s="7"/>
      <c r="N19" s="7"/>
      <c r="O19" s="22" t="s">
        <v>33</v>
      </c>
      <c r="P19" s="9">
        <v>840</v>
      </c>
      <c r="Q19" s="30" t="s">
        <v>78</v>
      </c>
      <c r="T19" s="21" t="s">
        <v>17</v>
      </c>
      <c r="U19" s="9">
        <v>819</v>
      </c>
      <c r="V19" s="30" t="s">
        <v>78</v>
      </c>
      <c r="W19" s="5"/>
      <c r="X19" s="5"/>
      <c r="Y19" s="21" t="s">
        <v>50</v>
      </c>
      <c r="Z19" s="8">
        <v>0.73278984090678301</v>
      </c>
      <c r="AA19" s="30" t="s">
        <v>78</v>
      </c>
      <c r="AB19" s="8"/>
      <c r="AC19" s="5"/>
      <c r="AD19" s="21" t="s">
        <v>18</v>
      </c>
      <c r="AE19" s="9">
        <v>3538</v>
      </c>
      <c r="AF19" s="30" t="s">
        <v>79</v>
      </c>
      <c r="AG19" s="14"/>
      <c r="AH19" s="5"/>
      <c r="AI19" s="21" t="s">
        <v>49</v>
      </c>
      <c r="AJ19" s="10">
        <v>0.15</v>
      </c>
      <c r="AK19" s="11">
        <f t="shared" si="0"/>
        <v>0.15</v>
      </c>
      <c r="AL19" s="30" t="s">
        <v>78</v>
      </c>
      <c r="AM19" s="11"/>
      <c r="AN19" s="5"/>
      <c r="AO19" s="21" t="s">
        <v>33</v>
      </c>
      <c r="AP19" s="9">
        <v>106</v>
      </c>
      <c r="AQ19" s="30" t="s">
        <v>78</v>
      </c>
      <c r="AR19" s="9"/>
      <c r="AT19" s="26" t="s">
        <v>42</v>
      </c>
      <c r="AU19" s="7">
        <v>85</v>
      </c>
      <c r="AV19" s="30" t="s">
        <v>78</v>
      </c>
    </row>
    <row r="20" spans="1:48" ht="24" customHeight="1">
      <c r="A20" s="5" t="s">
        <v>48</v>
      </c>
      <c r="B20" s="6">
        <v>699.00974413699714</v>
      </c>
      <c r="C20" s="6"/>
      <c r="E20" s="22" t="s">
        <v>27</v>
      </c>
      <c r="F20" s="7">
        <v>609</v>
      </c>
      <c r="G20" s="30" t="s">
        <v>77</v>
      </c>
      <c r="H20" s="6"/>
      <c r="I20" s="5"/>
      <c r="J20" s="21" t="s">
        <v>46</v>
      </c>
      <c r="K20" s="7">
        <v>637</v>
      </c>
      <c r="L20" s="30" t="s">
        <v>78</v>
      </c>
      <c r="M20" s="7"/>
      <c r="N20" s="7"/>
      <c r="O20" s="21" t="s">
        <v>29</v>
      </c>
      <c r="P20" s="9">
        <v>843</v>
      </c>
      <c r="Q20" s="30" t="s">
        <v>78</v>
      </c>
      <c r="T20" s="21" t="s">
        <v>29</v>
      </c>
      <c r="U20" s="9">
        <v>820</v>
      </c>
      <c r="V20" s="30" t="s">
        <v>78</v>
      </c>
      <c r="W20" s="5"/>
      <c r="X20" s="5"/>
      <c r="Y20" s="21" t="s">
        <v>39</v>
      </c>
      <c r="Z20" s="8">
        <v>0.74</v>
      </c>
      <c r="AA20" s="30" t="s">
        <v>78</v>
      </c>
      <c r="AB20" s="8"/>
      <c r="AC20" s="5"/>
      <c r="AD20" s="21" t="s">
        <v>33</v>
      </c>
      <c r="AE20" s="9">
        <v>3589</v>
      </c>
      <c r="AF20" s="30" t="s">
        <v>78</v>
      </c>
      <c r="AG20" s="9"/>
      <c r="AH20" s="5"/>
      <c r="AI20" s="21" t="s">
        <v>29</v>
      </c>
      <c r="AJ20" s="10">
        <v>0.15</v>
      </c>
      <c r="AK20" s="11">
        <f t="shared" si="0"/>
        <v>0.15</v>
      </c>
      <c r="AL20" s="30" t="s">
        <v>78</v>
      </c>
      <c r="AM20" s="11"/>
      <c r="AN20" s="33"/>
      <c r="AO20" s="27" t="s">
        <v>74</v>
      </c>
      <c r="AP20" s="9">
        <v>107</v>
      </c>
      <c r="AQ20" s="30" t="s">
        <v>77</v>
      </c>
      <c r="AR20" s="9"/>
      <c r="AT20" s="22" t="s">
        <v>19</v>
      </c>
      <c r="AU20" s="7">
        <v>87</v>
      </c>
      <c r="AV20" s="30" t="s">
        <v>77</v>
      </c>
    </row>
    <row r="21" spans="1:48" ht="24" customHeight="1">
      <c r="A21" s="5" t="s">
        <v>41</v>
      </c>
      <c r="B21" s="6">
        <v>717.91559320499698</v>
      </c>
      <c r="C21" s="6"/>
      <c r="E21" s="20" t="s">
        <v>35</v>
      </c>
      <c r="F21" s="7">
        <v>612</v>
      </c>
      <c r="G21" s="30" t="s">
        <v>77</v>
      </c>
      <c r="H21" s="6"/>
      <c r="I21" s="33"/>
      <c r="J21" s="27" t="s">
        <v>82</v>
      </c>
      <c r="K21" s="7">
        <v>640</v>
      </c>
      <c r="L21" s="30" t="s">
        <v>77</v>
      </c>
      <c r="M21" s="7"/>
      <c r="N21" s="7"/>
      <c r="O21" s="21" t="s">
        <v>53</v>
      </c>
      <c r="P21" s="9">
        <v>843</v>
      </c>
      <c r="Q21" s="30" t="s">
        <v>78</v>
      </c>
      <c r="T21" s="21" t="s">
        <v>47</v>
      </c>
      <c r="U21" s="9">
        <v>825</v>
      </c>
      <c r="V21" s="30" t="s">
        <v>78</v>
      </c>
      <c r="W21" s="5"/>
      <c r="X21" s="5"/>
      <c r="Y21" s="21" t="s">
        <v>21</v>
      </c>
      <c r="Z21" s="8">
        <v>0.74</v>
      </c>
      <c r="AA21" s="30" t="s">
        <v>78</v>
      </c>
      <c r="AB21" s="8"/>
      <c r="AC21" s="5"/>
      <c r="AD21" s="20" t="s">
        <v>15</v>
      </c>
      <c r="AE21" s="14">
        <v>3622</v>
      </c>
      <c r="AF21" s="30" t="s">
        <v>77</v>
      </c>
      <c r="AG21" s="14"/>
      <c r="AH21" s="5"/>
      <c r="AI21" s="21" t="s">
        <v>51</v>
      </c>
      <c r="AJ21" s="10">
        <v>0.147571736785402</v>
      </c>
      <c r="AK21" s="11">
        <f t="shared" si="0"/>
        <v>0.147571736785402</v>
      </c>
      <c r="AL21" s="30" t="s">
        <v>78</v>
      </c>
      <c r="AM21" s="11"/>
      <c r="AN21" s="5"/>
      <c r="AO21" s="21" t="s">
        <v>18</v>
      </c>
      <c r="AP21" s="9">
        <v>108</v>
      </c>
      <c r="AQ21" s="30" t="s">
        <v>78</v>
      </c>
      <c r="AR21" s="9"/>
      <c r="AT21" s="21" t="s">
        <v>53</v>
      </c>
      <c r="AU21" s="6">
        <v>88</v>
      </c>
      <c r="AV21" s="30" t="s">
        <v>78</v>
      </c>
    </row>
    <row r="22" spans="1:48" ht="24" customHeight="1">
      <c r="A22" s="5" t="s">
        <v>40</v>
      </c>
      <c r="B22" s="6">
        <v>725.93150893056202</v>
      </c>
      <c r="C22" s="6"/>
      <c r="D22" s="33"/>
      <c r="E22" s="27" t="s">
        <v>81</v>
      </c>
      <c r="F22" s="7">
        <v>617</v>
      </c>
      <c r="G22" s="30" t="s">
        <v>77</v>
      </c>
      <c r="H22" s="6"/>
      <c r="I22" s="5"/>
      <c r="J22" s="21" t="s">
        <v>28</v>
      </c>
      <c r="K22" s="7">
        <v>641</v>
      </c>
      <c r="L22" s="30" t="s">
        <v>78</v>
      </c>
      <c r="M22" s="7"/>
      <c r="N22" s="7"/>
      <c r="O22" s="21" t="s">
        <v>23</v>
      </c>
      <c r="P22" s="9">
        <v>849</v>
      </c>
      <c r="Q22" s="30" t="s">
        <v>78</v>
      </c>
      <c r="T22" s="22" t="s">
        <v>55</v>
      </c>
      <c r="U22" s="9">
        <v>830</v>
      </c>
      <c r="V22" s="30" t="s">
        <v>78</v>
      </c>
      <c r="W22" s="5"/>
      <c r="X22" s="5"/>
      <c r="Y22" s="21" t="s">
        <v>44</v>
      </c>
      <c r="Z22" s="8">
        <v>0.75</v>
      </c>
      <c r="AA22" s="30" t="s">
        <v>78</v>
      </c>
      <c r="AB22" s="8"/>
      <c r="AC22" s="5"/>
      <c r="AD22" s="21" t="s">
        <v>56</v>
      </c>
      <c r="AE22" s="9">
        <v>3673</v>
      </c>
      <c r="AF22" s="30" t="s">
        <v>78</v>
      </c>
      <c r="AG22" s="9"/>
      <c r="AH22" s="5"/>
      <c r="AI22" s="20" t="s">
        <v>24</v>
      </c>
      <c r="AJ22" s="15">
        <v>0.14499999999999999</v>
      </c>
      <c r="AK22" s="11">
        <f t="shared" si="0"/>
        <v>0.14499999999999999</v>
      </c>
      <c r="AL22" s="30" t="s">
        <v>77</v>
      </c>
      <c r="AM22" s="11"/>
      <c r="AN22" s="5"/>
      <c r="AO22" s="21" t="s">
        <v>55</v>
      </c>
      <c r="AP22" s="9">
        <v>108</v>
      </c>
      <c r="AQ22" s="30" t="s">
        <v>78</v>
      </c>
      <c r="AR22" s="9"/>
      <c r="AS22" s="33"/>
      <c r="AT22" s="27" t="s">
        <v>74</v>
      </c>
      <c r="AU22" s="6">
        <v>88</v>
      </c>
      <c r="AV22" s="30" t="s">
        <v>77</v>
      </c>
    </row>
    <row r="23" spans="1:48" ht="24" customHeight="1">
      <c r="A23" s="5" t="s">
        <v>53</v>
      </c>
      <c r="B23" s="6">
        <v>726.09157542913113</v>
      </c>
      <c r="C23" s="6"/>
      <c r="E23" s="21" t="s">
        <v>23</v>
      </c>
      <c r="F23" s="7">
        <v>638</v>
      </c>
      <c r="G23" s="30" t="s">
        <v>78</v>
      </c>
      <c r="H23" s="6"/>
      <c r="I23" s="5"/>
      <c r="J23" s="21" t="s">
        <v>23</v>
      </c>
      <c r="K23" s="7">
        <v>649</v>
      </c>
      <c r="L23" s="30" t="s">
        <v>78</v>
      </c>
      <c r="M23" s="7"/>
      <c r="O23" s="21" t="s">
        <v>47</v>
      </c>
      <c r="P23" s="9">
        <v>862</v>
      </c>
      <c r="Q23" s="30" t="s">
        <v>78</v>
      </c>
      <c r="T23" s="21" t="s">
        <v>51</v>
      </c>
      <c r="U23" s="9">
        <v>831</v>
      </c>
      <c r="V23" s="30" t="s">
        <v>78</v>
      </c>
      <c r="W23" s="5"/>
      <c r="Y23" s="23" t="s">
        <v>45</v>
      </c>
      <c r="Z23" s="8">
        <v>0.752</v>
      </c>
      <c r="AA23" s="30" t="s">
        <v>78</v>
      </c>
      <c r="AB23" s="8"/>
      <c r="AC23" s="5"/>
      <c r="AD23" s="21" t="s">
        <v>21</v>
      </c>
      <c r="AE23" s="9">
        <v>3680</v>
      </c>
      <c r="AF23" s="30" t="s">
        <v>78</v>
      </c>
      <c r="AG23" s="9"/>
      <c r="AH23" s="5"/>
      <c r="AI23" s="21" t="s">
        <v>44</v>
      </c>
      <c r="AJ23" s="10">
        <v>0.13</v>
      </c>
      <c r="AK23" s="11">
        <f t="shared" si="0"/>
        <v>0.13</v>
      </c>
      <c r="AL23" s="30" t="s">
        <v>78</v>
      </c>
      <c r="AM23" s="11"/>
      <c r="AN23" s="5"/>
      <c r="AO23" s="21" t="s">
        <v>53</v>
      </c>
      <c r="AP23" s="9">
        <v>110</v>
      </c>
      <c r="AQ23" s="30" t="s">
        <v>78</v>
      </c>
      <c r="AR23" s="9"/>
      <c r="AT23" s="22" t="s">
        <v>24</v>
      </c>
      <c r="AU23" s="6">
        <v>89</v>
      </c>
      <c r="AV23" s="30" t="s">
        <v>77</v>
      </c>
    </row>
    <row r="24" spans="1:48" ht="24" customHeight="1">
      <c r="A24" s="5" t="s">
        <v>51</v>
      </c>
      <c r="B24" s="6">
        <v>748.98088551287719</v>
      </c>
      <c r="C24" s="6"/>
      <c r="E24" s="21" t="s">
        <v>41</v>
      </c>
      <c r="F24" s="7">
        <v>646</v>
      </c>
      <c r="G24" s="30" t="s">
        <v>78</v>
      </c>
      <c r="H24" s="6"/>
      <c r="I24" s="5"/>
      <c r="J24" s="21" t="s">
        <v>31</v>
      </c>
      <c r="K24" s="7">
        <v>656.78616533699903</v>
      </c>
      <c r="L24" s="30" t="s">
        <v>78</v>
      </c>
      <c r="M24" s="7"/>
      <c r="N24" s="33"/>
      <c r="O24" s="27" t="s">
        <v>74</v>
      </c>
      <c r="P24" s="9">
        <v>872</v>
      </c>
      <c r="Q24" s="30" t="s">
        <v>77</v>
      </c>
      <c r="T24" s="21" t="s">
        <v>23</v>
      </c>
      <c r="U24" s="9">
        <v>835</v>
      </c>
      <c r="V24" s="30" t="s">
        <v>78</v>
      </c>
      <c r="W24" s="5"/>
      <c r="X24" s="5"/>
      <c r="Y24" s="20" t="s">
        <v>73</v>
      </c>
      <c r="Z24" s="8">
        <v>0.76</v>
      </c>
      <c r="AA24" s="30" t="s">
        <v>77</v>
      </c>
      <c r="AB24" s="8"/>
      <c r="AC24" s="5"/>
      <c r="AD24" s="21" t="s">
        <v>54</v>
      </c>
      <c r="AE24" s="14">
        <v>3695</v>
      </c>
      <c r="AF24" s="30" t="s">
        <v>78</v>
      </c>
      <c r="AG24" s="9"/>
      <c r="AH24" s="5"/>
      <c r="AI24" s="21" t="s">
        <v>53</v>
      </c>
      <c r="AJ24" s="10">
        <v>0.13</v>
      </c>
      <c r="AK24" s="11">
        <f t="shared" si="0"/>
        <v>0.13</v>
      </c>
      <c r="AL24" s="30" t="s">
        <v>78</v>
      </c>
      <c r="AM24" s="11"/>
      <c r="AN24" s="5"/>
      <c r="AO24" s="21" t="s">
        <v>14</v>
      </c>
      <c r="AP24" s="9">
        <v>113</v>
      </c>
      <c r="AQ24" s="30" t="s">
        <v>78</v>
      </c>
      <c r="AR24" s="9"/>
      <c r="AS24" s="24"/>
      <c r="AT24" s="21" t="s">
        <v>29</v>
      </c>
      <c r="AU24" s="6">
        <v>89</v>
      </c>
      <c r="AV24" s="30" t="s">
        <v>78</v>
      </c>
    </row>
    <row r="25" spans="1:48" ht="24" customHeight="1">
      <c r="E25" s="21" t="s">
        <v>31</v>
      </c>
      <c r="F25" s="7">
        <v>656.78616533699903</v>
      </c>
      <c r="G25" s="30" t="s">
        <v>78</v>
      </c>
      <c r="H25" s="6"/>
      <c r="I25" s="5"/>
      <c r="J25" s="21" t="s">
        <v>29</v>
      </c>
      <c r="K25" s="7">
        <v>679</v>
      </c>
      <c r="L25" s="30" t="s">
        <v>78</v>
      </c>
      <c r="M25" s="7"/>
      <c r="N25" s="7"/>
      <c r="O25" s="22" t="s">
        <v>55</v>
      </c>
      <c r="P25" s="9">
        <v>876</v>
      </c>
      <c r="Q25" s="30" t="s">
        <v>77</v>
      </c>
      <c r="S25" s="33"/>
      <c r="T25" s="27" t="s">
        <v>74</v>
      </c>
      <c r="U25" s="9">
        <v>840</v>
      </c>
      <c r="V25" s="30" t="s">
        <v>77</v>
      </c>
      <c r="W25" s="5"/>
      <c r="X25" s="5"/>
      <c r="Y25" s="26" t="s">
        <v>42</v>
      </c>
      <c r="Z25" s="8">
        <v>0.76</v>
      </c>
      <c r="AA25" s="30" t="s">
        <v>78</v>
      </c>
      <c r="AB25" s="8"/>
      <c r="AC25" s="33"/>
      <c r="AD25" s="27" t="s">
        <v>74</v>
      </c>
      <c r="AE25" s="9">
        <v>3709</v>
      </c>
      <c r="AF25" s="30" t="s">
        <v>77</v>
      </c>
      <c r="AG25" s="9"/>
      <c r="AH25" s="33"/>
      <c r="AI25" s="27" t="s">
        <v>74</v>
      </c>
      <c r="AJ25" s="10">
        <v>0.123</v>
      </c>
      <c r="AK25" s="11">
        <f t="shared" si="0"/>
        <v>0.123</v>
      </c>
      <c r="AL25" s="30" t="s">
        <v>77</v>
      </c>
      <c r="AM25" s="11"/>
      <c r="AN25" s="5"/>
      <c r="AO25" s="21" t="s">
        <v>20</v>
      </c>
      <c r="AP25" s="9">
        <v>114</v>
      </c>
      <c r="AQ25" s="30" t="s">
        <v>78</v>
      </c>
      <c r="AR25" s="9"/>
      <c r="AT25" s="21" t="s">
        <v>23</v>
      </c>
      <c r="AU25" s="6">
        <v>90</v>
      </c>
      <c r="AV25" s="30" t="s">
        <v>78</v>
      </c>
    </row>
    <row r="26" spans="1:48" ht="24" customHeight="1">
      <c r="E26" s="21" t="s">
        <v>29</v>
      </c>
      <c r="F26" s="7">
        <v>661</v>
      </c>
      <c r="G26" s="30" t="s">
        <v>78</v>
      </c>
      <c r="H26" s="6"/>
      <c r="I26" s="5"/>
      <c r="J26" s="21" t="s">
        <v>40</v>
      </c>
      <c r="K26" s="7">
        <v>694</v>
      </c>
      <c r="L26" s="30" t="s">
        <v>78</v>
      </c>
      <c r="M26" s="7"/>
      <c r="N26" s="7"/>
      <c r="O26" s="21" t="s">
        <v>48</v>
      </c>
      <c r="P26" s="9">
        <v>879</v>
      </c>
      <c r="Q26" s="30" t="s">
        <v>78</v>
      </c>
      <c r="T26" s="21" t="s">
        <v>48</v>
      </c>
      <c r="U26" s="9">
        <v>852</v>
      </c>
      <c r="V26" s="30" t="s">
        <v>78</v>
      </c>
      <c r="W26" s="5"/>
      <c r="X26" s="5"/>
      <c r="Y26" s="21" t="s">
        <v>31</v>
      </c>
      <c r="Z26" s="8">
        <v>0.76906097796802997</v>
      </c>
      <c r="AA26" s="30" t="s">
        <v>78</v>
      </c>
      <c r="AB26" s="8"/>
      <c r="AC26" s="5"/>
      <c r="AD26" s="21" t="s">
        <v>57</v>
      </c>
      <c r="AE26" s="9">
        <v>3717</v>
      </c>
      <c r="AF26" s="30" t="s">
        <v>78</v>
      </c>
      <c r="AG26" s="9"/>
      <c r="AH26" s="5"/>
      <c r="AI26" s="21" t="s">
        <v>23</v>
      </c>
      <c r="AJ26" s="10">
        <v>0.11</v>
      </c>
      <c r="AK26" s="11">
        <f t="shared" si="0"/>
        <v>0.11</v>
      </c>
      <c r="AL26" s="30" t="s">
        <v>78</v>
      </c>
      <c r="AM26" s="16"/>
      <c r="AN26" s="5"/>
      <c r="AO26" s="20" t="s">
        <v>73</v>
      </c>
      <c r="AP26" s="9">
        <v>115</v>
      </c>
      <c r="AQ26" s="30" t="s">
        <v>77</v>
      </c>
      <c r="AR26" s="9"/>
      <c r="AT26" s="21" t="s">
        <v>46</v>
      </c>
      <c r="AU26" s="6">
        <v>91</v>
      </c>
      <c r="AV26" s="30" t="s">
        <v>78</v>
      </c>
    </row>
    <row r="27" spans="1:48" ht="24" customHeight="1">
      <c r="E27" s="21" t="s">
        <v>40</v>
      </c>
      <c r="F27" s="7">
        <v>686</v>
      </c>
      <c r="G27" s="30" t="s">
        <v>78</v>
      </c>
      <c r="H27" s="6"/>
      <c r="I27" s="5"/>
      <c r="J27" s="21" t="s">
        <v>41</v>
      </c>
      <c r="K27" s="7">
        <v>695</v>
      </c>
      <c r="L27" s="30" t="s">
        <v>78</v>
      </c>
      <c r="M27" s="7"/>
      <c r="N27" s="5"/>
      <c r="Q27" s="30"/>
      <c r="V27" s="31"/>
      <c r="W27" s="5"/>
      <c r="X27" s="5"/>
      <c r="Y27" s="21" t="s">
        <v>32</v>
      </c>
      <c r="Z27" s="8">
        <v>0.77</v>
      </c>
      <c r="AA27" s="30" t="s">
        <v>78</v>
      </c>
      <c r="AB27" s="8"/>
      <c r="AC27" s="5"/>
      <c r="AD27" s="21" t="s">
        <v>28</v>
      </c>
      <c r="AE27" s="9">
        <v>3815</v>
      </c>
      <c r="AF27" s="30" t="s">
        <v>78</v>
      </c>
      <c r="AG27" s="9"/>
      <c r="AH27" s="5"/>
      <c r="AI27" s="20" t="s">
        <v>35</v>
      </c>
      <c r="AJ27" s="15">
        <v>0.08</v>
      </c>
      <c r="AK27" s="11">
        <f t="shared" si="0"/>
        <v>0.08</v>
      </c>
      <c r="AL27" s="30" t="s">
        <v>78</v>
      </c>
      <c r="AM27" s="11"/>
      <c r="AN27" s="5"/>
      <c r="AO27" s="21" t="s">
        <v>48</v>
      </c>
      <c r="AP27" s="9">
        <v>115</v>
      </c>
      <c r="AQ27" s="30" t="s">
        <v>78</v>
      </c>
      <c r="AR27" s="9"/>
      <c r="AT27" s="21" t="s">
        <v>31</v>
      </c>
      <c r="AU27" s="6">
        <v>92.8</v>
      </c>
      <c r="AV27" s="30" t="s">
        <v>78</v>
      </c>
    </row>
    <row r="28" spans="1:48" ht="24" customHeight="1">
      <c r="E28" s="21" t="s">
        <v>53</v>
      </c>
      <c r="F28" s="7">
        <v>707</v>
      </c>
      <c r="G28" s="30" t="s">
        <v>78</v>
      </c>
      <c r="H28" s="5"/>
      <c r="I28" s="5"/>
      <c r="J28" s="21" t="s">
        <v>53</v>
      </c>
      <c r="K28" s="7">
        <v>731</v>
      </c>
      <c r="L28" s="30" t="s">
        <v>78</v>
      </c>
      <c r="M28" s="7"/>
      <c r="N28" s="5"/>
      <c r="Q28" s="30"/>
      <c r="V28" s="31"/>
      <c r="W28" s="5"/>
      <c r="X28" s="5"/>
      <c r="Y28" s="21" t="s">
        <v>26</v>
      </c>
      <c r="Z28" s="8">
        <v>0.77</v>
      </c>
      <c r="AA28" s="30" t="s">
        <v>78</v>
      </c>
      <c r="AB28" s="8"/>
      <c r="AC28" s="5"/>
      <c r="AD28" s="21" t="s">
        <v>20</v>
      </c>
      <c r="AE28" s="9">
        <v>3817</v>
      </c>
      <c r="AF28" s="30" t="s">
        <v>78</v>
      </c>
      <c r="AG28" s="9"/>
      <c r="AH28" s="5"/>
      <c r="AI28" s="21" t="s">
        <v>59</v>
      </c>
      <c r="AJ28" s="10">
        <v>7.6751648175196599E-2</v>
      </c>
      <c r="AK28" s="11">
        <f t="shared" si="0"/>
        <v>7.6751648175196599E-2</v>
      </c>
      <c r="AL28" s="30" t="s">
        <v>78</v>
      </c>
      <c r="AM28" s="11"/>
      <c r="AN28" s="5"/>
      <c r="AO28" s="21" t="s">
        <v>28</v>
      </c>
      <c r="AP28" s="9">
        <v>116</v>
      </c>
      <c r="AQ28" s="30" t="s">
        <v>78</v>
      </c>
      <c r="AR28" s="9"/>
      <c r="AT28" s="21" t="s">
        <v>17</v>
      </c>
      <c r="AU28" s="6">
        <v>94</v>
      </c>
      <c r="AV28" s="30" t="s">
        <v>78</v>
      </c>
    </row>
    <row r="29" spans="1:48" ht="24" customHeight="1">
      <c r="E29" s="21" t="s">
        <v>48</v>
      </c>
      <c r="F29" s="7">
        <v>713</v>
      </c>
      <c r="G29" s="30" t="s">
        <v>78</v>
      </c>
      <c r="H29" s="5"/>
      <c r="I29" s="5"/>
      <c r="J29" s="21" t="s">
        <v>48</v>
      </c>
      <c r="K29" s="7">
        <v>736</v>
      </c>
      <c r="L29" s="30" t="s">
        <v>78</v>
      </c>
      <c r="M29" s="5"/>
      <c r="N29" s="5"/>
      <c r="Q29" s="31"/>
      <c r="V29" s="31"/>
      <c r="W29" s="5"/>
      <c r="X29" s="5"/>
      <c r="Y29" s="21" t="s">
        <v>23</v>
      </c>
      <c r="Z29" s="8">
        <v>0.79</v>
      </c>
      <c r="AA29" s="30" t="s">
        <v>78</v>
      </c>
      <c r="AB29" s="8"/>
      <c r="AC29" s="5"/>
      <c r="AD29" s="21" t="s">
        <v>58</v>
      </c>
      <c r="AE29" s="9">
        <v>3856</v>
      </c>
      <c r="AF29" s="30" t="s">
        <v>78</v>
      </c>
      <c r="AG29" s="9"/>
      <c r="AH29" s="5"/>
      <c r="AI29" s="22" t="s">
        <v>19</v>
      </c>
      <c r="AJ29" s="17">
        <v>7.4999999999999997E-2</v>
      </c>
      <c r="AK29" s="11">
        <f t="shared" si="0"/>
        <v>7.4999999999999997E-2</v>
      </c>
      <c r="AL29" s="30" t="s">
        <v>77</v>
      </c>
      <c r="AM29" s="11"/>
      <c r="AN29" s="5"/>
      <c r="AO29" s="21" t="s">
        <v>36</v>
      </c>
      <c r="AP29" s="9">
        <v>116</v>
      </c>
      <c r="AQ29" s="30" t="s">
        <v>78</v>
      </c>
      <c r="AR29" s="9"/>
      <c r="AV29" s="31"/>
    </row>
    <row r="30" spans="1:48" ht="24" customHeight="1">
      <c r="E30" s="21" t="s">
        <v>51</v>
      </c>
      <c r="F30" s="7">
        <v>718</v>
      </c>
      <c r="G30" s="30" t="s">
        <v>78</v>
      </c>
      <c r="I30" s="5"/>
      <c r="J30" s="21" t="s">
        <v>51</v>
      </c>
      <c r="K30" s="7">
        <v>750</v>
      </c>
      <c r="L30" s="30" t="s">
        <v>78</v>
      </c>
      <c r="M30" s="5"/>
      <c r="N30" s="5"/>
      <c r="Q30" s="31"/>
      <c r="V30" s="31"/>
      <c r="W30" s="5"/>
      <c r="X30" s="5"/>
      <c r="Y30" s="21" t="s">
        <v>41</v>
      </c>
      <c r="Z30" s="8">
        <v>0.81</v>
      </c>
      <c r="AA30" s="30" t="s">
        <v>78</v>
      </c>
      <c r="AB30" s="8"/>
      <c r="AC30" s="5"/>
      <c r="AD30" s="21" t="s">
        <v>48</v>
      </c>
      <c r="AE30" s="9">
        <v>3865</v>
      </c>
      <c r="AF30" s="30" t="s">
        <v>78</v>
      </c>
      <c r="AG30" s="14"/>
      <c r="AH30" s="5"/>
      <c r="AI30" s="21" t="s">
        <v>60</v>
      </c>
      <c r="AJ30" s="10">
        <v>7.0000000000000007E-2</v>
      </c>
      <c r="AK30" s="11">
        <f t="shared" si="0"/>
        <v>7.0000000000000007E-2</v>
      </c>
      <c r="AL30" s="30" t="s">
        <v>78</v>
      </c>
      <c r="AM30" s="11"/>
      <c r="AN30" s="5"/>
      <c r="AO30" s="21" t="s">
        <v>32</v>
      </c>
      <c r="AP30" s="9">
        <v>122</v>
      </c>
      <c r="AQ30" s="30" t="s">
        <v>78</v>
      </c>
      <c r="AR30" s="9"/>
    </row>
    <row r="31" spans="1:48" ht="24" customHeight="1">
      <c r="K31" s="5"/>
      <c r="L31" s="31"/>
      <c r="M31" s="5"/>
      <c r="N31" s="5"/>
      <c r="Q31" s="31"/>
      <c r="V31" s="31"/>
      <c r="W31" s="5"/>
      <c r="X31" s="5"/>
      <c r="Y31" s="21" t="s">
        <v>29</v>
      </c>
      <c r="Z31" s="8">
        <v>0.82</v>
      </c>
      <c r="AA31" s="30" t="s">
        <v>78</v>
      </c>
      <c r="AB31" s="8"/>
      <c r="AC31" s="5"/>
      <c r="AD31" s="21" t="s">
        <v>14</v>
      </c>
      <c r="AE31" s="9">
        <v>3882</v>
      </c>
      <c r="AF31" s="30" t="s">
        <v>78</v>
      </c>
      <c r="AG31" s="9"/>
      <c r="AH31" s="5"/>
      <c r="AI31" s="20" t="s">
        <v>15</v>
      </c>
      <c r="AJ31" s="15">
        <v>0.05</v>
      </c>
      <c r="AK31" s="11">
        <f t="shared" si="0"/>
        <v>0.05</v>
      </c>
      <c r="AL31" s="30" t="s">
        <v>77</v>
      </c>
      <c r="AM31" s="11"/>
      <c r="AN31" s="5"/>
      <c r="AO31" s="23" t="s">
        <v>30</v>
      </c>
      <c r="AP31" s="9">
        <v>129</v>
      </c>
      <c r="AQ31" s="30" t="s">
        <v>78</v>
      </c>
      <c r="AR31" s="9"/>
    </row>
    <row r="32" spans="1:48" ht="24" customHeight="1">
      <c r="M32" s="5"/>
      <c r="Q32" s="31"/>
      <c r="W32" s="5"/>
      <c r="X32" s="5"/>
      <c r="Y32" s="21" t="s">
        <v>48</v>
      </c>
      <c r="Z32" s="8">
        <v>0.84</v>
      </c>
      <c r="AA32" s="30" t="s">
        <v>78</v>
      </c>
      <c r="AB32" s="8"/>
      <c r="AC32" s="5"/>
      <c r="AD32" s="21" t="s">
        <v>51</v>
      </c>
      <c r="AE32" s="9">
        <v>3884</v>
      </c>
      <c r="AF32" s="30" t="s">
        <v>78</v>
      </c>
      <c r="AG32" s="9"/>
      <c r="AH32" s="5"/>
      <c r="AI32" s="20" t="s">
        <v>27</v>
      </c>
      <c r="AJ32" s="15">
        <v>0.04</v>
      </c>
      <c r="AK32" s="11">
        <f t="shared" si="0"/>
        <v>0.04</v>
      </c>
      <c r="AL32" s="30" t="s">
        <v>77</v>
      </c>
      <c r="AM32" s="11"/>
      <c r="AN32" s="5"/>
      <c r="AO32" s="21" t="s">
        <v>51</v>
      </c>
      <c r="AP32" s="9">
        <v>135</v>
      </c>
      <c r="AQ32" s="30" t="s">
        <v>78</v>
      </c>
      <c r="AR32" s="14"/>
    </row>
    <row r="33" spans="5:44" ht="24" customHeight="1">
      <c r="G33" s="31"/>
      <c r="M33" s="5"/>
      <c r="Q33" s="31"/>
      <c r="X33" s="5"/>
      <c r="Y33" s="21" t="s">
        <v>53</v>
      </c>
      <c r="Z33" s="8">
        <v>0.86</v>
      </c>
      <c r="AA33" s="30" t="s">
        <v>78</v>
      </c>
      <c r="AB33" s="8"/>
      <c r="AC33" s="5"/>
      <c r="AD33" s="22" t="s">
        <v>19</v>
      </c>
      <c r="AE33" s="14">
        <v>3885</v>
      </c>
      <c r="AF33" s="30" t="s">
        <v>77</v>
      </c>
      <c r="AG33" s="9"/>
      <c r="AH33" s="5"/>
      <c r="AI33" s="21" t="s">
        <v>17</v>
      </c>
      <c r="AJ33" s="10">
        <v>0.04</v>
      </c>
      <c r="AK33" s="11">
        <f t="shared" si="0"/>
        <v>0.04</v>
      </c>
      <c r="AL33" s="30" t="s">
        <v>78</v>
      </c>
      <c r="AM33" s="5"/>
      <c r="AN33" s="5"/>
      <c r="AO33" s="21" t="s">
        <v>47</v>
      </c>
      <c r="AP33" s="9">
        <v>136</v>
      </c>
      <c r="AQ33" s="30" t="s">
        <v>78</v>
      </c>
      <c r="AR33" s="9"/>
    </row>
    <row r="34" spans="5:44" ht="24" customHeight="1">
      <c r="X34" s="5"/>
      <c r="Y34" s="21" t="s">
        <v>28</v>
      </c>
      <c r="Z34" s="8">
        <v>0.88</v>
      </c>
      <c r="AA34" s="30" t="s">
        <v>78</v>
      </c>
      <c r="AB34" s="8"/>
      <c r="AC34" s="5"/>
      <c r="AD34" s="20" t="s">
        <v>24</v>
      </c>
      <c r="AE34" s="9">
        <v>3887</v>
      </c>
      <c r="AF34" s="30" t="s">
        <v>77</v>
      </c>
      <c r="AG34" s="9"/>
      <c r="AH34" s="5"/>
      <c r="AI34" s="20" t="s">
        <v>73</v>
      </c>
      <c r="AJ34" s="25">
        <v>0</v>
      </c>
      <c r="AK34" s="11">
        <f t="shared" si="0"/>
        <v>0</v>
      </c>
      <c r="AL34" s="30" t="s">
        <v>77</v>
      </c>
      <c r="AN34" s="21"/>
      <c r="AO34" s="20" t="s">
        <v>24</v>
      </c>
      <c r="AP34" s="14">
        <v>137</v>
      </c>
      <c r="AQ34" s="30" t="s">
        <v>77</v>
      </c>
    </row>
    <row r="35" spans="5:44" ht="24" customHeight="1">
      <c r="E35" s="18" t="s">
        <v>35</v>
      </c>
      <c r="F35" s="5"/>
      <c r="G35" s="31"/>
      <c r="H35" s="5"/>
      <c r="I35" s="5"/>
      <c r="J35" s="18" t="s">
        <v>35</v>
      </c>
      <c r="W35" s="5"/>
      <c r="X35" s="5"/>
      <c r="Y35" s="23" t="s">
        <v>30</v>
      </c>
      <c r="Z35" s="8">
        <v>0.88</v>
      </c>
      <c r="AA35" s="30" t="s">
        <v>78</v>
      </c>
      <c r="AB35" s="8"/>
      <c r="AC35" s="5"/>
      <c r="AD35" s="21" t="s">
        <v>32</v>
      </c>
      <c r="AE35" s="9">
        <v>3905</v>
      </c>
      <c r="AF35" s="30" t="s">
        <v>78</v>
      </c>
      <c r="AJ35" s="25"/>
      <c r="AN35" s="5"/>
      <c r="AO35" s="21" t="s">
        <v>41</v>
      </c>
      <c r="AP35" s="9">
        <v>150</v>
      </c>
      <c r="AQ35" s="30" t="s">
        <v>78</v>
      </c>
    </row>
    <row r="36" spans="5:44" ht="24" customHeight="1">
      <c r="E36" s="19" t="s">
        <v>61</v>
      </c>
      <c r="F36" s="5"/>
      <c r="G36" s="31"/>
      <c r="I36" s="5"/>
      <c r="J36" s="19" t="s">
        <v>61</v>
      </c>
      <c r="Y36" s="21" t="s">
        <v>49</v>
      </c>
      <c r="Z36" s="8">
        <v>0.88</v>
      </c>
      <c r="AA36" s="30" t="s">
        <v>78</v>
      </c>
      <c r="AD36" s="23" t="s">
        <v>30</v>
      </c>
      <c r="AE36" s="9">
        <v>4100</v>
      </c>
      <c r="AF36" s="30" t="s">
        <v>78</v>
      </c>
    </row>
    <row r="37" spans="5:44" ht="24" customHeight="1">
      <c r="E37" s="19" t="s">
        <v>62</v>
      </c>
      <c r="F37" s="5"/>
      <c r="G37" s="31"/>
      <c r="H37" s="5"/>
      <c r="I37" s="5"/>
      <c r="J37" s="19" t="s">
        <v>62</v>
      </c>
      <c r="Y37" s="21" t="s">
        <v>51</v>
      </c>
      <c r="Z37" s="8">
        <v>0.89</v>
      </c>
      <c r="AA37" s="30" t="s">
        <v>78</v>
      </c>
      <c r="AE37" s="9"/>
    </row>
    <row r="38" spans="5:44" ht="24" customHeight="1">
      <c r="E38" s="19" t="s">
        <v>63</v>
      </c>
      <c r="F38" s="5"/>
      <c r="G38" s="31"/>
      <c r="H38" s="5"/>
      <c r="I38" s="5"/>
      <c r="J38" s="19" t="s">
        <v>63</v>
      </c>
    </row>
    <row r="39" spans="5:44" ht="24" customHeight="1">
      <c r="E39" s="19" t="s">
        <v>64</v>
      </c>
      <c r="G39" s="31"/>
      <c r="H39" s="5"/>
      <c r="I39" s="5"/>
      <c r="J39" s="19" t="s">
        <v>64</v>
      </c>
      <c r="X39" s="5"/>
    </row>
    <row r="40" spans="5:44" ht="24" customHeight="1">
      <c r="H40" s="5"/>
    </row>
    <row r="41" spans="5:44" ht="24" customHeight="1">
      <c r="H41" s="5"/>
    </row>
  </sheetData>
  <sortState xmlns:xlrd2="http://schemas.microsoft.com/office/spreadsheetml/2017/richdata2" ref="AS5:AV28">
    <sortCondition ref="AU5:AU28"/>
  </sortState>
  <conditionalFormatting sqref="B5:C22">
    <cfRule type="dataBar" priority="31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{071DB43D-662B-416A-A45A-E7D985544E11}</x14:id>
        </ext>
      </extLst>
    </cfRule>
    <cfRule type="dataBar" priority="31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{E6AB1B0B-519A-440D-816A-49A1382E1FE7}</x14:id>
        </ext>
      </extLst>
    </cfRule>
    <cfRule type="dataBar" priority="3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{DD674BEE-28AF-4041-B8AF-01B09ABA1071}</x14:id>
        </ext>
      </extLst>
    </cfRule>
    <cfRule type="dataBar" priority="31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{6F1F8419-D125-4D8D-A5FF-67A889F7CA3E}</x14:id>
        </ext>
      </extLst>
    </cfRule>
  </conditionalFormatting>
  <conditionalFormatting sqref="B23:C24">
    <cfRule type="dataBar" priority="31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{2D030B5C-C15A-449B-9F58-9F5BFF611B0A}</x14:id>
        </ext>
      </extLst>
    </cfRule>
    <cfRule type="dataBar" priority="31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{D8572C4D-10B0-4903-BE50-AAA7B86EF2A8}</x14:id>
        </ext>
      </extLst>
    </cfRule>
    <cfRule type="dataBar" priority="31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{E9DF437D-9FBC-41B1-9DE7-CD2607D051F4}</x14:id>
        </ext>
      </extLst>
    </cfRule>
    <cfRule type="dataBar" priority="3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{BCC87119-EDA5-41C7-BEB4-921A677C9AB8}</x14:id>
        </ext>
      </extLst>
    </cfRule>
  </conditionalFormatting>
  <conditionalFormatting sqref="E26">
    <cfRule type="dataBar" priority="29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{524BCB79-98A9-4B09-A1D3-93F2FBF5340A}</x14:id>
        </ext>
      </extLst>
    </cfRule>
  </conditionalFormatting>
  <conditionalFormatting sqref="E27">
    <cfRule type="dataBar" priority="285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{4636B2C4-25AC-4ED3-96A8-DF75FAD2BE1C}</x14:id>
        </ext>
      </extLst>
    </cfRule>
  </conditionalFormatting>
  <conditionalFormatting sqref="E30">
    <cfRule type="dataBar" priority="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{622875DD-9E29-4C97-94EE-F0E0DA918995}</x14:id>
        </ext>
      </extLst>
    </cfRule>
  </conditionalFormatting>
  <conditionalFormatting sqref="F5:F25">
    <cfRule type="dataBar" priority="442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{DC0E0AD7-F6C8-4985-9833-F27C4CBF859B}</x14:id>
        </ext>
      </extLst>
    </cfRule>
  </conditionalFormatting>
  <conditionalFormatting sqref="F5:F26">
    <cfRule type="dataBar" priority="441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{662C598B-92C0-4AFF-B937-710FC49F1A5C}</x14:id>
        </ext>
      </extLst>
    </cfRule>
    <cfRule type="dataBar" priority="441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{774F9BDC-AD30-44C8-9278-C30EDD9B3308}</x14:id>
        </ext>
      </extLst>
    </cfRule>
    <cfRule type="dataBar" priority="4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{C4342FE3-9BA9-4492-A322-D586DC7302BA}</x14:id>
        </ext>
      </extLst>
    </cfRule>
    <cfRule type="dataBar" priority="441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{C46A70CF-E23A-48BE-A6E2-0A211DEB526E}</x14:id>
        </ext>
      </extLst>
    </cfRule>
    <cfRule type="dataBar" priority="363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{4FD6E6FA-DDC6-4745-A411-F8608FBA61AA}</x14:id>
        </ext>
      </extLst>
    </cfRule>
    <cfRule type="dataBar" priority="441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{5F9AAC71-4406-4D2C-B8DE-3AC9B3E92AE5}</x14:id>
        </ext>
      </extLst>
    </cfRule>
  </conditionalFormatting>
  <conditionalFormatting sqref="F5:F27">
    <cfRule type="dataBar" priority="362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{B5F3E126-2618-4370-A419-AEB34BB7310A}</x14:id>
        </ext>
      </extLst>
    </cfRule>
    <cfRule type="dataBar" priority="362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{0E50EA92-1C6C-4944-BC3A-2FA470EBFD48}</x14:id>
        </ext>
      </extLst>
    </cfRule>
    <cfRule type="dataBar" priority="362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{2767F624-DFA4-4919-9617-0ABD8114E17C}</x14:id>
        </ext>
      </extLst>
    </cfRule>
    <cfRule type="dataBar" priority="362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{DFECBB22-AA20-4927-ABCD-16CC825132C2}</x14:id>
        </ext>
      </extLst>
    </cfRule>
    <cfRule type="dataBar" priority="35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{52E4F728-6096-47E3-8C66-16BAD8B10143}</x14:id>
        </ext>
      </extLst>
    </cfRule>
    <cfRule type="dataBar" priority="44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{BCDCF59E-0B2D-41E7-A693-8342588CB4A8}</x14:id>
        </ext>
      </extLst>
    </cfRule>
    <cfRule type="dataBar" priority="4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{4D7C7242-ED65-419C-B68D-0E6409F33273}</x14:id>
        </ext>
      </extLst>
    </cfRule>
    <cfRule type="dataBar" priority="4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{EDB56A0E-9587-4B19-B829-0901B556F895}</x14:id>
        </ext>
      </extLst>
    </cfRule>
    <cfRule type="dataBar" priority="44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{B0815147-B80D-4AC1-8BCD-5ACC7E95DCC3}</x14:id>
        </ext>
      </extLst>
    </cfRule>
    <cfRule type="dataBar" priority="44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{C9D3CB87-0766-4EEC-8998-589A100AF2BC}</x14:id>
        </ext>
      </extLst>
    </cfRule>
    <cfRule type="dataBar" priority="4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{AEC886CF-0CDA-4B31-AFA6-4A8AC4A524E7}</x14:id>
        </ext>
      </extLst>
    </cfRule>
    <cfRule type="dataBar" priority="3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{57AEFA2D-E13C-49AC-8DDD-8BA102537F25}</x14:id>
        </ext>
      </extLst>
    </cfRule>
    <cfRule type="dataBar" priority="44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{3720C8A5-2FB2-4C6D-B168-C730B3753DD8}</x14:id>
        </ext>
      </extLst>
    </cfRule>
    <cfRule type="dataBar" priority="44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{345801A7-8265-4AA6-B88E-D658B3F4F349}</x14:id>
        </ext>
      </extLst>
    </cfRule>
    <cfRule type="dataBar" priority="44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{A88A5C9E-451D-4892-AE91-A647951F9C1D}</x14:id>
        </ext>
      </extLst>
    </cfRule>
    <cfRule type="dataBar" priority="44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{C199E1BB-A7C4-4BA4-BA67-4C5B7C3D39D3}</x14:id>
        </ext>
      </extLst>
    </cfRule>
    <cfRule type="dataBar" priority="4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{BD08350E-62EF-4651-BB4F-2D3CB3A881EF}</x14:id>
        </ext>
      </extLst>
    </cfRule>
  </conditionalFormatting>
  <conditionalFormatting sqref="F5:F29">
    <cfRule type="dataBar" priority="44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{8BBDDB08-DFFA-478D-9E71-1C09EA56197D}</x14:id>
        </ext>
      </extLst>
    </cfRule>
  </conditionalFormatting>
  <conditionalFormatting sqref="F5:F30">
    <cfRule type="dataBar" priority="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{A429A15E-D94B-4D18-8785-CD5A4C8B8A54}</x14:id>
        </ext>
      </extLst>
    </cfRule>
  </conditionalFormatting>
  <conditionalFormatting sqref="F28">
    <cfRule type="dataBar" priority="2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{881329D0-2A0F-4240-BBC6-B913D466A386}</x14:id>
        </ext>
      </extLst>
    </cfRule>
    <cfRule type="dataBar" priority="2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{7E518F46-DB7D-4931-BD84-F513CD4AD3A0}</x14:id>
        </ext>
      </extLst>
    </cfRule>
    <cfRule type="dataBar" priority="27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{0400F0D7-B106-4838-AD8C-F69AABD53989}</x14:id>
        </ext>
      </extLst>
    </cfRule>
    <cfRule type="dataBar" priority="2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{2A9E36A2-EDEA-4232-8B1B-8AD9CD9852FD}</x14:id>
        </ext>
      </extLst>
    </cfRule>
    <cfRule type="dataBar" priority="27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{50931EAE-22DB-41CA-B631-95F8B1084CB4}</x14:id>
        </ext>
      </extLst>
    </cfRule>
    <cfRule type="dataBar" priority="27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{0F9084B2-68A8-4727-866F-F66A13B99D8C}</x14:id>
        </ext>
      </extLst>
    </cfRule>
    <cfRule type="dataBar" priority="276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{3D9547FE-62D7-4E8A-B04D-BB1F86AB2386}</x14:id>
        </ext>
      </extLst>
    </cfRule>
    <cfRule type="dataBar" priority="277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{21072A94-B273-434D-B41E-8A04871337F4}</x14:id>
        </ext>
      </extLst>
    </cfRule>
    <cfRule type="dataBar" priority="277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{9991675F-0CF2-4975-881F-044635BD42D9}</x14:id>
        </ext>
      </extLst>
    </cfRule>
    <cfRule type="dataBar" priority="27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{948562D2-CDF7-4051-9BE9-3FB4F830763F}</x14:id>
        </ext>
      </extLst>
    </cfRule>
    <cfRule type="dataBar" priority="27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{51E3578F-7DAF-4409-BF85-AC5C1B6815D1}</x14:id>
        </ext>
      </extLst>
    </cfRule>
    <cfRule type="dataBar" priority="276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{EB69939D-15BD-41CD-9F3B-B162DCA2EFB2}</x14:id>
        </ext>
      </extLst>
    </cfRule>
    <cfRule type="dataBar" priority="276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{12C179D1-4352-4198-A207-7B9961BEED1A}</x14:id>
        </ext>
      </extLst>
    </cfRule>
    <cfRule type="dataBar" priority="276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{E2ACB35D-D8D8-4E7F-BFEE-8453AA898A99}</x14:id>
        </ext>
      </extLst>
    </cfRule>
    <cfRule type="dataBar" priority="27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{9929C260-27C7-420D-A604-B79037686B66}</x14:id>
        </ext>
      </extLst>
    </cfRule>
    <cfRule type="dataBar" priority="276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{05E4D71E-A27A-449D-B13C-C402FB0B04A5}</x14:id>
        </ext>
      </extLst>
    </cfRule>
    <cfRule type="dataBar" priority="2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{2B6AB5A8-F318-496B-B19F-D9B5FF0DB287}</x14:id>
        </ext>
      </extLst>
    </cfRule>
  </conditionalFormatting>
  <conditionalFormatting sqref="F29">
    <cfRule type="dataBar" priority="43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{634C4FCB-05BF-4CE0-AAA3-F6633435E9BD}</x14:id>
        </ext>
      </extLst>
    </cfRule>
    <cfRule type="dataBar" priority="43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{986454FA-3D90-425B-89E6-A3E97B8021BC}</x14:id>
        </ext>
      </extLst>
    </cfRule>
    <cfRule type="dataBar" priority="43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{F69CCD39-E317-4463-B8E2-6BA4703F6CC7}</x14:id>
        </ext>
      </extLst>
    </cfRule>
    <cfRule type="dataBar" priority="432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{1CA5CC0B-B87B-4E4B-9241-FC7C91CB3A6E}</x14:id>
        </ext>
      </extLst>
    </cfRule>
    <cfRule type="dataBar" priority="43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{2BE8699A-3F49-4526-B098-8FE0F6307CB0}</x14:id>
        </ext>
      </extLst>
    </cfRule>
    <cfRule type="dataBar" priority="4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{78328567-138F-4A62-B99A-188B12BC29F1}</x14:id>
        </ext>
      </extLst>
    </cfRule>
    <cfRule type="dataBar" priority="4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{1397F3A0-466B-4DA5-9959-173DAAE6DE2A}</x14:id>
        </ext>
      </extLst>
    </cfRule>
    <cfRule type="dataBar" priority="4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{9A77C729-F822-46CA-A5CA-02B014598370}</x14:id>
        </ext>
      </extLst>
    </cfRule>
    <cfRule type="dataBar" priority="4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{81C20CB2-D7F2-4F6E-A8A8-22E00CF23594}</x14:id>
        </ext>
      </extLst>
    </cfRule>
    <cfRule type="dataBar" priority="43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{96384933-23C0-43FB-8B3D-F20D5F5D5255}</x14:id>
        </ext>
      </extLst>
    </cfRule>
    <cfRule type="dataBar" priority="433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{A78684FB-CC2A-48AA-9ED1-36A0A6222509}</x14:id>
        </ext>
      </extLst>
    </cfRule>
    <cfRule type="dataBar" priority="43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{BD26BC0B-C9E7-44FE-AF44-E916A31B8C48}</x14:id>
        </ext>
      </extLst>
    </cfRule>
    <cfRule type="dataBar" priority="43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{B9A2691D-F036-49C2-BB7E-5ABD6CB25599}</x14:id>
        </ext>
      </extLst>
    </cfRule>
    <cfRule type="dataBar" priority="43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{242A5BA1-35A0-4E5F-AD0E-BB70900B2B59}</x14:id>
        </ext>
      </extLst>
    </cfRule>
    <cfRule type="dataBar" priority="43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{5AEC6374-F60A-4735-A103-F2F3D7AE1952}</x14:id>
        </ext>
      </extLst>
    </cfRule>
    <cfRule type="dataBar" priority="4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{990C0224-9674-4078-9FC6-D9E759A9326D}</x14:id>
        </ext>
      </extLst>
    </cfRule>
    <cfRule type="dataBar" priority="43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{00C789A2-0822-4CFC-9921-B14973E68B05}</x14:id>
        </ext>
      </extLst>
    </cfRule>
  </conditionalFormatting>
  <conditionalFormatting sqref="F30">
    <cfRule type="dataBar" priority="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{914D8A87-9684-4617-AD49-A4E7F2672881}</x14:id>
        </ext>
      </extLst>
    </cfRule>
    <cfRule type="dataBar" priority="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{9FC8C719-6A6A-41D5-9ACC-B7FD615A7F84}</x14:id>
        </ext>
      </extLst>
    </cfRule>
    <cfRule type="dataBar" priority="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{59B455F1-E3EC-4B0A-8690-FBEB84DCCBD9}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{9AEB2910-3598-4336-B964-2EDA7A561A15}</x14:id>
        </ext>
      </extLst>
    </cfRule>
    <cfRule type="dataBar" priority="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{C2190A37-F4BA-4AC4-9E9A-F3D36B974D2F}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{B02AF29C-5D58-4214-A401-B17A7F56662C}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{67DC2B0E-3EDF-4570-8267-9144492BEF2D}</x14:id>
        </ext>
      </extLst>
    </cfRule>
    <cfRule type="dataBar" priority="4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{84508B42-70CA-4D57-9638-B29ABE4A77DD}</x14:id>
        </ext>
      </extLst>
    </cfRule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{0B7316A1-9E73-4EDC-9B81-28F898020E22}</x14:id>
        </ext>
      </extLst>
    </cfRule>
    <cfRule type="dataBar" priority="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{B9B949C3-194E-4590-A833-BC178AF087E3}</x14:id>
        </ext>
      </extLst>
    </cfRule>
    <cfRule type="dataBar" priority="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{4E41FC4B-C218-427A-83F0-C163B5F718C1}</x14:id>
        </ext>
      </extLst>
    </cfRule>
    <cfRule type="dataBar" priority="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{0CDD4CA0-4055-4D02-8BB0-1E42C55AE42F}</x14:id>
        </ext>
      </extLst>
    </cfRule>
    <cfRule type="dataBar" priority="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{DCBB8B27-4046-43D7-81AE-C7729F5608A6}</x14:id>
        </ext>
      </extLst>
    </cfRule>
    <cfRule type="dataBar" priority="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{C92D34D0-7C16-4C4F-9A2B-494880C80B19}</x14:id>
        </ext>
      </extLst>
    </cfRule>
    <cfRule type="dataBar" priority="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{477E8759-C19D-489F-B5D0-674ACB5D8760}</x14:id>
        </ext>
      </extLst>
    </cfRule>
    <cfRule type="dataBar" priority="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{DDD5B760-7E97-4816-9978-98235BDBA133}</x14:id>
        </ext>
      </extLst>
    </cfRule>
    <cfRule type="dataBar" priority="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{30A09476-C2E4-456A-9EB1-5B370C45778F}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{CA16EE7C-78C6-4679-9BF6-1E8CC64159BC}</x14:id>
        </ext>
      </extLst>
    </cfRule>
  </conditionalFormatting>
  <conditionalFormatting sqref="G6">
    <cfRule type="dataBar" priority="236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{3A668DEB-ABB7-4C6A-A23B-FEA9DFDA60C6}</x14:id>
        </ext>
      </extLst>
    </cfRule>
    <cfRule type="dataBar" priority="2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{045A1622-881E-4DF6-88F7-1DC75C2383BA}</x14:id>
        </ext>
      </extLst>
    </cfRule>
    <cfRule type="dataBar" priority="23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{7FEFB977-3678-42F7-A52A-AAB5B4841715}</x14:id>
        </ext>
      </extLst>
    </cfRule>
    <cfRule type="dataBar" priority="23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{DB4D023B-A299-4287-AAE8-6B20C0625594}</x14:id>
        </ext>
      </extLst>
    </cfRule>
    <cfRule type="dataBar" priority="23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{FA0B4FD3-6B91-4B98-BDBA-00F23A15DA20}</x14:id>
        </ext>
      </extLst>
    </cfRule>
    <cfRule type="dataBar" priority="2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{1D086330-EDE6-4CA8-AFEC-D483DBC32831}</x14:id>
        </ext>
      </extLst>
    </cfRule>
    <cfRule type="dataBar" priority="236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{D8BFF886-3858-420B-B1D2-C6F64972FDFA}</x14:id>
        </ext>
      </extLst>
    </cfRule>
    <cfRule type="dataBar" priority="23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{197B9257-44D3-47AC-9322-77A176D79870}</x14:id>
        </ext>
      </extLst>
    </cfRule>
  </conditionalFormatting>
  <conditionalFormatting sqref="G7">
    <cfRule type="dataBar" priority="23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{EA356DC4-AF02-4A67-9565-93730D25F897}</x14:id>
        </ext>
      </extLst>
    </cfRule>
    <cfRule type="dataBar" priority="2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{3690F98F-9B96-4EDA-A41A-313A28928BF9}</x14:id>
        </ext>
      </extLst>
    </cfRule>
    <cfRule type="dataBar" priority="235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{8DC0AA47-2F91-4FC5-A9AA-0370F2376C58}</x14:id>
        </ext>
      </extLst>
    </cfRule>
    <cfRule type="dataBar" priority="235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{316D162B-E6A9-4EBD-9EED-12BE9A1DA0DA}</x14:id>
        </ext>
      </extLst>
    </cfRule>
    <cfRule type="dataBar" priority="23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{9917E294-B76C-4C60-A418-76EC1F75C1DE}</x14:id>
        </ext>
      </extLst>
    </cfRule>
    <cfRule type="dataBar" priority="2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{4EFB28B8-833D-40D7-9536-BCC4060AB9E0}</x14:id>
        </ext>
      </extLst>
    </cfRule>
    <cfRule type="dataBar" priority="235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{FA69EF3E-1243-4B83-AD4B-406E379FD4AD}</x14:id>
        </ext>
      </extLst>
    </cfRule>
    <cfRule type="dataBar" priority="23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{1CB9A9FF-51CA-4254-AE9A-636A3667C606}</x14:id>
        </ext>
      </extLst>
    </cfRule>
  </conditionalFormatting>
  <conditionalFormatting sqref="G10">
    <cfRule type="dataBar" priority="2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{351D0BCC-0889-4FB2-ACC1-9593B7513FC6}</x14:id>
        </ext>
      </extLst>
    </cfRule>
    <cfRule type="dataBar" priority="23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{BB702F8C-B1D6-4276-9749-7C105BE111EB}</x14:id>
        </ext>
      </extLst>
    </cfRule>
    <cfRule type="dataBar" priority="23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{2F45AF24-2FCC-4E77-B3D1-4921288C1903}</x14:id>
        </ext>
      </extLst>
    </cfRule>
    <cfRule type="dataBar" priority="23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{53485874-553D-40AB-B919-6D52FB36E526}</x14:id>
        </ext>
      </extLst>
    </cfRule>
    <cfRule type="dataBar" priority="2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{187B506A-D913-44E6-88A9-378D083571C6}</x14:id>
        </ext>
      </extLst>
    </cfRule>
    <cfRule type="dataBar" priority="234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{8768E32D-78E8-491F-98E4-EFB40E44D6B5}</x14:id>
        </ext>
      </extLst>
    </cfRule>
    <cfRule type="dataBar" priority="23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{3C300676-BB77-43D2-9316-8E4BF7FEA0DA}</x14:id>
        </ext>
      </extLst>
    </cfRule>
    <cfRule type="dataBar" priority="23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{C23C69B8-4E5F-46F0-BE7C-243B2F5B4D6A}</x14:id>
        </ext>
      </extLst>
    </cfRule>
  </conditionalFormatting>
  <conditionalFormatting sqref="G11">
    <cfRule type="dataBar" priority="2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{33133CE6-889B-4EBC-8032-DFC074B73397}</x14:id>
        </ext>
      </extLst>
    </cfRule>
    <cfRule type="dataBar" priority="233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{B90FE431-27A9-46D5-9291-B6055F5E8035}</x14:id>
        </ext>
      </extLst>
    </cfRule>
    <cfRule type="dataBar" priority="23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{CD0D266E-C9BB-421C-8216-2D72ACF6BB2D}</x14:id>
        </ext>
      </extLst>
    </cfRule>
    <cfRule type="dataBar" priority="23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{4677BB44-35B8-4D11-B274-00A86B7651E2}</x14:id>
        </ext>
      </extLst>
    </cfRule>
    <cfRule type="dataBar" priority="2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{DF5067C4-C18A-44AC-91FF-7F3A30913551}</x14:id>
        </ext>
      </extLst>
    </cfRule>
    <cfRule type="dataBar" priority="234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{D7A49E0F-1812-4BE0-9A28-E1C4C8506DFF}</x14:id>
        </ext>
      </extLst>
    </cfRule>
    <cfRule type="dataBar" priority="23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{4F46E2F6-C0A8-43C8-850A-BA130975F0B4}</x14:id>
        </ext>
      </extLst>
    </cfRule>
    <cfRule type="dataBar" priority="23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{90D10251-4AFE-4A40-9CFC-3C2591990CF6}</x14:id>
        </ext>
      </extLst>
    </cfRule>
  </conditionalFormatting>
  <conditionalFormatting sqref="G12">
    <cfRule type="dataBar" priority="2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{8DB6BF0E-0BDE-404A-96E8-FAFE98C44969}</x14:id>
        </ext>
      </extLst>
    </cfRule>
    <cfRule type="dataBar" priority="23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{1D86150E-C5C0-45ED-A8E6-CBE930954058}</x14:id>
        </ext>
      </extLst>
    </cfRule>
    <cfRule type="dataBar" priority="23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{9A48A17D-E9A7-480A-A907-986B959CEBC8}</x14:id>
        </ext>
      </extLst>
    </cfRule>
    <cfRule type="dataBar" priority="23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{FE253B6D-EA92-4207-96E5-E59D6C03D573}</x14:id>
        </ext>
      </extLst>
    </cfRule>
    <cfRule type="dataBar" priority="2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{0472A9CB-A8CF-4BA2-82D9-DC00E12CB25A}</x14:id>
        </ext>
      </extLst>
    </cfRule>
    <cfRule type="dataBar" priority="23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{8EC246FA-D4C3-4C9A-B6E2-62914DE79132}</x14:id>
        </ext>
      </extLst>
    </cfRule>
    <cfRule type="dataBar" priority="23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{A26DF7E3-5521-47AD-8509-505479922760}</x14:id>
        </ext>
      </extLst>
    </cfRule>
    <cfRule type="dataBar" priority="23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{ED425EE8-E514-4ADC-9E84-53726E2E9A44}</x14:id>
        </ext>
      </extLst>
    </cfRule>
  </conditionalFormatting>
  <conditionalFormatting sqref="G13">
    <cfRule type="dataBar" priority="2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{39DC6832-04AF-4A28-8E07-4DBA8798A7C0}</x14:id>
        </ext>
      </extLst>
    </cfRule>
    <cfRule type="dataBar" priority="23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{2B74BD07-02C2-4450-9F40-904B5A452DAA}</x14:id>
        </ext>
      </extLst>
    </cfRule>
    <cfRule type="dataBar" priority="23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{2DA59CF9-5889-46DD-81FC-2C9C0EE6AD65}</x14:id>
        </ext>
      </extLst>
    </cfRule>
    <cfRule type="dataBar" priority="23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{46E37F63-E167-458D-998D-7C5CF45CCA22}</x14:id>
        </ext>
      </extLst>
    </cfRule>
    <cfRule type="dataBar" priority="23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{2B6CBF31-1C83-412F-B0CD-A86729718141}</x14:id>
        </ext>
      </extLst>
    </cfRule>
    <cfRule type="dataBar" priority="2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{8E02EAE7-C044-4791-B440-D3DFDD2CE40F}</x14:id>
        </ext>
      </extLst>
    </cfRule>
    <cfRule type="dataBar" priority="232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{68129655-B4DE-4607-B6FD-31C7AE078B0F}</x14:id>
        </ext>
      </extLst>
    </cfRule>
    <cfRule type="dataBar" priority="232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{45F53E75-0860-440C-90A9-0C77DD973E24}</x14:id>
        </ext>
      </extLst>
    </cfRule>
    <cfRule type="dataBar" priority="232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{2A562490-630C-48F7-AFE1-0BEAF5D3AF93}</x14:id>
        </ext>
      </extLst>
    </cfRule>
    <cfRule type="dataBar" priority="232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{3B3B61CA-4571-466F-9EA6-4478D9237C7D}</x14:id>
        </ext>
      </extLst>
    </cfRule>
    <cfRule type="dataBar" priority="2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{6F91ACBD-5D3A-4E84-910D-77551DB054DD}</x14:id>
        </ext>
      </extLst>
    </cfRule>
    <cfRule type="dataBar" priority="2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{C370FE03-3A8C-4905-A266-8252C78D8E11}</x14:id>
        </ext>
      </extLst>
    </cfRule>
    <cfRule type="dataBar" priority="2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{820F0D10-8931-4896-B59B-9855F6F7A819}</x14:id>
        </ext>
      </extLst>
    </cfRule>
    <cfRule type="dataBar" priority="23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{4DDFF097-8E2E-429B-9481-4535AD3206D2}</x14:id>
        </ext>
      </extLst>
    </cfRule>
    <cfRule type="dataBar" priority="23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{93C90C5F-227D-4EB1-82AB-904341BE876D}</x14:id>
        </ext>
      </extLst>
    </cfRule>
    <cfRule type="dataBar" priority="23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{681CF268-85D6-4E84-BC35-B6EDD72FF916}</x14:id>
        </ext>
      </extLst>
    </cfRule>
    <cfRule type="dataBar" priority="23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{FAD7BA6E-A035-459C-9B92-7F5E92830525}</x14:id>
        </ext>
      </extLst>
    </cfRule>
    <cfRule type="dataBar" priority="23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{9B5CF068-F28F-4857-934F-27BB59F14D76}</x14:id>
        </ext>
      </extLst>
    </cfRule>
    <cfRule type="dataBar" priority="23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{FE8361CE-0C34-4820-84C0-A59C41E31781}</x14:id>
        </ext>
      </extLst>
    </cfRule>
    <cfRule type="dataBar" priority="231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{68884010-8176-4411-9FBE-26C16F34AEFB}</x14:id>
        </ext>
      </extLst>
    </cfRule>
  </conditionalFormatting>
  <conditionalFormatting sqref="G16">
    <cfRule type="dataBar" priority="23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{B934769D-188B-4C56-B032-5F045DEF269E}</x14:id>
        </ext>
      </extLst>
    </cfRule>
    <cfRule type="dataBar" priority="230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{3F9A2115-6D0F-4AE1-ADAE-0748F3894BE7}</x14:id>
        </ext>
      </extLst>
    </cfRule>
    <cfRule type="dataBar" priority="230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{269D1FCC-D107-456A-9A98-F6F24C6EBA01}</x14:id>
        </ext>
      </extLst>
    </cfRule>
    <cfRule type="dataBar" priority="2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{63126B5B-E960-4BC0-9825-6477EA45A27B}</x14:id>
        </ext>
      </extLst>
    </cfRule>
    <cfRule type="dataBar" priority="23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{6AA839B7-2EBD-47F2-89F8-F4D00333FF83}</x14:id>
        </ext>
      </extLst>
    </cfRule>
    <cfRule type="dataBar" priority="23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{6D11CFF2-C439-414D-B88F-1C07A0B72232}</x14:id>
        </ext>
      </extLst>
    </cfRule>
    <cfRule type="dataBar" priority="23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{69931684-D51E-469B-B07A-8B2D5ECDBB98}</x14:id>
        </ext>
      </extLst>
    </cfRule>
    <cfRule type="dataBar" priority="2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{7C950A4A-A2F7-4431-AE22-2871265B7EE0}</x14:id>
        </ext>
      </extLst>
    </cfRule>
  </conditionalFormatting>
  <conditionalFormatting sqref="G18">
    <cfRule type="dataBar" priority="229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{6E83B0E7-BA35-425B-9221-D8CA4B68EF55}</x14:id>
        </ext>
      </extLst>
    </cfRule>
    <cfRule type="dataBar" priority="2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{71D7776C-FCEA-4A40-8D2D-A0EFB3215CB3}</x14:id>
        </ext>
      </extLst>
    </cfRule>
    <cfRule type="dataBar" priority="229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{DE427C76-25BE-45F2-9FCD-8BE5752E369E}</x14:id>
        </ext>
      </extLst>
    </cfRule>
    <cfRule type="dataBar" priority="229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{DFDFB22F-1536-4665-A34A-A3CD7ED1BF14}</x14:id>
        </ext>
      </extLst>
    </cfRule>
    <cfRule type="dataBar" priority="22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{3A9C0C91-CF77-49FE-BF90-F51387C2D7F4}</x14:id>
        </ext>
      </extLst>
    </cfRule>
    <cfRule type="dataBar" priority="229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{D824792D-D1B5-4785-9683-39F7F09EFEAA}</x14:id>
        </ext>
      </extLst>
    </cfRule>
    <cfRule type="dataBar" priority="229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{7CA10ED3-0A9D-4705-9D75-2F59C2000863}</x14:id>
        </ext>
      </extLst>
    </cfRule>
    <cfRule type="dataBar" priority="2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{4C84BA7E-13DB-49F1-A4F7-9A3316FA79C0}</x14:id>
        </ext>
      </extLst>
    </cfRule>
  </conditionalFormatting>
  <conditionalFormatting sqref="G22:G28">
    <cfRule type="dataBar" priority="22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{F7C50CD8-8613-4566-9878-A074A41D255E}</x14:id>
        </ext>
      </extLst>
    </cfRule>
    <cfRule type="dataBar" priority="2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{94DA534D-6FAA-4576-BF9C-D4B6755A3DA5}</x14:id>
        </ext>
      </extLst>
    </cfRule>
    <cfRule type="dataBar" priority="227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{03ACAA51-0284-4A13-B46C-875200F52E9A}</x14:id>
        </ext>
      </extLst>
    </cfRule>
    <cfRule type="dataBar" priority="22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{2128BA30-0031-4117-88A9-45C7807F7FDA}</x14:id>
        </ext>
      </extLst>
    </cfRule>
    <cfRule type="dataBar" priority="22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{7005A5E6-4B28-4EB8-BBB2-3CCCA4E310C4}</x14:id>
        </ext>
      </extLst>
    </cfRule>
    <cfRule type="dataBar" priority="22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{79CEEF92-567E-4042-8DF4-CD95FA5BACDD}</x14:id>
        </ext>
      </extLst>
    </cfRule>
    <cfRule type="dataBar" priority="22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{281344A2-1F93-429E-A306-A98AC6056CCB}</x14:id>
        </ext>
      </extLst>
    </cfRule>
    <cfRule type="dataBar" priority="22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{422A0019-2D91-42EB-9648-FE3C26C453A7}</x14:id>
        </ext>
      </extLst>
    </cfRule>
    <cfRule type="dataBar" priority="2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{D9836F36-FDB3-4E05-A622-6FA5701ED822}</x14:id>
        </ext>
      </extLst>
    </cfRule>
    <cfRule type="dataBar" priority="22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{440F4E0A-A500-42F6-BEC8-B1F8031E02C5}</x14:id>
        </ext>
      </extLst>
    </cfRule>
    <cfRule type="dataBar" priority="22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{A5FB9DE0-D111-4442-B2D4-B1D1E0DC4526}</x14:id>
        </ext>
      </extLst>
    </cfRule>
    <cfRule type="dataBar" priority="225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{756FDB99-90CB-4630-9347-134CF3813BE3}</x14:id>
        </ext>
      </extLst>
    </cfRule>
    <cfRule type="dataBar" priority="2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{124E555A-6189-4F11-BE68-6961913EC3A3}</x14:id>
        </ext>
      </extLst>
    </cfRule>
    <cfRule type="dataBar" priority="22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{E1F7EEFB-F52B-4309-8D9B-F23B4F83074B}</x14:id>
        </ext>
      </extLst>
    </cfRule>
    <cfRule type="dataBar" priority="22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{99BDADD1-16F7-4A84-BF60-48D5B5A33F2C}</x14:id>
        </ext>
      </extLst>
    </cfRule>
    <cfRule type="dataBar" priority="2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{46188E53-B44C-41A7-BCE1-EA7CABCA363C}</x14:id>
        </ext>
      </extLst>
    </cfRule>
    <cfRule type="dataBar" priority="22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{F2F97A85-8A8C-46D3-80E9-46B2B00974F6}</x14:id>
        </ext>
      </extLst>
    </cfRule>
    <cfRule type="dataBar" priority="22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{B460FF8C-EEC1-42BE-950E-D9045D4523F2}</x14:id>
        </ext>
      </extLst>
    </cfRule>
    <cfRule type="dataBar" priority="22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{21374115-D8DA-44B2-B774-BE1F7A1BE84D}</x14:id>
        </ext>
      </extLst>
    </cfRule>
    <cfRule type="dataBar" priority="22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{AD5D816D-DF7A-413C-8F1B-70BAE5BC3780}</x14:id>
        </ext>
      </extLst>
    </cfRule>
    <cfRule type="dataBar" priority="2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{0E433B8D-6D24-4B26-B6EE-B313411C5489}</x14:id>
        </ext>
      </extLst>
    </cfRule>
    <cfRule type="dataBar" priority="22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{FC023B1F-CB7A-46DD-A1FC-8AF3B91AC30E}</x14:id>
        </ext>
      </extLst>
    </cfRule>
    <cfRule type="dataBar" priority="2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{A5885591-B479-43CF-85FC-8DE2868E85D8}</x14:id>
        </ext>
      </extLst>
    </cfRule>
    <cfRule type="dataBar" priority="2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{794A6E23-A800-4F0A-99E0-DC6DDDF257DB}</x14:id>
        </ext>
      </extLst>
    </cfRule>
    <cfRule type="dataBar" priority="22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{F6679492-D3EE-4D2E-9925-9A54D91C950A}</x14:id>
        </ext>
      </extLst>
    </cfRule>
    <cfRule type="dataBar" priority="22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{4E4C799C-5ED4-4E8F-BE13-E652E1AC2385}</x14:id>
        </ext>
      </extLst>
    </cfRule>
    <cfRule type="dataBar" priority="2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{BA8FCEA7-56A7-404A-87C7-98A61225C75A}</x14:id>
        </ext>
      </extLst>
    </cfRule>
    <cfRule type="dataBar" priority="22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{408ABB7F-328E-467F-9B32-D7C8304855D1}</x14:id>
        </ext>
      </extLst>
    </cfRule>
    <cfRule type="dataBar" priority="22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{A2CA25AF-8B04-4803-838B-97D1905F2FE7}</x14:id>
        </ext>
      </extLst>
    </cfRule>
    <cfRule type="dataBar" priority="22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{54315C7D-B284-493A-A8B2-2F4718A171C3}</x14:id>
        </ext>
      </extLst>
    </cfRule>
  </conditionalFormatting>
  <conditionalFormatting sqref="G29">
    <cfRule type="dataBar" priority="435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{B762D159-6319-4E9C-965C-20C78055CAC3}</x14:id>
        </ext>
      </extLst>
    </cfRule>
    <cfRule type="dataBar" priority="435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{BFACCB02-55A1-4A3D-85B6-2D0910FA07DE}</x14:id>
        </ext>
      </extLst>
    </cfRule>
    <cfRule type="dataBar" priority="4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{5C00CFDA-921D-4329-8932-B008FAFB286B}</x14:id>
        </ext>
      </extLst>
    </cfRule>
    <cfRule type="dataBar" priority="43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{48F0D61A-B79D-4DB9-BF6A-61FEC20AA48D}</x14:id>
        </ext>
      </extLst>
    </cfRule>
    <cfRule type="dataBar" priority="43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{5232AE08-831D-4852-ACF4-B08EA4AE43C7}</x14:id>
        </ext>
      </extLst>
    </cfRule>
    <cfRule type="dataBar" priority="435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{70F83CAB-7A72-4118-9238-73876999AA0F}</x14:id>
        </ext>
      </extLst>
    </cfRule>
    <cfRule type="dataBar" priority="43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{52028475-5E73-4C45-B390-882E01668FAC}</x14:id>
        </ext>
      </extLst>
    </cfRule>
    <cfRule type="dataBar" priority="4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{2B2B8D2D-EDB3-4E08-B151-EF3F7C89525F}</x14:id>
        </ext>
      </extLst>
    </cfRule>
    <cfRule type="dataBar" priority="4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{42C3C685-58B9-4543-B2D7-259F3B1881E6}</x14:id>
        </ext>
      </extLst>
    </cfRule>
    <cfRule type="dataBar" priority="43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{61883D12-28DB-4401-BCF3-B3C7CE7DB152}</x14:id>
        </ext>
      </extLst>
    </cfRule>
    <cfRule type="dataBar" priority="43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{781F77BE-69E7-4575-A0B4-BA35576AA5D5}</x14:id>
        </ext>
      </extLst>
    </cfRule>
    <cfRule type="dataBar" priority="4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{FA32AE7F-2E28-41D3-9B88-A205E608AE37}</x14:id>
        </ext>
      </extLst>
    </cfRule>
    <cfRule type="dataBar" priority="43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{F64E9C74-57D4-4857-AA3C-4F4ADAE6C8EF}</x14:id>
        </ext>
      </extLst>
    </cfRule>
  </conditionalFormatting>
  <conditionalFormatting sqref="G30">
    <cfRule type="dataBar" priority="6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{BCD0AF80-5CDB-42B5-8BE9-0A0C11117FB5}</x14:id>
        </ext>
      </extLst>
    </cfRule>
    <cfRule type="dataBar" priority="6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{D4B9B809-8712-4EE7-A281-67DC4E0018F9}</x14:id>
        </ext>
      </extLst>
    </cfRule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{A7E6DC14-81BB-495B-B3A0-6A44BA17A31D}</x14:id>
        </ext>
      </extLst>
    </cfRule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{8F6FC05F-7A4D-42D5-A2A4-3D235626275F}</x14:id>
        </ext>
      </extLst>
    </cfRule>
    <cfRule type="dataBar" priority="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{9E766FB9-7AED-4612-85C2-FE7B550C0A52}</x14:id>
        </ext>
      </extLst>
    </cfRule>
    <cfRule type="dataBar" priority="6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{FC8D30DE-2AD1-4A1C-B3D6-FBF3FE1456B9}</x14:id>
        </ext>
      </extLst>
    </cfRule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{49B8E095-2F48-4051-B1AB-35564B43B9EE}</x14:id>
        </ext>
      </extLst>
    </cfRule>
    <cfRule type="dataBar" priority="6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{364DA499-6BCB-4DEE-BA80-CCCF680E8DE2}</x14:id>
        </ext>
      </extLst>
    </cfRule>
    <cfRule type="dataBar" priority="6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{F2FC4BF3-5E2D-4602-BE62-5849B5FC4328}</x14:id>
        </ext>
      </extLst>
    </cfRule>
    <cfRule type="dataBar" priority="6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{FBB7F16B-5668-4CE3-AB3A-A6AED356AF5B}</x14:id>
        </ext>
      </extLst>
    </cfRule>
    <cfRule type="dataBar" priority="7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{DB1AA151-46C3-4C39-A4BB-054397A05603}</x14:id>
        </ext>
      </extLst>
    </cfRule>
    <cfRule type="dataBar" priority="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{D4BF8545-BC89-42D5-B76E-9434DA30B69B}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{8BAD8781-572A-47B9-841E-4F47E614445D}</x14:id>
        </ext>
      </extLst>
    </cfRule>
  </conditionalFormatting>
  <conditionalFormatting sqref="G5:H5">
    <cfRule type="dataBar" priority="31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{73149531-0FDF-42F9-9F24-47A61B0219AF}</x14:id>
        </ext>
      </extLst>
    </cfRule>
    <cfRule type="dataBar" priority="3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{E902F4EC-12DF-4EA0-A266-83655AB26D5A}</x14:id>
        </ext>
      </extLst>
    </cfRule>
    <cfRule type="dataBar" priority="31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{7CEDBA32-CED5-42C9-ABCE-6DA12EFCECC2}</x14:id>
        </ext>
      </extLst>
    </cfRule>
    <cfRule type="dataBar" priority="31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{2066FA59-E9C2-4D00-85D3-166F18704CAD}</x14:id>
        </ext>
      </extLst>
    </cfRule>
    <cfRule type="dataBar" priority="31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{9C089897-8CB3-4F6B-A7E3-5027D9FF0B95}</x14:id>
        </ext>
      </extLst>
    </cfRule>
    <cfRule type="dataBar" priority="3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{FF42AB5C-0422-423C-9E2F-8051069BA4A8}</x14:id>
        </ext>
      </extLst>
    </cfRule>
    <cfRule type="dataBar" priority="316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{6B5552EB-BA51-4187-A4CA-18A95289AB0A}</x14:id>
        </ext>
      </extLst>
    </cfRule>
    <cfRule type="dataBar" priority="316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{D89C4189-6AED-4B21-9F4F-52068BC6362F}</x14:id>
        </ext>
      </extLst>
    </cfRule>
  </conditionalFormatting>
  <conditionalFormatting sqref="G5:H12 G14:H21 H22:H27">
    <cfRule type="dataBar" priority="32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{3FEC4CBD-E1DE-44EA-B550-ADE2D512F5CD}</x14:id>
        </ext>
      </extLst>
    </cfRule>
    <cfRule type="dataBar" priority="3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{24FD5EF8-5447-454E-92AC-0B03AF1D3BEF}</x14:id>
        </ext>
      </extLst>
    </cfRule>
    <cfRule type="dataBar" priority="32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{0970D139-D19D-47CA-8DE9-22EF664B4C2D}</x14:id>
        </ext>
      </extLst>
    </cfRule>
    <cfRule type="dataBar" priority="32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{7D663C83-252D-4015-9468-5DFE02299DD1}</x14:id>
        </ext>
      </extLst>
    </cfRule>
    <cfRule type="dataBar" priority="32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{66378AFF-0251-4097-B84C-1FA517EBC6F2}</x14:id>
        </ext>
      </extLst>
    </cfRule>
    <cfRule type="dataBar" priority="32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{D417CE30-88BC-4DEA-A453-BDA391812376}</x14:id>
        </ext>
      </extLst>
    </cfRule>
    <cfRule type="dataBar" priority="32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{557C5C91-ACCE-4FC1-8B6F-8BB667F8D8E3}</x14:id>
        </ext>
      </extLst>
    </cfRule>
    <cfRule type="dataBar" priority="3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{3DD8146B-265A-4C12-A6AB-63E93AE01308}</x14:id>
        </ext>
      </extLst>
    </cfRule>
    <cfRule type="dataBar" priority="32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{756FCED7-E0E5-4BC9-BBE0-9D3E847A442C}</x14:id>
        </ext>
      </extLst>
    </cfRule>
    <cfRule type="dataBar" priority="3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{A2647A55-312A-4C19-BA61-557AF970EC6E}</x14:id>
        </ext>
      </extLst>
    </cfRule>
    <cfRule type="dataBar" priority="3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{B284B5C0-660C-4182-83A7-D8599DF7DDFC}</x14:id>
        </ext>
      </extLst>
    </cfRule>
    <cfRule type="dataBar" priority="32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{5305360E-6081-4CF4-BA5B-E9AD829AFF3B}</x14:id>
        </ext>
      </extLst>
    </cfRule>
  </conditionalFormatting>
  <conditionalFormatting sqref="G5:H21 H22:H27 E5:E24">
    <cfRule type="dataBar" priority="44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{972A303F-FE8A-47D7-95F1-1C3C8DB245F9}</x14:id>
        </ext>
      </extLst>
    </cfRule>
  </conditionalFormatting>
  <conditionalFormatting sqref="G12:H12">
    <cfRule type="dataBar" priority="31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{28834C7E-52E0-4553-BEB7-7B709BEF0B28}</x14:id>
        </ext>
      </extLst>
    </cfRule>
    <cfRule type="dataBar" priority="31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{B5444187-060A-4EA6-AF6E-4C4CF977B436}</x14:id>
        </ext>
      </extLst>
    </cfRule>
    <cfRule type="dataBar" priority="31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{BB23D2F0-4D1F-41B7-93EE-90EC61769B57}</x14:id>
        </ext>
      </extLst>
    </cfRule>
    <cfRule type="dataBar" priority="31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{99D41540-0F53-41AB-BE94-00AA9645FD02}</x14:id>
        </ext>
      </extLst>
    </cfRule>
    <cfRule type="dataBar" priority="31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{2ADFC626-32FF-4952-9EFA-F2FEFA6CF8A9}</x14:id>
        </ext>
      </extLst>
    </cfRule>
    <cfRule type="dataBar" priority="31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{B1B62DED-CA06-4566-AFDA-78B7ECD0734C}</x14:id>
        </ext>
      </extLst>
    </cfRule>
    <cfRule type="dataBar" priority="31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{DC55A5A1-FFA8-4D2C-B421-16F57AB71C3E}</x14:id>
        </ext>
      </extLst>
    </cfRule>
    <cfRule type="dataBar" priority="31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{9D98932A-68C4-4C31-9D68-CB8F53F2DBE8}</x14:id>
        </ext>
      </extLst>
    </cfRule>
    <cfRule type="dataBar" priority="3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{297D6234-37E9-44EE-8D79-2AA42246CB68}</x14:id>
        </ext>
      </extLst>
    </cfRule>
    <cfRule type="dataBar" priority="31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{2DD4DA17-9903-4029-B3F6-8DF58CE1CE9B}</x14:id>
        </ext>
      </extLst>
    </cfRule>
    <cfRule type="dataBar" priority="3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{87BF84A8-E872-414C-8B62-77B6FCDD2937}</x14:id>
        </ext>
      </extLst>
    </cfRule>
  </conditionalFormatting>
  <conditionalFormatting sqref="G13:H13">
    <cfRule type="dataBar" priority="30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{CA074648-CB08-4821-83D9-6898A95F7EE5}</x14:id>
        </ext>
      </extLst>
    </cfRule>
    <cfRule type="dataBar" priority="30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{8DE078CB-A28D-4D6B-8C6F-B66031A0D1AD}</x14:id>
        </ext>
      </extLst>
    </cfRule>
    <cfRule type="dataBar" priority="306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{6DFC449E-5CE6-4013-9C35-85F1E75789D4}</x14:id>
        </ext>
      </extLst>
    </cfRule>
    <cfRule type="dataBar" priority="305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{56FD07A4-4310-4D0D-A6BC-9647468AA233}</x14:id>
        </ext>
      </extLst>
    </cfRule>
    <cfRule type="dataBar" priority="305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{338F7E96-B684-4E12-A95F-589B8108EA55}</x14:id>
        </ext>
      </extLst>
    </cfRule>
    <cfRule type="dataBar" priority="30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{1773905F-F63F-4623-8AD5-8F4F8D053D75}</x14:id>
        </ext>
      </extLst>
    </cfRule>
    <cfRule type="dataBar" priority="30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{63824B29-D963-468E-8CD9-11CE385765DB}</x14:id>
        </ext>
      </extLst>
    </cfRule>
    <cfRule type="dataBar" priority="30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{F24AA37F-4EDF-424C-ACF9-2E86B085251E}</x14:id>
        </ext>
      </extLst>
    </cfRule>
    <cfRule type="dataBar" priority="3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{15030661-7DB4-4CB1-9A64-7D99F38CE17C}</x14:id>
        </ext>
      </extLst>
    </cfRule>
    <cfRule type="dataBar" priority="305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{E95838A7-F359-4E03-8925-CCF103BC8B08}</x14:id>
        </ext>
      </extLst>
    </cfRule>
    <cfRule type="dataBar" priority="30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{3CF76D14-0D3A-4E03-887B-9564197B5CE2}</x14:id>
        </ext>
      </extLst>
    </cfRule>
    <cfRule type="dataBar" priority="30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{C08FB42E-25AB-446E-910D-6441D5A867A1}</x14:id>
        </ext>
      </extLst>
    </cfRule>
    <cfRule type="dataBar" priority="305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{0E28E996-AE4F-4458-8B00-5B0498077304}</x14:id>
        </ext>
      </extLst>
    </cfRule>
    <cfRule type="dataBar" priority="306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{9B9B97BD-B21B-4133-85D8-F1065679E231}</x14:id>
        </ext>
      </extLst>
    </cfRule>
    <cfRule type="dataBar" priority="306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{4915614D-DADB-4D00-9C8D-6015195A21BD}</x14:id>
        </ext>
      </extLst>
    </cfRule>
    <cfRule type="dataBar" priority="306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{E0F8151F-BC04-413A-930A-5B284E628493}</x14:id>
        </ext>
      </extLst>
    </cfRule>
    <cfRule type="dataBar" priority="306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{A65C3143-8C8B-4735-AFA8-3DD799400A5F}</x14:id>
        </ext>
      </extLst>
    </cfRule>
    <cfRule type="dataBar" priority="307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{5F4F982A-2FE9-4B95-A01B-61C16CA2BA22}</x14:id>
        </ext>
      </extLst>
    </cfRule>
    <cfRule type="dataBar" priority="306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{12FF24F4-B3C0-4430-A2DB-E387A6E78CF5}</x14:id>
        </ext>
      </extLst>
    </cfRule>
    <cfRule type="dataBar" priority="30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{AC56B599-3061-4B83-90E6-3AB9C6560548}</x14:id>
        </ext>
      </extLst>
    </cfRule>
    <cfRule type="dataBar" priority="30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{A3A1C7E5-69DC-4C95-A6FE-A37BF9F55F05}</x14:id>
        </ext>
      </extLst>
    </cfRule>
    <cfRule type="dataBar" priority="30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{26C274E5-9C16-4792-AD41-27B5EE29CBBD}</x14:id>
        </ext>
      </extLst>
    </cfRule>
    <cfRule type="dataBar" priority="30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{FF2C351B-56E4-4863-9296-D6C3C348E315}</x14:id>
        </ext>
      </extLst>
    </cfRule>
  </conditionalFormatting>
  <conditionalFormatting sqref="G14:H14">
    <cfRule type="dataBar" priority="31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{C8109224-EF8B-4A3E-AB3A-EA0B31444D0E}</x14:id>
        </ext>
      </extLst>
    </cfRule>
    <cfRule type="dataBar" priority="31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{262FB437-7F30-4D55-922A-A3E6AACA3870}</x14:id>
        </ext>
      </extLst>
    </cfRule>
    <cfRule type="dataBar" priority="31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{ED736A3D-6020-498C-976A-246291FADE99}</x14:id>
        </ext>
      </extLst>
    </cfRule>
    <cfRule type="dataBar" priority="31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{A65C525C-4F0F-4961-BC2D-66E8FAF0A610}</x14:id>
        </ext>
      </extLst>
    </cfRule>
    <cfRule type="dataBar" priority="31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{F97770AB-7569-4EDF-8DB3-4EE0FD5A6929}</x14:id>
        </ext>
      </extLst>
    </cfRule>
    <cfRule type="dataBar" priority="3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{8CF735AF-656C-4325-866B-6F84A6CF0009}</x14:id>
        </ext>
      </extLst>
    </cfRule>
    <cfRule type="dataBar" priority="31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{14A486C6-3BB6-4B27-870D-7975CAF7923F}</x14:id>
        </ext>
      </extLst>
    </cfRule>
    <cfRule type="dataBar" priority="31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{D0411CEC-ECF7-4315-A002-E21953A9DA5A}</x14:id>
        </ext>
      </extLst>
    </cfRule>
    <cfRule type="dataBar" priority="31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{4AA21B6A-AA06-4EF0-9AFF-EAB0FC605E99}</x14:id>
        </ext>
      </extLst>
    </cfRule>
    <cfRule type="dataBar" priority="3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{DEB27541-2E16-4A91-8027-ADBA1A468B96}</x14:id>
        </ext>
      </extLst>
    </cfRule>
  </conditionalFormatting>
  <conditionalFormatting sqref="G18:H18">
    <cfRule type="dataBar" priority="31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{B6ADFCA4-68CC-4609-8505-8232BC8364C5}</x14:id>
        </ext>
      </extLst>
    </cfRule>
    <cfRule type="dataBar" priority="31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{54AAA92F-B3EA-4171-A848-F12B8ED8AC5E}</x14:id>
        </ext>
      </extLst>
    </cfRule>
    <cfRule type="dataBar" priority="314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{3BC7D74F-4AB4-4921-B1E6-47D6C3AB7764}</x14:id>
        </ext>
      </extLst>
    </cfRule>
    <cfRule type="dataBar" priority="314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{B4B2C5C7-DCC0-4783-9994-B8FC113FC7C4}</x14:id>
        </ext>
      </extLst>
    </cfRule>
    <cfRule type="dataBar" priority="3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{83B1540A-9FC8-40AD-8A42-FE82E3D92026}</x14:id>
        </ext>
      </extLst>
    </cfRule>
    <cfRule type="dataBar" priority="314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{E1794A7C-0B13-4A81-87F2-306AD4703AC2}</x14:id>
        </ext>
      </extLst>
    </cfRule>
    <cfRule type="dataBar" priority="314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{5224B7E7-F323-4E08-9A8C-B442A8C39856}</x14:id>
        </ext>
      </extLst>
    </cfRule>
    <cfRule type="dataBar" priority="314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{7FC7FD7B-DC65-4BA3-9B1B-95EE67B36F1D}</x14:id>
        </ext>
      </extLst>
    </cfRule>
    <cfRule type="dataBar" priority="3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{138A510C-A5FC-455C-B82B-3BD942027563}</x14:id>
        </ext>
      </extLst>
    </cfRule>
  </conditionalFormatting>
  <conditionalFormatting sqref="J5">
    <cfRule type="dataBar" priority="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{70143059-C66E-487E-BF3C-30D14DF6F6EC}</x14:id>
        </ext>
      </extLst>
    </cfRule>
  </conditionalFormatting>
  <conditionalFormatting sqref="J6:J19 J21:J24">
    <cfRule type="dataBar" priority="38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{D0F2E4C6-B73E-46AB-9C78-8B997EB57F35}</x14:id>
        </ext>
      </extLst>
    </cfRule>
  </conditionalFormatting>
  <conditionalFormatting sqref="J20">
    <cfRule type="dataBar" priority="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{EF391E61-AD23-41D8-B517-3501DCA023E9}</x14:id>
        </ext>
      </extLst>
    </cfRule>
  </conditionalFormatting>
  <conditionalFormatting sqref="J26">
    <cfRule type="dataBar" priority="291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{0B66F8FC-6F56-4D5B-B494-04EFBBC304E3}</x14:id>
        </ext>
      </extLst>
    </cfRule>
  </conditionalFormatting>
  <conditionalFormatting sqref="J27">
    <cfRule type="dataBar" priority="28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{4E4D0676-3A50-4D6A-8051-D942FEC96F75}</x14:id>
        </ext>
      </extLst>
    </cfRule>
  </conditionalFormatting>
  <conditionalFormatting sqref="J30">
    <cfRule type="dataBar" priority="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{C4C08AE0-B68A-4310-A9E2-4445572D47DB}</x14:id>
        </ext>
      </extLst>
    </cfRule>
  </conditionalFormatting>
  <conditionalFormatting sqref="K5:K29">
    <cfRule type="dataBar" priority="46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{C464150C-301C-487B-9480-085A810FE6FD}</x14:id>
        </ext>
      </extLst>
    </cfRule>
  </conditionalFormatting>
  <conditionalFormatting sqref="K5:K30">
    <cfRule type="dataBar" priority="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{84C7E850-0AE6-4B2B-AE9C-D5B6F894E848}</x14:id>
        </ext>
      </extLst>
    </cfRule>
  </conditionalFormatting>
  <conditionalFormatting sqref="K28">
    <cfRule type="dataBar" priority="275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{8F0D303D-A15E-46D7-ACF3-E5AFF49BA4B0}</x14:id>
        </ext>
      </extLst>
    </cfRule>
    <cfRule type="dataBar" priority="275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{74C2F0FC-9D90-4750-B7DA-85A92AC35AE9}</x14:id>
        </ext>
      </extLst>
    </cfRule>
    <cfRule type="dataBar" priority="2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{F8992FF3-8986-4BEC-96ED-2C6F3CE39F77}</x14:id>
        </ext>
      </extLst>
    </cfRule>
    <cfRule type="dataBar" priority="27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{48DF003B-22B4-467C-824D-D20C016A995C}</x14:id>
        </ext>
      </extLst>
    </cfRule>
    <cfRule type="dataBar" priority="27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{25E3092D-FD06-4F6B-AFC8-E2A10694343B}</x14:id>
        </ext>
      </extLst>
    </cfRule>
    <cfRule type="dataBar" priority="2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{7E0F348A-2716-4634-AD29-5EEC33439EB0}</x14:id>
        </ext>
      </extLst>
    </cfRule>
    <cfRule type="dataBar" priority="2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{E3FE3E23-887E-46AE-B000-D06907C0EFF9}</x14:id>
        </ext>
      </extLst>
    </cfRule>
    <cfRule type="dataBar" priority="27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{7E829268-0383-40AE-B6F2-202E0F4F89CB}</x14:id>
        </ext>
      </extLst>
    </cfRule>
    <cfRule type="dataBar" priority="276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{1D0BBE7C-2070-4394-BB9D-C17152E77B68}</x14:id>
        </ext>
      </extLst>
    </cfRule>
    <cfRule type="dataBar" priority="2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{ADFA1062-976B-4584-B7BF-F7B030E7A5A5}</x14:id>
        </ext>
      </extLst>
    </cfRule>
    <cfRule type="dataBar" priority="27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{86C9F2B4-FA5A-4442-9D65-C912B04C04D7}</x14:id>
        </ext>
      </extLst>
    </cfRule>
    <cfRule type="dataBar" priority="27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{766AB463-2EBD-450E-A249-D27B117D7741}</x14:id>
        </ext>
      </extLst>
    </cfRule>
    <cfRule type="dataBar" priority="27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{2EC441AD-09EF-434D-B49C-CA9841032DF3}</x14:id>
        </ext>
      </extLst>
    </cfRule>
    <cfRule type="dataBar" priority="27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{E9B7DDEC-209F-42D8-AD80-0D8E831DB2C1}</x14:id>
        </ext>
      </extLst>
    </cfRule>
    <cfRule type="dataBar" priority="27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{39AEB090-872A-465A-AF8B-91AA4C355278}</x14:id>
        </ext>
      </extLst>
    </cfRule>
    <cfRule type="dataBar" priority="27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{A294274F-26E9-47E9-B745-8A7114E177AD}</x14:id>
        </ext>
      </extLst>
    </cfRule>
    <cfRule type="dataBar" priority="275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{8C2AD6CE-9D4D-47CD-B9C1-213692697B0A}</x14:id>
        </ext>
      </extLst>
    </cfRule>
  </conditionalFormatting>
  <conditionalFormatting sqref="K29">
    <cfRule type="dataBar" priority="46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{C50FA8ED-3CD1-4FA7-842C-F1E10952E306}</x14:id>
        </ext>
      </extLst>
    </cfRule>
    <cfRule type="dataBar" priority="465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{EB7651AA-7B4F-40E7-992F-B4E6ADDD0446}</x14:id>
        </ext>
      </extLst>
    </cfRule>
    <cfRule type="dataBar" priority="4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{499ABAFA-8A0B-4981-9627-B91BD84D2ABC}</x14:id>
        </ext>
      </extLst>
    </cfRule>
    <cfRule type="dataBar" priority="46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{455E91CA-0264-4ABF-8009-B9AA447A3BD5}</x14:id>
        </ext>
      </extLst>
    </cfRule>
    <cfRule type="dataBar" priority="465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{1E7A3ED8-B79C-4BD2-99D1-F48023F957CC}</x14:id>
        </ext>
      </extLst>
    </cfRule>
    <cfRule type="dataBar" priority="4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{E092BFFF-1C97-4902-B7EA-C64AEC5BD450}</x14:id>
        </ext>
      </extLst>
    </cfRule>
    <cfRule type="dataBar" priority="464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{F1B1AD53-7BE8-40C7-9180-F30D1D950034}</x14:id>
        </ext>
      </extLst>
    </cfRule>
    <cfRule type="dataBar" priority="46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{CE476215-3F97-41C5-9978-2EADAD61E4E3}</x14:id>
        </ext>
      </extLst>
    </cfRule>
    <cfRule type="dataBar" priority="46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{8D65C13D-BB9E-4213-8665-6D423FBC614C}</x14:id>
        </ext>
      </extLst>
    </cfRule>
    <cfRule type="dataBar" priority="465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{6A992F71-3192-405F-9639-F574403596F1}</x14:id>
        </ext>
      </extLst>
    </cfRule>
    <cfRule type="dataBar" priority="4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{D8D44976-534B-4CA4-A114-CD140A743DD0}</x14:id>
        </ext>
      </extLst>
    </cfRule>
    <cfRule type="dataBar" priority="465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{44B3067B-2AE3-4354-B53F-CB87064B23D9}</x14:id>
        </ext>
      </extLst>
    </cfRule>
    <cfRule type="dataBar" priority="464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{CA4EB8EF-320B-4C86-BD1F-736377F4682E}</x14:id>
        </ext>
      </extLst>
    </cfRule>
    <cfRule type="dataBar" priority="4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{8B4D8D2A-CDE2-4876-9A9A-58A23CBB1D1B}</x14:id>
        </ext>
      </extLst>
    </cfRule>
    <cfRule type="dataBar" priority="4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{AC6A6B96-1FDA-41BC-B99F-2BE785FD4E88}</x14:id>
        </ext>
      </extLst>
    </cfRule>
    <cfRule type="dataBar" priority="465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{F40AA86C-6411-437F-9F27-452E9CD53175}</x14:id>
        </ext>
      </extLst>
    </cfRule>
    <cfRule type="dataBar" priority="465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{2F4B9522-4579-417D-B118-A5102C24958E}</x14:id>
        </ext>
      </extLst>
    </cfRule>
  </conditionalFormatting>
  <conditionalFormatting sqref="K30">
    <cfRule type="dataBar" priority="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{9C857F89-E9E8-42C0-9851-8546E26B682E}</x14:id>
        </ext>
      </extLst>
    </cfRule>
    <cfRule type="dataBar" priority="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{54E8D3F5-B37F-4F3F-B0A2-166A52B89135}</x14:id>
        </ext>
      </extLst>
    </cfRule>
    <cfRule type="dataBar" priority="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{3E19AF17-1BC0-4DA2-A9B0-9ED95A3DF1C6}</x14:id>
        </ext>
      </extLst>
    </cfRule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{E3A58DB1-5F91-4EA2-A92B-6AC2C7BC03B7}</x14:id>
        </ext>
      </extLst>
    </cfRule>
    <cfRule type="dataBar" priority="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{ACB71E40-0858-48D3-B7C8-D9226156EFB3}</x14:id>
        </ext>
      </extLst>
    </cfRule>
    <cfRule type="dataBar" priority="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{CCA1D61C-475D-418D-BA2C-F2595E70F608}</x14:id>
        </ext>
      </extLst>
    </cfRule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{86AC5F19-597B-4CCB-BF7B-6708D041955F}</x14:id>
        </ext>
      </extLst>
    </cfRule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{C8FF1D57-C505-461D-BB9A-3295BFC113B2}</x14:id>
        </ext>
      </extLst>
    </cfRule>
    <cfRule type="dataBar" priority="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{38B67E55-6744-423A-9857-D6DD2A8E52D7}</x14:id>
        </ext>
      </extLst>
    </cfRule>
    <cfRule type="dataBar" priority="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{92FD26E0-E949-4D89-9CE6-3111ED9B8D16}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{8A36F34A-2BBA-4617-9C39-5EB148DD0616}</x14:id>
        </ext>
      </extLst>
    </cfRule>
    <cfRule type="dataBar" priority="1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{F989219A-7ED1-4237-91A1-94755856E70F}</x14:id>
        </ext>
      </extLst>
    </cfRule>
    <cfRule type="dataBar" priority="1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{220A08C5-01E0-4512-BC57-3F67A5592655}</x14:id>
        </ext>
      </extLst>
    </cfRule>
    <cfRule type="dataBar" priority="1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{60C2941F-9F2B-483C-9645-73D81E422ECE}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{D82CBB6C-C10E-4824-8616-C64B56E72CE1}</x14:id>
        </ext>
      </extLst>
    </cfRule>
    <cfRule type="dataBar" priority="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{CC09A138-49F2-484A-86C1-F82D7E2A68AD}</x14:id>
        </ext>
      </extLst>
    </cfRule>
    <cfRule type="dataBar" priority="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{6E8881D4-9111-4AA3-9821-4273966D16E1}</x14:id>
        </ext>
      </extLst>
    </cfRule>
    <cfRule type="dataBar" priority="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{84669BCB-19B2-4EF7-834A-6C820B2D34A3}</x14:id>
        </ext>
      </extLst>
    </cfRule>
  </conditionalFormatting>
  <conditionalFormatting sqref="L5">
    <cfRule type="dataBar" priority="101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{3FBFDE3F-3C12-4E24-A3F6-4CDFD5F31357}</x14:id>
        </ext>
      </extLst>
    </cfRule>
    <cfRule type="dataBar" priority="100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{85F16FA7-22D6-443B-8947-8424AC7C1102}</x14:id>
        </ext>
      </extLst>
    </cfRule>
    <cfRule type="dataBar" priority="10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{0FCABDD2-B877-4E9C-8412-4F538C4FC74E}</x14:id>
        </ext>
      </extLst>
    </cfRule>
    <cfRule type="dataBar" priority="1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{E8FD13C6-D277-4D94-8433-44D94D076E66}</x14:id>
        </ext>
      </extLst>
    </cfRule>
    <cfRule type="dataBar" priority="10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{27FA74FB-623A-4063-9CB5-59C74692EFE2}</x14:id>
        </ext>
      </extLst>
    </cfRule>
    <cfRule type="dataBar" priority="1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{62C3E8E9-6DAF-44E1-A800-48BBFD7169B7}</x14:id>
        </ext>
      </extLst>
    </cfRule>
    <cfRule type="dataBar" priority="10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{02FAE931-4CF7-46A4-97E9-E6A568EF0924}</x14:id>
        </ext>
      </extLst>
    </cfRule>
    <cfRule type="dataBar" priority="10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{88598B78-D3BF-42ED-9876-F5E6454B156B}</x14:id>
        </ext>
      </extLst>
    </cfRule>
    <cfRule type="dataBar" priority="10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{DC17C30D-935C-4524-94FA-931C0A56EA5F}</x14:id>
        </ext>
      </extLst>
    </cfRule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{C3A5A0B8-9875-46F6-B73C-DDB26C3ADAD1}</x14:id>
        </ext>
      </extLst>
    </cfRule>
    <cfRule type="dataBar" priority="100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{823C0301-8EA3-4572-BBBD-562D880AE0C0}</x14:id>
        </ext>
      </extLst>
    </cfRule>
    <cfRule type="dataBar" priority="101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{47AD75DC-E1CF-4DE7-B749-CD6D127AE586}</x14:id>
        </ext>
      </extLst>
    </cfRule>
    <cfRule type="dataBar" priority="101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{7826B69C-36A3-48F6-A7EE-FC4B9AC6B6FC}</x14:id>
        </ext>
      </extLst>
    </cfRule>
  </conditionalFormatting>
  <conditionalFormatting sqref="L6">
    <cfRule type="dataBar" priority="21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{C480C617-D39D-431D-B166-79473BA70D32}</x14:id>
        </ext>
      </extLst>
    </cfRule>
    <cfRule type="dataBar" priority="212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{3B87B9F3-0106-4773-BAB4-8FE45A491684}</x14:id>
        </ext>
      </extLst>
    </cfRule>
    <cfRule type="dataBar" priority="2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{CA5E178C-70BA-4F52-9CA1-95FC6EB4B4C8}</x14:id>
        </ext>
      </extLst>
    </cfRule>
    <cfRule type="dataBar" priority="20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{17A73651-EBB6-4397-8E98-F98875C003A0}</x14:id>
        </ext>
      </extLst>
    </cfRule>
    <cfRule type="dataBar" priority="21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{82204A7A-6A55-4232-BEAD-620E5EDA701C}</x14:id>
        </ext>
      </extLst>
    </cfRule>
    <cfRule type="dataBar" priority="20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{294B0710-046B-4364-A555-6D76C4B72D53}</x14:id>
        </ext>
      </extLst>
    </cfRule>
    <cfRule type="dataBar" priority="21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{62691749-F41B-4A36-A949-F2A6C4FB437A}</x14:id>
        </ext>
      </extLst>
    </cfRule>
    <cfRule type="dataBar" priority="2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{B6D75CD6-F3D8-4DCD-9B10-7ED36BEB6CB3}</x14:id>
        </ext>
      </extLst>
    </cfRule>
    <cfRule type="dataBar" priority="21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{835B75D1-0268-4F84-BC12-540979C37191}</x14:id>
        </ext>
      </extLst>
    </cfRule>
    <cfRule type="dataBar" priority="20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{051868C3-A7CA-4781-B19F-AFBB9B700FA5}</x14:id>
        </ext>
      </extLst>
    </cfRule>
    <cfRule type="dataBar" priority="21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{17E0A348-932D-453A-8D16-E0623A6D9385}</x14:id>
        </ext>
      </extLst>
    </cfRule>
    <cfRule type="dataBar" priority="21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{F602ABC2-E260-466F-8EA1-596F1A1C99FE}</x14:id>
        </ext>
      </extLst>
    </cfRule>
    <cfRule type="dataBar" priority="21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{933A42A4-3084-4F27-ACAA-9927D51F6141}</x14:id>
        </ext>
      </extLst>
    </cfRule>
    <cfRule type="dataBar" priority="2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{D3DF281B-A62A-4C40-9800-5C8D0DCA1ADF}</x14:id>
        </ext>
      </extLst>
    </cfRule>
    <cfRule type="dataBar" priority="21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{21761CA6-5BDC-4CFC-B449-97C9BB73E040}</x14:id>
        </ext>
      </extLst>
    </cfRule>
    <cfRule type="dataBar" priority="21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{328492CF-400A-4799-9203-CBA5DA7795D3}</x14:id>
        </ext>
      </extLst>
    </cfRule>
    <cfRule type="dataBar" priority="21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{5BAB5138-700C-4678-8A38-3E0FEA73491B}</x14:id>
        </ext>
      </extLst>
    </cfRule>
    <cfRule type="dataBar" priority="2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{2F30FB8F-1781-47B7-957C-3DF4142A8EFD}</x14:id>
        </ext>
      </extLst>
    </cfRule>
    <cfRule type="dataBar" priority="21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{A0BD83D6-1A51-4072-BDD9-0E93476CCC69}</x14:id>
        </ext>
      </extLst>
    </cfRule>
    <cfRule type="dataBar" priority="21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{166CD246-EFAC-4C44-A08A-D68FBC1B0681}</x14:id>
        </ext>
      </extLst>
    </cfRule>
    <cfRule type="dataBar" priority="21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{6210FC51-EE39-4D97-887C-2E87CD81D005}</x14:id>
        </ext>
      </extLst>
    </cfRule>
    <cfRule type="dataBar" priority="21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{9082390A-F688-4BE9-BAD7-571E2503A89D}</x14:id>
        </ext>
      </extLst>
    </cfRule>
    <cfRule type="dataBar" priority="2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{BAC75A8C-1CB7-4187-ABC2-61064E1511B0}</x14:id>
        </ext>
      </extLst>
    </cfRule>
    <cfRule type="dataBar" priority="21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{C35D3D02-D0D2-4967-B55B-C32C0551CA54}</x14:id>
        </ext>
      </extLst>
    </cfRule>
    <cfRule type="dataBar" priority="2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{3B224495-A904-4CC5-B160-0F78DF7DF403}</x14:id>
        </ext>
      </extLst>
    </cfRule>
    <cfRule type="dataBar" priority="21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{38BFABD6-340F-42D1-9749-8C31EE824A0E}</x14:id>
        </ext>
      </extLst>
    </cfRule>
    <cfRule type="dataBar" priority="21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{CD7AFE08-E39D-42F1-ADEE-B5F42D798EF0}</x14:id>
        </ext>
      </extLst>
    </cfRule>
    <cfRule type="dataBar" priority="21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{D9E0C65B-453E-478E-B3B8-82069461F4F0}</x14:id>
        </ext>
      </extLst>
    </cfRule>
    <cfRule type="dataBar" priority="2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{06EB5C5E-571B-45B2-9D15-BDE39F45E7CC}</x14:id>
        </ext>
      </extLst>
    </cfRule>
    <cfRule type="dataBar" priority="20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{BF885EBD-BB1E-449E-A011-3CAE7CBBA2C9}</x14:id>
        </ext>
      </extLst>
    </cfRule>
  </conditionalFormatting>
  <conditionalFormatting sqref="L7">
    <cfRule type="dataBar" priority="58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{09EFAA90-AE94-4F7D-9074-86134F684552}</x14:id>
        </ext>
      </extLst>
    </cfRule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{1C046B40-D5A9-4867-9651-B2F2DE68FBE1}</x14:id>
        </ext>
      </extLst>
    </cfRule>
    <cfRule type="dataBar" priority="59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{D2D63DAA-98D4-4584-8F91-5565D6439D5B}</x14:id>
        </ext>
      </extLst>
    </cfRule>
    <cfRule type="dataBar" priority="59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{0B015DE4-E0F9-4A57-9FB6-35D99D6D5958}</x14:id>
        </ext>
      </extLst>
    </cfRule>
    <cfRule type="dataBar" priority="58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{63448D2C-4D85-4AE3-8096-1E1B4671654E}</x14:id>
        </ext>
      </extLst>
    </cfRule>
    <cfRule type="dataBar" priority="57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{ABCA06DC-246B-4FE6-AF5E-33C5004BB10E}</x14:id>
        </ext>
      </extLst>
    </cfRule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{92A1D7DD-AE6B-42CD-BD86-D6EE0A8DAC9B}</x14:id>
        </ext>
      </extLst>
    </cfRule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{57203B66-7455-4438-82A4-E145B5272143}</x14:id>
        </ext>
      </extLst>
    </cfRule>
    <cfRule type="dataBar" priority="58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{8F0863B9-B28E-401C-A5A1-C24BE0DECE0C}</x14:id>
        </ext>
      </extLst>
    </cfRule>
    <cfRule type="dataBar" priority="58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{E8DEB19D-09E2-4B24-866D-72B9A747BCB5}</x14:id>
        </ext>
      </extLst>
    </cfRule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{63D0ABB8-D9FF-45C7-A4E9-7C89F48EBD4E}</x14:id>
        </ext>
      </extLst>
    </cfRule>
    <cfRule type="dataBar" priority="58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{D713A54B-96CB-4D38-B9A4-8E352BC22DD9}</x14:id>
        </ext>
      </extLst>
    </cfRule>
    <cfRule type="dataBar" priority="58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{34139049-CA53-4FFE-B5D8-842B411023E2}</x14:id>
        </ext>
      </extLst>
    </cfRule>
  </conditionalFormatting>
  <conditionalFormatting sqref="L8">
    <cfRule type="dataBar" priority="20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{369654C1-0442-49DD-ACDF-4D0981A53127}</x14:id>
        </ext>
      </extLst>
    </cfRule>
    <cfRule type="dataBar" priority="20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{AF426736-5EA4-4A8E-AB8E-13F0CDDAC2A8}</x14:id>
        </ext>
      </extLst>
    </cfRule>
    <cfRule type="dataBar" priority="20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{18E01F92-510C-4B11-9E5F-E7F38C992357}</x14:id>
        </ext>
      </extLst>
    </cfRule>
    <cfRule type="dataBar" priority="20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{D57039FA-015B-4A42-9338-5750FA500F46}</x14:id>
        </ext>
      </extLst>
    </cfRule>
    <cfRule type="dataBar" priority="20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{304DAD2E-E6F5-4984-AA92-DAA96BF4CCDE}</x14:id>
        </ext>
      </extLst>
    </cfRule>
    <cfRule type="dataBar" priority="20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{0F5DF448-9528-4766-889C-63F0C49DA38E}</x14:id>
        </ext>
      </extLst>
    </cfRule>
    <cfRule type="dataBar" priority="207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{97BA258B-1F98-4B2A-901A-419865A070B3}</x14:id>
        </ext>
      </extLst>
    </cfRule>
    <cfRule type="dataBar" priority="2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{73AD9AAB-22DF-46E4-8538-FD774E3CCFD3}</x14:id>
        </ext>
      </extLst>
    </cfRule>
    <cfRule type="dataBar" priority="20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{D0568566-737B-437F-995C-D397C9D49E89}</x14:id>
        </ext>
      </extLst>
    </cfRule>
    <cfRule type="dataBar" priority="20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{2483D0A7-3D33-4CBF-A7DD-A1D955F84269}</x14:id>
        </ext>
      </extLst>
    </cfRule>
    <cfRule type="dataBar" priority="20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{3B445017-B231-40E5-A5ED-79223955C4B5}</x14:id>
        </ext>
      </extLst>
    </cfRule>
    <cfRule type="dataBar" priority="2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{F4289FF9-B22F-425D-BCB3-8003F6B1D457}</x14:id>
        </ext>
      </extLst>
    </cfRule>
    <cfRule type="dataBar" priority="20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{8618C56B-AD71-4944-97BE-B8003A33E2F5}</x14:id>
        </ext>
      </extLst>
    </cfRule>
    <cfRule type="dataBar" priority="20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{36BDA411-FFA8-45A1-A3E2-8AD14752FD51}</x14:id>
        </ext>
      </extLst>
    </cfRule>
    <cfRule type="dataBar" priority="20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{368AA579-F0A0-450D-B5C2-6CC511900749}</x14:id>
        </ext>
      </extLst>
    </cfRule>
    <cfRule type="dataBar" priority="20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{A798776B-E7F9-4DC8-9D1D-D8F99EF5B6C6}</x14:id>
        </ext>
      </extLst>
    </cfRule>
    <cfRule type="dataBar" priority="20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{78CBA5E4-0619-4878-A447-17404C2FBED7}</x14:id>
        </ext>
      </extLst>
    </cfRule>
    <cfRule type="dataBar" priority="20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{C9F43CC2-E10F-448D-A33A-2EEBE16E6E19}</x14:id>
        </ext>
      </extLst>
    </cfRule>
    <cfRule type="dataBar" priority="20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{B5021432-D029-41D5-AB3C-0910D799514B}</x14:id>
        </ext>
      </extLst>
    </cfRule>
    <cfRule type="dataBar" priority="20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{98B49695-7E22-4589-8194-B0F5A53D3EFD}</x14:id>
        </ext>
      </extLst>
    </cfRule>
    <cfRule type="dataBar" priority="20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{23F63673-7169-4B3D-84FD-7ED615115116}</x14:id>
        </ext>
      </extLst>
    </cfRule>
    <cfRule type="dataBar" priority="20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{C09150EF-F373-4EDA-BC23-73DACF2AEA2E}</x14:id>
        </ext>
      </extLst>
    </cfRule>
    <cfRule type="dataBar" priority="20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{F44BD37D-7A45-4F15-94E4-5D62B235A887}</x14:id>
        </ext>
      </extLst>
    </cfRule>
    <cfRule type="dataBar" priority="208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{793FA3D1-68B3-48E4-A2B7-B5876FE1187E}</x14:id>
        </ext>
      </extLst>
    </cfRule>
    <cfRule type="dataBar" priority="209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{A499163E-DADD-4E5C-BE48-6C3D84AA25BC}</x14:id>
        </ext>
      </extLst>
    </cfRule>
    <cfRule type="dataBar" priority="209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{9604EE58-A700-4A9C-801D-E8D323EB64F0}</x14:id>
        </ext>
      </extLst>
    </cfRule>
    <cfRule type="dataBar" priority="209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{13E08CE1-9A88-4CD0-B962-71DF9FCF68D3}</x14:id>
        </ext>
      </extLst>
    </cfRule>
    <cfRule type="dataBar" priority="2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{A562C253-97B3-430E-8835-66607647CD28}</x14:id>
        </ext>
      </extLst>
    </cfRule>
    <cfRule type="dataBar" priority="20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{62FE2586-4D62-4FC0-B896-CA6858EBE94F}</x14:id>
        </ext>
      </extLst>
    </cfRule>
    <cfRule type="dataBar" priority="20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{34E45F0D-3380-4812-9D90-49D944579097}</x14:id>
        </ext>
      </extLst>
    </cfRule>
  </conditionalFormatting>
  <conditionalFormatting sqref="L9">
    <cfRule type="dataBar" priority="20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{E3E3EEE1-24B7-41F9-B6E1-6D77068E2B6C}</x14:id>
        </ext>
      </extLst>
    </cfRule>
    <cfRule type="dataBar" priority="205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{C65522CA-DE41-4ECF-8D34-6D2B4A1EA4A2}</x14:id>
        </ext>
      </extLst>
    </cfRule>
    <cfRule type="dataBar" priority="205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{64321AD5-C800-4356-AE09-E7ECE0010B2D}</x14:id>
        </ext>
      </extLst>
    </cfRule>
    <cfRule type="dataBar" priority="204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{08D277BF-395F-4808-97D8-966BF3F07080}</x14:id>
        </ext>
      </extLst>
    </cfRule>
    <cfRule type="dataBar" priority="20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{1025B3EF-0221-4519-9638-9DD502592002}</x14:id>
        </ext>
      </extLst>
    </cfRule>
    <cfRule type="dataBar" priority="20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{64DC33BC-AA82-4B10-8BEA-548BB67FF9F2}</x14:id>
        </ext>
      </extLst>
    </cfRule>
    <cfRule type="dataBar" priority="20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{C7CEC374-2241-483D-9648-84F6173FDE25}</x14:id>
        </ext>
      </extLst>
    </cfRule>
    <cfRule type="dataBar" priority="20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{02FE77EB-3E01-4021-AD92-036DB45409EF}</x14:id>
        </ext>
      </extLst>
    </cfRule>
    <cfRule type="dataBar" priority="20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{02248498-8025-4DDF-8816-65BF7EAD8D1D}</x14:id>
        </ext>
      </extLst>
    </cfRule>
    <cfRule type="dataBar" priority="2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{509B6E14-8439-4668-A156-7D23DF10BF83}</x14:id>
        </ext>
      </extLst>
    </cfRule>
    <cfRule type="dataBar" priority="204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{73945C05-0C9E-42A5-B670-EFC1280EA0E9}</x14:id>
        </ext>
      </extLst>
    </cfRule>
    <cfRule type="dataBar" priority="20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{69200096-D4B7-4327-97FF-EA4A1132E7D5}</x14:id>
        </ext>
      </extLst>
    </cfRule>
    <cfRule type="dataBar" priority="20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{7906CA53-1F75-45EF-8BD8-DC9B21049A66}</x14:id>
        </ext>
      </extLst>
    </cfRule>
    <cfRule type="dataBar" priority="20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{17CE9496-F35D-4BC5-B9D7-9ACE13B578C0}</x14:id>
        </ext>
      </extLst>
    </cfRule>
    <cfRule type="dataBar" priority="20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{DBFE031A-077C-4B1B-919E-C478300A00E0}</x14:id>
        </ext>
      </extLst>
    </cfRule>
    <cfRule type="dataBar" priority="206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{AE5BCD31-4776-4854-9922-265321ED3909}</x14:id>
        </ext>
      </extLst>
    </cfRule>
    <cfRule type="dataBar" priority="2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{88DCF557-D964-4232-8E8C-E9E215E416DD}</x14:id>
        </ext>
      </extLst>
    </cfRule>
    <cfRule type="dataBar" priority="20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{D4EE2049-E05E-4757-A809-78B534BD5167}</x14:id>
        </ext>
      </extLst>
    </cfRule>
    <cfRule type="dataBar" priority="2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{CE26FE94-EF10-4632-AF4F-018F3FF2143D}</x14:id>
        </ext>
      </extLst>
    </cfRule>
    <cfRule type="dataBar" priority="20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{B91A3BD4-DB1D-47C4-B787-619524769ABA}</x14:id>
        </ext>
      </extLst>
    </cfRule>
    <cfRule type="dataBar" priority="2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{F5B77ABC-14FD-46DA-9163-2DD230CABEAF}</x14:id>
        </ext>
      </extLst>
    </cfRule>
    <cfRule type="dataBar" priority="20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{80D31C97-F7F6-4794-B2C6-FA1792E4F90C}</x14:id>
        </ext>
      </extLst>
    </cfRule>
    <cfRule type="dataBar" priority="20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{7379C06B-2EA6-49EE-9F02-A80097871DE9}</x14:id>
        </ext>
      </extLst>
    </cfRule>
    <cfRule type="dataBar" priority="20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{DA1AA31F-0B91-44D6-9ABC-EE21FDCE6A47}</x14:id>
        </ext>
      </extLst>
    </cfRule>
    <cfRule type="dataBar" priority="2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{53BBB1FD-BFAA-431D-8689-8C837A37B560}</x14:id>
        </ext>
      </extLst>
    </cfRule>
    <cfRule type="dataBar" priority="20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{9990C0FB-26B8-4F60-ACD5-AE899A1A5E00}</x14:id>
        </ext>
      </extLst>
    </cfRule>
    <cfRule type="dataBar" priority="20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{54119EE3-C7C6-4281-AF0D-0D5E6A7AD3D7}</x14:id>
        </ext>
      </extLst>
    </cfRule>
    <cfRule type="dataBar" priority="20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{85946A59-C4E9-48E2-9476-A903E6C8C4B3}</x14:id>
        </ext>
      </extLst>
    </cfRule>
    <cfRule type="dataBar" priority="20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{77FB7384-E1AC-43FD-9B5A-3336ECE3804D}</x14:id>
        </ext>
      </extLst>
    </cfRule>
    <cfRule type="dataBar" priority="20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{A84D02DD-5DD8-4E96-A5C1-664CCF7F6701}</x14:id>
        </ext>
      </extLst>
    </cfRule>
  </conditionalFormatting>
  <conditionalFormatting sqref="L10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{9899EBC7-C6B0-4691-99A5-9C5020F5D100}</x14:id>
        </ext>
      </extLst>
    </cfRule>
    <cfRule type="dataBar" priority="99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{2164F5DF-8F6A-4880-85A1-8C4E662D0414}</x14:id>
        </ext>
      </extLst>
    </cfRule>
    <cfRule type="dataBar" priority="99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{6113B030-B916-4527-9089-5C9103E5A2F3}</x14:id>
        </ext>
      </extLst>
    </cfRule>
    <cfRule type="dataBar" priority="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{4520E001-891F-47D7-8F4A-E22B7D480DAE}</x14:id>
        </ext>
      </extLst>
    </cfRule>
    <cfRule type="dataBar" priority="99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{3E0EC23A-8F50-4112-BCA8-E0262867FA23}</x14:id>
        </ext>
      </extLst>
    </cfRule>
    <cfRule type="dataBar" priority="99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{2CB2E06F-7323-41C3-920A-8157966F5285}</x14:id>
        </ext>
      </extLst>
    </cfRule>
    <cfRule type="dataBar" priority="99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{05631F95-BB83-4813-B79E-FF2826CF8DDD}</x14:id>
        </ext>
      </extLst>
    </cfRule>
    <cfRule type="dataBar" priority="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{9AEEE8F7-69D6-496A-925D-CEDA5BF3CD58}</x14:id>
        </ext>
      </extLst>
    </cfRule>
    <cfRule type="dataBar" priority="99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{D5DEE689-42EF-475A-A430-95CB3064483F}</x14:id>
        </ext>
      </extLst>
    </cfRule>
    <cfRule type="dataBar" priority="10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{67045090-5F7F-43F0-9F04-D5CD7B8C5E8B}</x14:id>
        </ext>
      </extLst>
    </cfRule>
    <cfRule type="dataBar" priority="100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{1F591B70-5B9D-409C-B552-51B43911698B}</x14:id>
        </ext>
      </extLst>
    </cfRule>
    <cfRule type="dataBar" priority="10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{39EDAEC9-A2DF-41D6-96A4-6408CED74D12}</x14:id>
        </ext>
      </extLst>
    </cfRule>
    <cfRule type="dataBar" priority="99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{5EC7FB27-CDC7-4F8F-B6FB-B77F40541BCC}</x14:id>
        </ext>
      </extLst>
    </cfRule>
  </conditionalFormatting>
  <conditionalFormatting sqref="L11">
    <cfRule type="dataBar" priority="20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{C423D3E4-3233-45CD-A387-0ACC1B0E83A1}</x14:id>
        </ext>
      </extLst>
    </cfRule>
    <cfRule type="dataBar" priority="20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{6B56C7D2-0298-4D42-BF67-7E577F4BD458}</x14:id>
        </ext>
      </extLst>
    </cfRule>
    <cfRule type="dataBar" priority="201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{7BC313B6-574B-441D-BC96-9F7D824C507D}</x14:id>
        </ext>
      </extLst>
    </cfRule>
    <cfRule type="dataBar" priority="20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{CD2161EB-8950-44A8-B01F-9E5E70C05DC5}</x14:id>
        </ext>
      </extLst>
    </cfRule>
    <cfRule type="dataBar" priority="202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{3B549430-F795-452A-B386-3846BF8481AB}</x14:id>
        </ext>
      </extLst>
    </cfRule>
    <cfRule type="dataBar" priority="2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{618A2B78-E7A6-40D2-9AB7-EC228EBD22A7}</x14:id>
        </ext>
      </extLst>
    </cfRule>
    <cfRule type="dataBar" priority="20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{872F4B6C-62A5-4D4D-8725-373DC8E3C575}</x14:id>
        </ext>
      </extLst>
    </cfRule>
    <cfRule type="dataBar" priority="2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{2750999F-E5B3-4010-9BD5-CEE2AECFE02B}</x14:id>
        </ext>
      </extLst>
    </cfRule>
    <cfRule type="dataBar" priority="20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{277DD1CF-2194-4274-A6DB-545A7CF1CB9B}</x14:id>
        </ext>
      </extLst>
    </cfRule>
    <cfRule type="dataBar" priority="20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{4AB53FCE-BE77-4667-AF50-E8C0EAAF43C0}</x14:id>
        </ext>
      </extLst>
    </cfRule>
    <cfRule type="dataBar" priority="20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{56B14BC0-8915-42DE-969C-0E8D27607887}</x14:id>
        </ext>
      </extLst>
    </cfRule>
    <cfRule type="dataBar" priority="20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{4B357B8F-9800-404F-9BA6-6559A7F792B9}</x14:id>
        </ext>
      </extLst>
    </cfRule>
    <cfRule type="dataBar" priority="20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{4F8562B9-AFA2-4CE9-9D2B-97BD7651CB37}</x14:id>
        </ext>
      </extLst>
    </cfRule>
    <cfRule type="dataBar" priority="20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{0FF069F2-27E0-43F6-B55B-87A1E32C055F}</x14:id>
        </ext>
      </extLst>
    </cfRule>
    <cfRule type="dataBar" priority="20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{0556060D-B0F2-4174-AA66-B24C67E1AFA9}</x14:id>
        </ext>
      </extLst>
    </cfRule>
    <cfRule type="dataBar" priority="20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{B0D060AB-C90B-4046-A1AC-B67CAD34B133}</x14:id>
        </ext>
      </extLst>
    </cfRule>
    <cfRule type="dataBar" priority="20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{FEC6B9F1-E97A-4867-8D99-BEE4D76A459A}</x14:id>
        </ext>
      </extLst>
    </cfRule>
    <cfRule type="dataBar" priority="20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{C8B26948-B52A-4CE5-9148-1311D38A5A90}</x14:id>
        </ext>
      </extLst>
    </cfRule>
    <cfRule type="dataBar" priority="2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{5844C85C-DFCF-45C4-8896-5CF2EEB7C0F4}</x14:id>
        </ext>
      </extLst>
    </cfRule>
    <cfRule type="dataBar" priority="20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{F8C3A46B-2CE5-4598-A201-F51C7B1E357C}</x14:id>
        </ext>
      </extLst>
    </cfRule>
    <cfRule type="dataBar" priority="20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{B135650A-7BD4-40E3-85AD-7C2F6728A351}</x14:id>
        </ext>
      </extLst>
    </cfRule>
    <cfRule type="dataBar" priority="20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{0FC91643-E95B-4E56-B2B3-B7AFA2FE0243}</x14:id>
        </ext>
      </extLst>
    </cfRule>
    <cfRule type="dataBar" priority="2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{A0F0688A-3F62-4E28-9C47-0D692DC3F8CE}</x14:id>
        </ext>
      </extLst>
    </cfRule>
    <cfRule type="dataBar" priority="20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{DC2DC725-4FFD-4591-913B-D303E0B0A6C9}</x14:id>
        </ext>
      </extLst>
    </cfRule>
    <cfRule type="dataBar" priority="20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{0C553796-6DF4-493A-810B-260CAE411AAC}</x14:id>
        </ext>
      </extLst>
    </cfRule>
    <cfRule type="dataBar" priority="20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{9637E591-1E9F-4BB1-8EEC-3930C33D7398}</x14:id>
        </ext>
      </extLst>
    </cfRule>
    <cfRule type="dataBar" priority="2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{5FB0B3B3-8997-4A3C-8CFE-ACAC5E1BDA16}</x14:id>
        </ext>
      </extLst>
    </cfRule>
    <cfRule type="dataBar" priority="20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{BED67542-221A-47DD-B791-5493D76A53CC}</x14:id>
        </ext>
      </extLst>
    </cfRule>
    <cfRule type="dataBar" priority="20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{A658AC15-5D25-4B89-8EB8-57A64B59D298}</x14:id>
        </ext>
      </extLst>
    </cfRule>
    <cfRule type="dataBar" priority="20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{D9C6A545-1693-41B0-BFC2-6F3CEACA8E44}</x14:id>
        </ext>
      </extLst>
    </cfRule>
  </conditionalFormatting>
  <conditionalFormatting sqref="L12">
    <cfRule type="dataBar" priority="1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{F64A3FEF-D0F6-4AE6-9A9F-E696708AEEB8}</x14:id>
        </ext>
      </extLst>
    </cfRule>
    <cfRule type="dataBar" priority="19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{BAD6A877-2BA2-4AAE-AE44-9E6961C987AE}</x14:id>
        </ext>
      </extLst>
    </cfRule>
    <cfRule type="dataBar" priority="19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{D3D7B74A-3C43-474A-BC6D-90FBE5A29517}</x14:id>
        </ext>
      </extLst>
    </cfRule>
    <cfRule type="dataBar" priority="19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{277DF6A6-872D-4856-867F-57F17A5BF076}</x14:id>
        </ext>
      </extLst>
    </cfRule>
    <cfRule type="dataBar" priority="20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{731E9FE5-D315-4E05-A346-A9188CC6D99C}</x14:id>
        </ext>
      </extLst>
    </cfRule>
    <cfRule type="dataBar" priority="19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{166C231C-50C5-46A1-A585-8916854CBE17}</x14:id>
        </ext>
      </extLst>
    </cfRule>
    <cfRule type="dataBar" priority="19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{91E880F8-F6B2-4317-B045-22D3666C8D57}</x14:id>
        </ext>
      </extLst>
    </cfRule>
    <cfRule type="dataBar" priority="20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{6DB00CE5-163B-45B2-A869-77ACD3CDD6DE}</x14:id>
        </ext>
      </extLst>
    </cfRule>
    <cfRule type="dataBar" priority="20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{8953CC61-31F9-4DE3-B968-5590C4247D23}</x14:id>
        </ext>
      </extLst>
    </cfRule>
    <cfRule type="dataBar" priority="19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{3780BEC6-0BCF-4ED4-940F-6A52AC66C489}</x14:id>
        </ext>
      </extLst>
    </cfRule>
    <cfRule type="dataBar" priority="1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{E1134C58-B47E-4D45-ABF2-45E21A6B2F31}</x14:id>
        </ext>
      </extLst>
    </cfRule>
    <cfRule type="dataBar" priority="19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{031216A9-4D3A-434B-99AB-3DC5A78A7570}</x14:id>
        </ext>
      </extLst>
    </cfRule>
    <cfRule type="dataBar" priority="199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{30FA2F35-9C25-41F0-9CA8-CEFAA2E67E33}</x14:id>
        </ext>
      </extLst>
    </cfRule>
    <cfRule type="dataBar" priority="1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{0C1797A5-0CB5-473A-AC74-9C76F9225391}</x14:id>
        </ext>
      </extLst>
    </cfRule>
    <cfRule type="dataBar" priority="19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{0FA4C5C9-8D3C-43E5-9D9D-6DEE26EA7D0F}</x14:id>
        </ext>
      </extLst>
    </cfRule>
    <cfRule type="dataBar" priority="19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{065118EF-FEAF-43D3-82BE-AE653FC5932B}</x14:id>
        </ext>
      </extLst>
    </cfRule>
    <cfRule type="dataBar" priority="19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{F12A49C6-D722-473E-99AD-4C3A290CA658}</x14:id>
        </ext>
      </extLst>
    </cfRule>
    <cfRule type="dataBar" priority="1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{037825E1-2EF9-49D1-ADEA-4DAFB451A57A}</x14:id>
        </ext>
      </extLst>
    </cfRule>
    <cfRule type="dataBar" priority="198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{0D65B4CA-585C-4E3B-BAF2-FE6AAECF0EDE}</x14:id>
        </ext>
      </extLst>
    </cfRule>
    <cfRule type="dataBar" priority="19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{AD60CE52-686F-4314-8B9B-4F8FE2419689}</x14:id>
        </ext>
      </extLst>
    </cfRule>
    <cfRule type="dataBar" priority="19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{E592AACB-94C2-482C-BF29-D2577FC8A9B8}</x14:id>
        </ext>
      </extLst>
    </cfRule>
    <cfRule type="dataBar" priority="19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{64AB71A6-D655-4F9C-809B-B9188B2A0D63}</x14:id>
        </ext>
      </extLst>
    </cfRule>
    <cfRule type="dataBar" priority="197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{FC918D82-DD29-47B4-9343-D9AF2313C0DA}</x14:id>
        </ext>
      </extLst>
    </cfRule>
    <cfRule type="dataBar" priority="19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{8D55F9D6-5103-4560-8C1D-D0E7CE4CFE7F}</x14:id>
        </ext>
      </extLst>
    </cfRule>
    <cfRule type="dataBar" priority="19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{0236C990-BDAC-412D-BE9C-4F3147AD8CA1}</x14:id>
        </ext>
      </extLst>
    </cfRule>
    <cfRule type="dataBar" priority="1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{A733D5FC-026F-4F98-9DDD-577EB9E7644F}</x14:id>
        </ext>
      </extLst>
    </cfRule>
    <cfRule type="dataBar" priority="19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{D412747C-42EA-4D50-878F-5A3073573E9E}</x14:id>
        </ext>
      </extLst>
    </cfRule>
    <cfRule type="dataBar" priority="20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{E60A5CBC-4B98-4E61-A59E-766D801A0DEE}</x14:id>
        </ext>
      </extLst>
    </cfRule>
    <cfRule type="dataBar" priority="200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{3B474906-4DA8-4E1C-9650-5E39DFA72B3D}</x14:id>
        </ext>
      </extLst>
    </cfRule>
    <cfRule type="dataBar" priority="2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{A98C1EAF-78F4-414A-9503-426BF063E039}</x14:id>
        </ext>
      </extLst>
    </cfRule>
  </conditionalFormatting>
  <conditionalFormatting sqref="L13:L15">
    <cfRule type="dataBar" priority="9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{6BB2218A-ABC9-4F86-B8F9-F81BF6431394}</x14:id>
        </ext>
      </extLst>
    </cfRule>
    <cfRule type="dataBar" priority="98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{75D81376-1908-448E-B5AC-129DB972B015}</x14:id>
        </ext>
      </extLst>
    </cfRule>
    <cfRule type="dataBar" priority="98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{DE27E1EB-2478-427E-B290-B3282EC0FC16}</x14:id>
        </ext>
      </extLst>
    </cfRule>
    <cfRule type="dataBar" priority="98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{3EC9BFA4-744D-4EE5-89A0-A0BF7C5E4BA9}</x14:id>
        </ext>
      </extLst>
    </cfRule>
    <cfRule type="dataBar" priority="9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{FC874BCC-F039-4B26-960A-A7252FDEEAC4}</x14:id>
        </ext>
      </extLst>
    </cfRule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{9B5CF284-6963-4CBF-B38A-00FD33B6A954}</x14:id>
        </ext>
      </extLst>
    </cfRule>
    <cfRule type="dataBar" priority="98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{C24A9EE1-EF9B-4E21-B62A-3B8C13326A8B}</x14:id>
        </ext>
      </extLst>
    </cfRule>
    <cfRule type="dataBar" priority="9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{B320FAD3-56E9-46FD-B768-01E626E643AE}</x14:id>
        </ext>
      </extLst>
    </cfRule>
    <cfRule type="dataBar" priority="9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{E0C78040-61EF-48E9-96CA-2D8D4C9BEE0A}</x14:id>
        </ext>
      </extLst>
    </cfRule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{38413888-3D20-4825-A7B1-0D1AB8F68486}</x14:id>
        </ext>
      </extLst>
    </cfRule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{7B2EAC0C-93F1-47A0-9463-5B872A453A92}</x14:id>
        </ext>
      </extLst>
    </cfRule>
    <cfRule type="dataBar" priority="97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{46AEA87E-1467-414D-99A8-88089946DA49}</x14:id>
        </ext>
      </extLst>
    </cfRule>
    <cfRule type="dataBar" priority="9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{3CE8688F-6609-4620-8B94-D30B707905C1}</x14:id>
        </ext>
      </extLst>
    </cfRule>
  </conditionalFormatting>
  <conditionalFormatting sqref="L16">
    <cfRule type="dataBar" priority="97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{C0CE27FD-09E7-4977-AEA2-A7EAF5346D0F}</x14:id>
        </ext>
      </extLst>
    </cfRule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{FC65566D-2C6A-49F9-A3F7-A0077CE7F564}</x14:id>
        </ext>
      </extLst>
    </cfRule>
    <cfRule type="dataBar" priority="97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{5E3AB233-BB29-4BA4-B196-04F0FEF9359A}</x14:id>
        </ext>
      </extLst>
    </cfRule>
    <cfRule type="dataBar" priority="97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{0CB66CC2-80C8-4256-B7CF-61131C95A679}</x14:id>
        </ext>
      </extLst>
    </cfRule>
    <cfRule type="dataBar" priority="97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{8E1D8F8B-71EC-4A6B-87C7-BDB83FE7D81A}</x14:id>
        </ext>
      </extLst>
    </cfRule>
    <cfRule type="dataBar" priority="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{293249BA-CB5B-4A97-A156-FF3E3558C250}</x14:id>
        </ext>
      </extLst>
    </cfRule>
    <cfRule type="dataBar" priority="9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{C59FD0C5-6C22-4592-9FE8-240D523A9D48}</x14:id>
        </ext>
      </extLst>
    </cfRule>
    <cfRule type="dataBar" priority="9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{FADF6E0C-BCF6-425C-AFDF-512B496E7DD1}</x14:id>
        </ext>
      </extLst>
    </cfRule>
    <cfRule type="dataBar" priority="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{D7E95EF1-48A7-4B84-B51D-B50D2D1D2ECC}</x14:id>
        </ext>
      </extLst>
    </cfRule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{0CBF933D-3225-427E-BA9D-CB12BFD48724}</x14:id>
        </ext>
      </extLst>
    </cfRule>
    <cfRule type="dataBar" priority="9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{D9D04251-F431-40DF-BDF3-8AAF85C5B129}</x14:id>
        </ext>
      </extLst>
    </cfRule>
    <cfRule type="dataBar" priority="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{0F561A9D-5E09-4EAC-86E9-8EFD3487409F}</x14:id>
        </ext>
      </extLst>
    </cfRule>
    <cfRule type="dataBar" priority="9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{04732C18-62EC-4651-8414-EC1A8A82C124}</x14:id>
        </ext>
      </extLst>
    </cfRule>
    <cfRule type="dataBar" priority="9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{CD84476B-101F-4CE6-8E35-AC2357B7F077}</x14:id>
        </ext>
      </extLst>
    </cfRule>
    <cfRule type="dataBar" priority="9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{EC86370C-2460-4BFD-9A44-95B8D05BDB8E}</x14:id>
        </ext>
      </extLst>
    </cfRule>
    <cfRule type="dataBar" priority="9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{8E2777BA-1E9E-4B09-B115-CA98A31FCCA3}</x14:id>
        </ext>
      </extLst>
    </cfRule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{46258089-E92A-46C9-9A8C-7D7426AE8EB5}</x14:id>
        </ext>
      </extLst>
    </cfRule>
    <cfRule type="dataBar" priority="9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{0602BC79-1B62-4CF0-A9B2-F5C7D3B4C4B8}</x14:id>
        </ext>
      </extLst>
    </cfRule>
    <cfRule type="dataBar" priority="9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{DE9C1291-7BCD-4665-A777-861A2E8D25E1}</x14:id>
        </ext>
      </extLst>
    </cfRule>
    <cfRule type="dataBar" priority="9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{92B2B0B2-D533-4B95-8F36-75806C4D2D52}</x14:id>
        </ext>
      </extLst>
    </cfRule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{42B7A8D6-3A9B-43B6-AE36-591B3C50C99B}</x14:id>
        </ext>
      </extLst>
    </cfRule>
    <cfRule type="dataBar" priority="9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{58198A89-C13C-465C-8F0C-9A1371A7B561}</x14:id>
        </ext>
      </extLst>
    </cfRule>
    <cfRule type="dataBar" priority="9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{D2E9793C-5077-42CE-9FD0-3D0C6B2FE159}</x14:id>
        </ext>
      </extLst>
    </cfRule>
    <cfRule type="dataBar" priority="9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{4CBCB5ED-362E-42A7-A84E-DDFD7D244A19}</x14:id>
        </ext>
      </extLst>
    </cfRule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{51E80D12-2166-4A63-B773-36E38FE8CF68}</x14:id>
        </ext>
      </extLst>
    </cfRule>
    <cfRule type="dataBar" priority="94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{6E6AA63D-835E-4DCC-99D6-496706CC1628}</x14:id>
        </ext>
      </extLst>
    </cfRule>
    <cfRule type="dataBar" priority="9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{27A426CF-FD8E-493D-B086-2428BB375ABB}</x14:id>
        </ext>
      </extLst>
    </cfRule>
    <cfRule type="dataBar" priority="9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{48C87225-60C5-40EC-A965-B39EBA80C1A9}</x14:id>
        </ext>
      </extLst>
    </cfRule>
    <cfRule type="dataBar" priority="97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{7B4EDDD0-F96A-4CE9-B223-59A1ECD32F37}</x14:id>
        </ext>
      </extLst>
    </cfRule>
    <cfRule type="dataBar" priority="9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{E0DCBC1E-C10E-4DFF-8976-F2C466972AED}</x14:id>
        </ext>
      </extLst>
    </cfRule>
  </conditionalFormatting>
  <conditionalFormatting sqref="L17">
    <cfRule type="dataBar" priority="1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{23D641E7-C512-4CC4-85F9-0385DBA22F20}</x14:id>
        </ext>
      </extLst>
    </cfRule>
    <cfRule type="dataBar" priority="1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{503F0F7F-9296-49BA-9C5C-C1CFC210304B}</x14:id>
        </ext>
      </extLst>
    </cfRule>
    <cfRule type="dataBar" priority="19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{C5B4C015-94D9-4820-B03B-AF3CBBBDC8C1}</x14:id>
        </ext>
      </extLst>
    </cfRule>
    <cfRule type="dataBar" priority="19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{DF582876-A2E1-4302-A4F0-AA7164A2E890}</x14:id>
        </ext>
      </extLst>
    </cfRule>
    <cfRule type="dataBar" priority="1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{7CFB3A80-005A-4E45-96CD-0185E3D8E133}</x14:id>
        </ext>
      </extLst>
    </cfRule>
    <cfRule type="dataBar" priority="19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{7E26A25D-9C10-4240-90F7-865D53EC16F1}</x14:id>
        </ext>
      </extLst>
    </cfRule>
    <cfRule type="dataBar" priority="19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{2A2EEE3E-9C52-4EC4-BEE7-D2A5EE7C09A8}</x14:id>
        </ext>
      </extLst>
    </cfRule>
    <cfRule type="dataBar" priority="1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{B2C8CFAB-188A-410B-9CB6-7BE67311AA90}</x14:id>
        </ext>
      </extLst>
    </cfRule>
    <cfRule type="dataBar" priority="19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{C755A87E-03D8-4B32-B49A-F28053ADEE68}</x14:id>
        </ext>
      </extLst>
    </cfRule>
    <cfRule type="dataBar" priority="19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{1E423E01-545C-4ED8-91B9-8965E6DDF4C9}</x14:id>
        </ext>
      </extLst>
    </cfRule>
    <cfRule type="dataBar" priority="19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{9E767191-31F1-497C-8C17-89E48A6A27F5}</x14:id>
        </ext>
      </extLst>
    </cfRule>
    <cfRule type="dataBar" priority="19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{6B7C960B-574B-448A-A936-FCC7F0FFDFB1}</x14:id>
        </ext>
      </extLst>
    </cfRule>
    <cfRule type="dataBar" priority="1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{3D0353AC-CE9E-495C-870A-0E3E5DA8C85F}</x14:id>
        </ext>
      </extLst>
    </cfRule>
    <cfRule type="dataBar" priority="197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{127CC76F-61E4-4FD4-B7F8-2BD370207BAD}</x14:id>
        </ext>
      </extLst>
    </cfRule>
    <cfRule type="dataBar" priority="19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{CA28BE4A-1DB9-4627-96B5-376C09014E5D}</x14:id>
        </ext>
      </extLst>
    </cfRule>
    <cfRule type="dataBar" priority="19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{0054297A-752A-4223-9C0B-83248119E5F1}</x14:id>
        </ext>
      </extLst>
    </cfRule>
    <cfRule type="dataBar" priority="195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{88699226-48C3-4673-9ECB-FCBC571A9007}</x14:id>
        </ext>
      </extLst>
    </cfRule>
    <cfRule type="dataBar" priority="19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{BAC3E71F-2E2D-4529-B751-326CAD92C420}</x14:id>
        </ext>
      </extLst>
    </cfRule>
    <cfRule type="dataBar" priority="19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{24F3860C-49B2-4485-9E25-BD4A4392CDFB}</x14:id>
        </ext>
      </extLst>
    </cfRule>
    <cfRule type="dataBar" priority="19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{2601C817-F49B-4659-8CCC-59F2BA370791}</x14:id>
        </ext>
      </extLst>
    </cfRule>
    <cfRule type="dataBar" priority="19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{5FE9D59C-185E-471F-B780-056E688BB0C6}</x14:id>
        </ext>
      </extLst>
    </cfRule>
    <cfRule type="dataBar" priority="19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{4E25BDD7-26EE-42F5-B7A9-FEDC48DB17FA}</x14:id>
        </ext>
      </extLst>
    </cfRule>
    <cfRule type="dataBar" priority="19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{3206FA3C-67BC-4D98-980D-6B95B8213812}</x14:id>
        </ext>
      </extLst>
    </cfRule>
    <cfRule type="dataBar" priority="19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{C04A7ADF-0672-4BCF-BB5A-546F4DF9E518}</x14:id>
        </ext>
      </extLst>
    </cfRule>
    <cfRule type="dataBar" priority="19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{59E985C5-CC0D-4B49-B129-7D77C4540B1A}</x14:id>
        </ext>
      </extLst>
    </cfRule>
    <cfRule type="dataBar" priority="19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{A1A5E89E-3418-4449-9330-221862A30D1A}</x14:id>
        </ext>
      </extLst>
    </cfRule>
    <cfRule type="dataBar" priority="19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{89857186-8E87-4E5C-BBED-97B3496D8882}</x14:id>
        </ext>
      </extLst>
    </cfRule>
    <cfRule type="dataBar" priority="19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{B21E9A05-381E-4BFE-A1EE-2BCE3F292E09}</x14:id>
        </ext>
      </extLst>
    </cfRule>
    <cfRule type="dataBar" priority="19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{A8CC5F7C-759B-4E81-B469-5879D17EAE61}</x14:id>
        </ext>
      </extLst>
    </cfRule>
    <cfRule type="dataBar" priority="1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{F94E50AB-ECC4-433D-A891-2078A34EE4C9}</x14:id>
        </ext>
      </extLst>
    </cfRule>
  </conditionalFormatting>
  <conditionalFormatting sqref="L18">
    <cfRule type="dataBar" priority="19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{F19E3319-430B-4353-BEE3-EB6E3ADAD903}</x14:id>
        </ext>
      </extLst>
    </cfRule>
    <cfRule type="dataBar" priority="19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{CADFC786-9F70-457A-B7E7-CF5C156F7C51}</x14:id>
        </ext>
      </extLst>
    </cfRule>
    <cfRule type="dataBar" priority="19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{2392876A-2756-4444-9B01-41385FFE3FEA}</x14:id>
        </ext>
      </extLst>
    </cfRule>
    <cfRule type="dataBar" priority="1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{AE072CE8-D172-492C-8C23-11194B40631E}</x14:id>
        </ext>
      </extLst>
    </cfRule>
    <cfRule type="dataBar" priority="19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{B8D3D22B-E571-4AEE-9010-1BF41FCD6AAD}</x14:id>
        </ext>
      </extLst>
    </cfRule>
    <cfRule type="dataBar" priority="19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{C0A6A640-75A9-44AB-9DAB-6901BB7AF159}</x14:id>
        </ext>
      </extLst>
    </cfRule>
    <cfRule type="dataBar" priority="19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{7E9DD8E2-670E-4C22-AA87-B7D38CE7EE81}</x14:id>
        </ext>
      </extLst>
    </cfRule>
    <cfRule type="dataBar" priority="19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{69E8CF9D-0B48-4B7E-BA46-1A630E8E60B3}</x14:id>
        </ext>
      </extLst>
    </cfRule>
    <cfRule type="dataBar" priority="1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{759234B1-172D-4F8F-AA1D-2DFBBC118F00}</x14:id>
        </ext>
      </extLst>
    </cfRule>
    <cfRule type="dataBar" priority="19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{517EF3DE-3A45-425A-875E-9849875FE04F}</x14:id>
        </ext>
      </extLst>
    </cfRule>
    <cfRule type="dataBar" priority="19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{FC78567A-E6BA-4E6A-898A-BE8F3D35E6FD}</x14:id>
        </ext>
      </extLst>
    </cfRule>
    <cfRule type="dataBar" priority="19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{0B9EBB12-562A-4C36-9213-0599190EAF67}</x14:id>
        </ext>
      </extLst>
    </cfRule>
    <cfRule type="dataBar" priority="1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{CC8C27E7-C88E-48FD-ADD7-D5EF6F6DC975}</x14:id>
        </ext>
      </extLst>
    </cfRule>
    <cfRule type="dataBar" priority="19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{A8ABB157-4783-4C14-937A-A381F0F39128}</x14:id>
        </ext>
      </extLst>
    </cfRule>
    <cfRule type="dataBar" priority="19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{29F17222-4B47-462A-B7BC-291FF2378EFB}</x14:id>
        </ext>
      </extLst>
    </cfRule>
    <cfRule type="dataBar" priority="19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{C10C1B38-EB79-49DF-B867-3BB41CBA2941}</x14:id>
        </ext>
      </extLst>
    </cfRule>
    <cfRule type="dataBar" priority="1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{A61586CA-AF74-40C1-B98B-4D0401CC77C0}</x14:id>
        </ext>
      </extLst>
    </cfRule>
    <cfRule type="dataBar" priority="191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{307D2CAF-F74D-4405-BEDE-5341ADEF9472}</x14:id>
        </ext>
      </extLst>
    </cfRule>
    <cfRule type="dataBar" priority="19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{42A2A4BA-A999-4355-B414-87AFEF9B4BDA}</x14:id>
        </ext>
      </extLst>
    </cfRule>
    <cfRule type="dataBar" priority="194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{905F24F9-2956-4EE7-99ED-341C70525DA3}</x14:id>
        </ext>
      </extLst>
    </cfRule>
    <cfRule type="dataBar" priority="1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{182AB0CE-FA1C-4BA9-AED4-782C37FBA02B}</x14:id>
        </ext>
      </extLst>
    </cfRule>
    <cfRule type="dataBar" priority="194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{D928BB67-5E01-4AB2-83BC-A9FDC5605128}</x14:id>
        </ext>
      </extLst>
    </cfRule>
    <cfRule type="dataBar" priority="194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{75A46E9E-BB03-4872-8603-A0433F52DE57}</x14:id>
        </ext>
      </extLst>
    </cfRule>
    <cfRule type="dataBar" priority="194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{F3A523BA-A9B5-4E52-BD67-440A2361D5B2}</x14:id>
        </ext>
      </extLst>
    </cfRule>
    <cfRule type="dataBar" priority="19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{262DC7EE-8FEB-4C7E-9BF0-401E06E32BFC}</x14:id>
        </ext>
      </extLst>
    </cfRule>
    <cfRule type="dataBar" priority="1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{74097DFF-746B-47AC-83DA-5DBBD1A0EE4D}</x14:id>
        </ext>
      </extLst>
    </cfRule>
    <cfRule type="dataBar" priority="19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{58D2B52B-7D6D-4D3A-A522-CDA3702A4B9C}</x14:id>
        </ext>
      </extLst>
    </cfRule>
    <cfRule type="dataBar" priority="19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{19EA2381-862E-4D30-B820-E6813E4B80FD}</x14:id>
        </ext>
      </extLst>
    </cfRule>
    <cfRule type="dataBar" priority="19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{15CDD304-B4B3-46C6-BB3A-8E89562AB684}</x14:id>
        </ext>
      </extLst>
    </cfRule>
    <cfRule type="dataBar" priority="1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{3DC25C8B-A24F-450E-BE66-DFE26D83D625}</x14:id>
        </ext>
      </extLst>
    </cfRule>
  </conditionalFormatting>
  <conditionalFormatting sqref="L19">
    <cfRule type="dataBar" priority="19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{754A02C6-03A7-416E-B0ED-2C7CF866B1DC}</x14:id>
        </ext>
      </extLst>
    </cfRule>
    <cfRule type="dataBar" priority="19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{47BAB774-31C9-4AAF-84E8-FA1888D26C07}</x14:id>
        </ext>
      </extLst>
    </cfRule>
    <cfRule type="dataBar" priority="1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{E7FC08F0-0289-4457-99B5-B005F13981AB}</x14:id>
        </ext>
      </extLst>
    </cfRule>
    <cfRule type="dataBar" priority="189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{D5248450-38DD-4A53-8B11-54F57CC52FC8}</x14:id>
        </ext>
      </extLst>
    </cfRule>
    <cfRule type="dataBar" priority="1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{C37C666C-1ED4-4048-81D7-38815C7608A7}</x14:id>
        </ext>
      </extLst>
    </cfRule>
    <cfRule type="dataBar" priority="190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{589CB327-FA24-43F9-8868-746CB8F31FEE}</x14:id>
        </ext>
      </extLst>
    </cfRule>
    <cfRule type="dataBar" priority="1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{1416A761-6D26-4E2B-B5F4-3D05A6DD3E00}</x14:id>
        </ext>
      </extLst>
    </cfRule>
    <cfRule type="dataBar" priority="18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{868C728D-9897-4751-B71F-965ABD0269FD}</x14:id>
        </ext>
      </extLst>
    </cfRule>
    <cfRule type="dataBar" priority="19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{28E98090-295E-4A82-A838-A07BEA55DB20}</x14:id>
        </ext>
      </extLst>
    </cfRule>
    <cfRule type="dataBar" priority="19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{95F574A9-4283-4648-A635-9636BC85A251}</x14:id>
        </ext>
      </extLst>
    </cfRule>
    <cfRule type="dataBar" priority="1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{66C26E6D-EF81-442B-BB78-9FE8F9AB3801}</x14:id>
        </ext>
      </extLst>
    </cfRule>
    <cfRule type="dataBar" priority="19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{137B3ACC-87C3-44A8-9135-03B8D9290CB2}</x14:id>
        </ext>
      </extLst>
    </cfRule>
    <cfRule type="dataBar" priority="190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{7F09B4C5-ACE3-4768-9EF4-9F371CD89D1E}</x14:id>
        </ext>
      </extLst>
    </cfRule>
    <cfRule type="dataBar" priority="1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{7469BBCA-2048-4431-88E7-9763DDA67903}</x14:id>
        </ext>
      </extLst>
    </cfRule>
    <cfRule type="dataBar" priority="190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{B4F24778-91F2-4C15-8B57-355595F3D56D}</x14:id>
        </ext>
      </extLst>
    </cfRule>
    <cfRule type="dataBar" priority="18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{49DCD459-3CFB-457F-A5EA-A704EE7EDFFB}</x14:id>
        </ext>
      </extLst>
    </cfRule>
    <cfRule type="dataBar" priority="190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{049496E7-5CFA-493A-8918-2AD2A54EF559}</x14:id>
        </ext>
      </extLst>
    </cfRule>
    <cfRule type="dataBar" priority="191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{2A6E99B1-69F7-4B86-A4FD-96B50EF89720}</x14:id>
        </ext>
      </extLst>
    </cfRule>
    <cfRule type="dataBar" priority="191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{7A3D318C-0652-4540-B5CC-74F30B79CAE0}</x14:id>
        </ext>
      </extLst>
    </cfRule>
    <cfRule type="dataBar" priority="191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{D134DF5B-5F9C-4486-8F9E-5B07EFB9A06C}</x14:id>
        </ext>
      </extLst>
    </cfRule>
    <cfRule type="dataBar" priority="18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{D8CDFFCD-54CC-4473-B417-06AE55BEBFB4}</x14:id>
        </ext>
      </extLst>
    </cfRule>
    <cfRule type="dataBar" priority="189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{91E4CFFF-808C-497E-8504-55AB6D2E0623}</x14:id>
        </ext>
      </extLst>
    </cfRule>
    <cfRule type="dataBar" priority="1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{7DEDDF0F-4BC9-480F-BD07-AF45D61FD544}</x14:id>
        </ext>
      </extLst>
    </cfRule>
    <cfRule type="dataBar" priority="18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{D09ECB22-5671-4CA7-A5FD-13379625BE26}</x14:id>
        </ext>
      </extLst>
    </cfRule>
    <cfRule type="dataBar" priority="18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{A2E6B7CB-FBC7-4D6F-80ED-1D53872A47F0}</x14:id>
        </ext>
      </extLst>
    </cfRule>
    <cfRule type="dataBar" priority="18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{52B28D95-4361-4C1C-B8F9-66E5274F537A}</x14:id>
        </ext>
      </extLst>
    </cfRule>
    <cfRule type="dataBar" priority="18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{77387639-1D11-4FF3-92A8-1DB0AB997402}</x14:id>
        </ext>
      </extLst>
    </cfRule>
    <cfRule type="dataBar" priority="18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{C9030108-8D5A-4E48-BFD3-C2AC2AF183B2}</x14:id>
        </ext>
      </extLst>
    </cfRule>
    <cfRule type="dataBar" priority="18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{D2D1CCE2-572C-403C-88AE-483B9E56A60F}</x14:id>
        </ext>
      </extLst>
    </cfRule>
    <cfRule type="dataBar" priority="189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{42BA900A-4018-490D-A525-1EC91955F876}</x14:id>
        </ext>
      </extLst>
    </cfRule>
  </conditionalFormatting>
  <conditionalFormatting sqref="L20">
    <cfRule type="dataBar" priority="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{B1788D91-5C85-4C2F-A4F1-623AC936D408}</x14:id>
        </ext>
      </extLst>
    </cfRule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{6D863427-08E6-4643-BA74-98A144A94615}</x14:id>
        </ext>
      </extLst>
    </cfRule>
    <cfRule type="dataBar" priority="9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{3005FD36-8CF4-4688-A535-BCFF362229D5}</x14:id>
        </ext>
      </extLst>
    </cfRule>
    <cfRule type="dataBar" priority="9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{6400504D-D9F7-4F0F-B62B-7B39E578F304}</x14:id>
        </ext>
      </extLst>
    </cfRule>
    <cfRule type="dataBar" priority="9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{0B96EE23-ECA1-4813-9E4E-16B855925F2B}</x14:id>
        </ext>
      </extLst>
    </cfRule>
    <cfRule type="dataBar" priority="94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{BCF0B0AE-08FA-4C03-81AA-831363092D7A}</x14:id>
        </ext>
      </extLst>
    </cfRule>
    <cfRule type="dataBar" priority="9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{E16A5766-E298-453A-BE50-B6AA2EE4EA56}</x14:id>
        </ext>
      </extLst>
    </cfRule>
    <cfRule type="dataBar" priority="9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{C973424A-74DE-41E9-8182-E319306EDEB3}</x14:id>
        </ext>
      </extLst>
    </cfRule>
    <cfRule type="dataBar" priority="94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{4F973CBB-4485-4ADF-A48B-8BC8D5974F38}</x14:id>
        </ext>
      </extLst>
    </cfRule>
    <cfRule type="dataBar" priority="94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{554623B7-DE28-433B-9B0E-9EB737F082BF}</x14:id>
        </ext>
      </extLst>
    </cfRule>
    <cfRule type="dataBar" priority="94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{DB8E9DCF-668E-4638-A384-9AECF0B10D25}</x14:id>
        </ext>
      </extLst>
    </cfRule>
    <cfRule type="dataBar" priority="94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{A808E87D-C179-48E4-8D89-7BFA35C36525}</x14:id>
        </ext>
      </extLst>
    </cfRule>
    <cfRule type="dataBar" priority="9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{EE89F133-D988-4022-BD1F-69C4E50D2FC6}</x14:id>
        </ext>
      </extLst>
    </cfRule>
  </conditionalFormatting>
  <conditionalFormatting sqref="L21:L28">
    <cfRule type="dataBar" priority="45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{E517FCFA-07D3-42F6-9D2D-67DC7B11FAA6}</x14:id>
        </ext>
      </extLst>
    </cfRule>
    <cfRule type="dataBar" priority="45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{31E7F0FF-9C38-448B-8C34-D061C7FC2061}</x14:id>
        </ext>
      </extLst>
    </cfRule>
    <cfRule type="dataBar" priority="46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{7235033F-90C5-450D-8A9C-06AD573196DE}</x14:id>
        </ext>
      </extLst>
    </cfRule>
    <cfRule type="dataBar" priority="46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{B28555B9-998F-4AEE-A89E-B4EE8790A2F1}</x14:id>
        </ext>
      </extLst>
    </cfRule>
    <cfRule type="dataBar" priority="4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{6B1E06E1-8FAF-4636-9B6A-4CCDD244A0F0}</x14:id>
        </ext>
      </extLst>
    </cfRule>
    <cfRule type="dataBar" priority="46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{E4004B5E-A8F2-4BBF-BD9C-42AB3EDA0584}</x14:id>
        </ext>
      </extLst>
    </cfRule>
    <cfRule type="dataBar" priority="46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{D6D906B3-EAC3-4C7F-8E76-D364B1E7A0A3}</x14:id>
        </ext>
      </extLst>
    </cfRule>
    <cfRule type="dataBar" priority="4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{B7AE76F0-BA6C-4E8B-80A4-31A0C52A294C}</x14:id>
        </ext>
      </extLst>
    </cfRule>
    <cfRule type="dataBar" priority="4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{ED2B93F7-6738-4DA4-AD5D-02082F9C5880}</x14:id>
        </ext>
      </extLst>
    </cfRule>
    <cfRule type="dataBar" priority="46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{8795AE71-0094-4385-A45F-1868B0EADA87}</x14:id>
        </ext>
      </extLst>
    </cfRule>
    <cfRule type="dataBar" priority="4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{AD7F9E98-FD71-4A2A-A71F-66F492257320}</x14:id>
        </ext>
      </extLst>
    </cfRule>
    <cfRule type="dataBar" priority="459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{A0786274-0A3D-4503-83F5-068E396386B9}</x14:id>
        </ext>
      </extLst>
    </cfRule>
    <cfRule type="dataBar" priority="459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{3DA58D76-4845-4EE3-8409-F9D6DE01344C}</x14:id>
        </ext>
      </extLst>
    </cfRule>
    <cfRule type="dataBar" priority="459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{E26CE86F-D3AE-4DF8-8EA0-B41461A4454E}</x14:id>
        </ext>
      </extLst>
    </cfRule>
    <cfRule type="dataBar" priority="459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{5ACFFA86-76F8-4C8A-A85B-903CCF87E6A5}</x14:id>
        </ext>
      </extLst>
    </cfRule>
    <cfRule type="dataBar" priority="4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{277A2412-5A6B-4C86-87D7-E5C1C07EEC3B}</x14:id>
        </ext>
      </extLst>
    </cfRule>
    <cfRule type="dataBar" priority="45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{7AD84A41-032E-4763-B155-613F2D6E15FB}</x14:id>
        </ext>
      </extLst>
    </cfRule>
  </conditionalFormatting>
  <conditionalFormatting sqref="L29">
    <cfRule type="dataBar" priority="46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{9D9C000F-A58C-47E6-853B-21E04AA4B8C4}</x14:id>
        </ext>
      </extLst>
    </cfRule>
    <cfRule type="dataBar" priority="46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{6F8B72A7-3BE6-4411-B04A-D2D9338AB389}</x14:id>
        </ext>
      </extLst>
    </cfRule>
    <cfRule type="dataBar" priority="46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{52934EF0-D1D1-49D2-B743-57470F57DE49}</x14:id>
        </ext>
      </extLst>
    </cfRule>
    <cfRule type="dataBar" priority="46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{70F3FD7E-2C7F-4E47-8EBC-EC78AC666DAE}</x14:id>
        </ext>
      </extLst>
    </cfRule>
    <cfRule type="dataBar" priority="4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{677AB342-5476-4FA2-92F4-20A8A945F19F}</x14:id>
        </ext>
      </extLst>
    </cfRule>
    <cfRule type="dataBar" priority="4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{0D090097-F659-4E58-8FAD-E8179CA3755E}</x14:id>
        </ext>
      </extLst>
    </cfRule>
    <cfRule type="dataBar" priority="46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{F84E43BD-AD67-4603-B603-F700E416368B}</x14:id>
        </ext>
      </extLst>
    </cfRule>
    <cfRule type="dataBar" priority="46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{03C43434-5E4F-4418-8C63-D79DF46C83DE}</x14:id>
        </ext>
      </extLst>
    </cfRule>
    <cfRule type="dataBar" priority="4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{D6AD9419-EFB5-4E43-B4CD-4049F3513B2F}</x14:id>
        </ext>
      </extLst>
    </cfRule>
    <cfRule type="dataBar" priority="46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{474A6812-FC9F-41B4-83E3-109B334F74D2}</x14:id>
        </ext>
      </extLst>
    </cfRule>
    <cfRule type="dataBar" priority="46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{A553CB22-3DCF-4C2B-810A-DB23FBB64C01}</x14:id>
        </ext>
      </extLst>
    </cfRule>
    <cfRule type="dataBar" priority="46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{8B7BA72B-372F-4523-BCE6-4B3BF970D111}</x14:id>
        </ext>
      </extLst>
    </cfRule>
    <cfRule type="dataBar" priority="46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{EBD3D4A1-6029-4707-8D92-86DDF8DD6D9D}</x14:id>
        </ext>
      </extLst>
    </cfRule>
  </conditionalFormatting>
  <conditionalFormatting sqref="L30">
    <cfRule type="dataBar" priority="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{D0F51716-A2F9-4144-ADF1-3F367635198E}</x14:id>
        </ext>
      </extLst>
    </cfRule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{BEF76D8C-75B8-43C3-BC3D-976E5C8A924D}</x14:id>
        </ext>
      </extLst>
    </cfRule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{09E8415D-D67B-4525-AD13-4DC3C97CEFDC}</x14:id>
        </ext>
      </extLst>
    </cfRule>
    <cfRule type="dataBar" priority="5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{D83FCB56-FE26-43F0-97B0-CD8638D80C44}</x14:id>
        </ext>
      </extLst>
    </cfRule>
    <cfRule type="dataBar" priority="5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{A6951721-BD2B-4D54-8921-429494EE021E}</x14:id>
        </ext>
      </extLst>
    </cfRule>
    <cfRule type="dataBar" priority="5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{C4F90650-EB80-43D2-88DE-6F63FE3928B6}</x14:id>
        </ext>
      </extLst>
    </cfRule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{FED2CF70-2F96-48B4-B140-D8A08C286918}</x14:id>
        </ext>
      </extLst>
    </cfRule>
    <cfRule type="dataBar" priority="5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{3CDEBF6D-1DB0-4AAB-B648-B5D9CA333A3A}</x14:id>
        </ext>
      </extLst>
    </cfRule>
    <cfRule type="dataBar" priority="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{84125EA4-89E1-4C07-B298-811152D9FFE9}</x14:id>
        </ext>
      </extLst>
    </cfRule>
    <cfRule type="dataBar" priority="5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{866695FD-6C58-4DE0-8FB9-8F729B32686B}</x14:id>
        </ext>
      </extLst>
    </cfRule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{649BD7EB-65BE-4BCE-93C8-CA185BD56BBA}</x14:id>
        </ext>
      </extLst>
    </cfRule>
    <cfRule type="dataBar" priority="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{86E3CE78-71A6-4645-9453-8433810E4060}</x14:id>
        </ext>
      </extLst>
    </cfRule>
    <cfRule type="dataBar" priority="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{2A1E9DB8-B53F-44CF-ADBA-7944580B2484}</x14:id>
        </ext>
      </extLst>
    </cfRule>
  </conditionalFormatting>
  <conditionalFormatting sqref="M22:N23 M21 N24:N26 K5:K27 M5:N20 M24:M28">
    <cfRule type="dataBar" priority="44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{7CAE5FA0-0F5D-4BA7-AD6A-7C7BD5954DF7}</x14:id>
        </ext>
      </extLst>
    </cfRule>
    <cfRule type="dataBar" priority="4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{CB5368C1-7D30-449F-914C-19A5CA65E2EA}</x14:id>
        </ext>
      </extLst>
    </cfRule>
    <cfRule type="dataBar" priority="44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{9BF19839-E5FE-4D36-AEB7-F78BF191B115}</x14:id>
        </ext>
      </extLst>
    </cfRule>
    <cfRule type="dataBar" priority="4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{A265052A-C0B5-4462-B347-567055D5E6F3}</x14:id>
        </ext>
      </extLst>
    </cfRule>
    <cfRule type="dataBar" priority="45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{60306039-3934-4616-9CBD-3A701543EA99}</x14:id>
        </ext>
      </extLst>
    </cfRule>
    <cfRule type="dataBar" priority="45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{5AB04894-D796-4F6B-A4DA-CA6B8063AACF}</x14:id>
        </ext>
      </extLst>
    </cfRule>
    <cfRule type="dataBar" priority="453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{6DF1B89C-0683-47ED-AFEF-C7C529826DAE}</x14:id>
        </ext>
      </extLst>
    </cfRule>
    <cfRule type="dataBar" priority="44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{F7AE4ECA-A268-434E-A2EB-F64B79E81BDB}</x14:id>
        </ext>
      </extLst>
    </cfRule>
    <cfRule type="dataBar" priority="4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{0DD6153F-E9F4-466F-9121-153935F8005A}</x14:id>
        </ext>
      </extLst>
    </cfRule>
    <cfRule type="dataBar" priority="4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{9B8404A0-BC41-40EA-B12E-D118230EA677}</x14:id>
        </ext>
      </extLst>
    </cfRule>
    <cfRule type="dataBar" priority="45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{2C5D4512-61CF-4468-B17B-6B7FBFABB145}</x14:id>
        </ext>
      </extLst>
    </cfRule>
    <cfRule type="dataBar" priority="45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{5D0DF237-A905-4AD4-A8FF-B2CFBD60E29D}</x14:id>
        </ext>
      </extLst>
    </cfRule>
    <cfRule type="dataBar" priority="44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{E66CDBD8-1E8E-4BA5-A572-2EA084C0C3B3}</x14:id>
        </ext>
      </extLst>
    </cfRule>
    <cfRule type="dataBar" priority="44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{2CF53D0F-CB93-4840-B27F-2FC9D8821C57}</x14:id>
        </ext>
      </extLst>
    </cfRule>
    <cfRule type="dataBar" priority="44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{C4F753C6-8849-414C-AB46-DFF8723319F9}</x14:id>
        </ext>
      </extLst>
    </cfRule>
    <cfRule type="dataBar" priority="4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{2180E462-2599-44FD-863E-CAE82FDFDA96}</x14:id>
        </ext>
      </extLst>
    </cfRule>
    <cfRule type="dataBar" priority="44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{D397C91E-3E05-472C-BFE5-49194574B2C4}</x14:id>
        </ext>
      </extLst>
    </cfRule>
  </conditionalFormatting>
  <conditionalFormatting sqref="O6">
    <cfRule type="dataBar" priority="27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{C3F2CFE3-5BF3-45E3-9A71-15356F7FCD67}</x14:id>
        </ext>
      </extLst>
    </cfRule>
  </conditionalFormatting>
  <conditionalFormatting sqref="O7:O14 O5 O16:O18 O20:O22">
    <cfRule type="dataBar" priority="3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{E7ED2F09-96E2-4CFA-8F0B-D6E6CC2B8301}</x14:id>
        </ext>
      </extLst>
    </cfRule>
  </conditionalFormatting>
  <conditionalFormatting sqref="O15">
    <cfRule type="dataBar" priority="27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{FAFE9C79-4D45-47D6-8253-7C79C5E455DB}</x14:id>
        </ext>
      </extLst>
    </cfRule>
  </conditionalFormatting>
  <conditionalFormatting sqref="O17">
    <cfRule type="dataBar" priority="295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{60BC9725-B1A1-4C4D-9361-249C0985175F}</x14:id>
        </ext>
      </extLst>
    </cfRule>
  </conditionalFormatting>
  <conditionalFormatting sqref="O18">
    <cfRule type="dataBar" priority="295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{BB73FA50-F068-4624-A8D9-4030FC9D638C}</x14:id>
        </ext>
      </extLst>
    </cfRule>
  </conditionalFormatting>
  <conditionalFormatting sqref="O19">
    <cfRule type="dataBar" priority="278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{993976E0-C885-4FF7-9A43-EC956F29A931}</x14:id>
        </ext>
      </extLst>
    </cfRule>
  </conditionalFormatting>
  <conditionalFormatting sqref="O20">
    <cfRule type="dataBar" priority="294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{CD494CB9-F0EE-440E-89B6-CDFCE9C8B0D8}</x14:id>
        </ext>
      </extLst>
    </cfRule>
  </conditionalFormatting>
  <conditionalFormatting sqref="O24">
    <cfRule type="dataBar" priority="28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{56D629D2-107E-4EDC-95DD-3C9A9B063BBB}</x14:id>
        </ext>
      </extLst>
    </cfRule>
  </conditionalFormatting>
  <conditionalFormatting sqref="P5:P22">
    <cfRule type="dataBar" priority="38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{F9C43E98-E2B6-4542-84CE-D79FD7CE67ED}</x14:id>
        </ext>
      </extLst>
    </cfRule>
    <cfRule type="dataBar" priority="38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{5A9FF98D-E178-4DC0-8EE0-5E45ED4DC58F}</x14:id>
        </ext>
      </extLst>
    </cfRule>
    <cfRule type="dataBar" priority="3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{8AA578F0-8910-49D4-9E4F-83072929C7D4}</x14:id>
        </ext>
      </extLst>
    </cfRule>
    <cfRule type="dataBar" priority="38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{F0F413B3-0160-45E4-8D8A-65AFC6AFFAD7}</x14:id>
        </ext>
      </extLst>
    </cfRule>
    <cfRule type="dataBar" priority="3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{EF49A4E6-CAC0-416D-9DE9-531EEBF3F681}</x14:id>
        </ext>
      </extLst>
    </cfRule>
    <cfRule type="dataBar" priority="38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{302CDE76-77B0-4253-BE74-E212E944988E}</x14:id>
        </ext>
      </extLst>
    </cfRule>
  </conditionalFormatting>
  <conditionalFormatting sqref="P5:P23">
    <cfRule type="dataBar" priority="382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{B7414B7E-6424-4434-83EB-A02FF2519138}</x14:id>
        </ext>
      </extLst>
    </cfRule>
    <cfRule type="dataBar" priority="382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{37475A83-801D-4AB3-A373-458244B1EDC3}</x14:id>
        </ext>
      </extLst>
    </cfRule>
  </conditionalFormatting>
  <conditionalFormatting sqref="P5:P26">
    <cfRule type="dataBar" priority="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{6E8AA8E0-037F-45AA-86AE-2AB08517531F}</x14:id>
        </ext>
      </extLst>
    </cfRule>
    <cfRule type="dataBar" priority="478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{D5DB1338-B179-4F98-807B-E1DBBA128ECA}</x14:id>
        </ext>
      </extLst>
    </cfRule>
  </conditionalFormatting>
  <conditionalFormatting sqref="P23">
    <cfRule type="dataBar" priority="29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{6815F53B-4B62-4D4D-A522-26D1FE293853}</x14:id>
        </ext>
      </extLst>
    </cfRule>
    <cfRule type="dataBar" priority="2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{5484A15C-3971-4E21-A5DC-42B714647D3A}</x14:id>
        </ext>
      </extLst>
    </cfRule>
    <cfRule type="dataBar" priority="292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{7021E375-B90A-49A7-B627-00BBE1086189}</x14:id>
        </ext>
      </extLst>
    </cfRule>
    <cfRule type="dataBar" priority="292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{8EE00858-91AB-41CF-B2D4-230473E49FEC}</x14:id>
        </ext>
      </extLst>
    </cfRule>
    <cfRule type="dataBar" priority="2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{70FB786E-03CE-4E54-9553-5AF9704E35C4}</x14:id>
        </ext>
      </extLst>
    </cfRule>
    <cfRule type="dataBar" priority="29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{661C5F49-9E7F-46DC-85CB-F22F1F77E991}</x14:id>
        </ext>
      </extLst>
    </cfRule>
  </conditionalFormatting>
  <conditionalFormatting sqref="P24">
    <cfRule type="dataBar" priority="2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{55C68418-B8BD-4983-A9DD-5CB6396B4037}</x14:id>
        </ext>
      </extLst>
    </cfRule>
    <cfRule type="dataBar" priority="28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{4121A555-4145-4ABD-A13F-2F1F8FF46DB9}</x14:id>
        </ext>
      </extLst>
    </cfRule>
    <cfRule type="dataBar" priority="2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{94811605-8F57-4286-B165-DB73D89A23F6}</x14:id>
        </ext>
      </extLst>
    </cfRule>
    <cfRule type="dataBar" priority="28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{714598AC-E6E5-461F-8D29-8DA9E312D041}</x14:id>
        </ext>
      </extLst>
    </cfRule>
    <cfRule type="dataBar" priority="284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{3DFAF9DA-0E30-4F55-806A-C4D7B470EF97}</x14:id>
        </ext>
      </extLst>
    </cfRule>
    <cfRule type="dataBar" priority="28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{84C8B6B5-EB1B-4B8A-9FC4-DD06F88000A3}</x14:id>
        </ext>
      </extLst>
    </cfRule>
    <cfRule type="dataBar" priority="284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{C7294595-35A9-4650-84E5-678E336C2894}</x14:id>
        </ext>
      </extLst>
    </cfRule>
    <cfRule type="dataBar" priority="284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{B0F15433-1AF2-4B35-8989-60A0E19A2F5E}</x14:id>
        </ext>
      </extLst>
    </cfRule>
  </conditionalFormatting>
  <conditionalFormatting sqref="P25">
    <cfRule type="dataBar" priority="274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{B470FE5A-60E8-49E4-85B0-03351857C8C1}</x14:id>
        </ext>
      </extLst>
    </cfRule>
    <cfRule type="dataBar" priority="27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{C57783FB-BD26-4556-889B-B732AEAC311E}</x14:id>
        </ext>
      </extLst>
    </cfRule>
    <cfRule type="dataBar" priority="274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{DC59D84D-D39E-42E0-8877-AC2CE0255942}</x14:id>
        </ext>
      </extLst>
    </cfRule>
    <cfRule type="dataBar" priority="273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{A1A572C2-B580-4611-B749-6DD48536E40F}</x14:id>
        </ext>
      </extLst>
    </cfRule>
    <cfRule type="dataBar" priority="27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{9E030D58-EC29-4CB1-A622-1ED507709AC6}</x14:id>
        </ext>
      </extLst>
    </cfRule>
    <cfRule type="dataBar" priority="2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{45D42A8C-D01F-42B4-9D79-97DD8F43EB12}</x14:id>
        </ext>
      </extLst>
    </cfRule>
    <cfRule type="dataBar" priority="27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{C9A81004-A069-4FC7-9A12-F62532A4DD62}</x14:id>
        </ext>
      </extLst>
    </cfRule>
    <cfRule type="dataBar" priority="2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{4A4CC733-BDC2-4B8E-8E31-D664FFF7839E}</x14:id>
        </ext>
      </extLst>
    </cfRule>
  </conditionalFormatting>
  <conditionalFormatting sqref="P26">
    <cfRule type="dataBar" priority="4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{3D20F006-6375-492A-B5D1-8EE7A7043592}</x14:id>
        </ext>
      </extLst>
    </cfRule>
    <cfRule type="dataBar" priority="467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{9295D410-9216-417A-AC1E-32C50ACC8A31}</x14:id>
        </ext>
      </extLst>
    </cfRule>
    <cfRule type="dataBar" priority="46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{8D968E19-F47B-4362-B971-0CBC16BE8207}</x14:id>
        </ext>
      </extLst>
    </cfRule>
    <cfRule type="dataBar" priority="467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{C8BCAF9D-6975-4B02-A48D-8404E57BB462}</x14:id>
        </ext>
      </extLst>
    </cfRule>
    <cfRule type="dataBar" priority="4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{38012976-11C8-4E69-9CAD-0BF54FDE4354}</x14:id>
        </ext>
      </extLst>
    </cfRule>
    <cfRule type="dataBar" priority="46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{05F5FAC7-0AD1-4940-8B3B-35051E915A5A}</x14:id>
        </ext>
      </extLst>
    </cfRule>
    <cfRule type="dataBar" priority="468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{3CEEB475-5A11-485E-810D-C0CC841CEF5A}</x14:id>
        </ext>
      </extLst>
    </cfRule>
    <cfRule type="dataBar" priority="468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{3627468F-1525-4DFA-9AEB-2CDCF4A2A51B}</x14:id>
        </ext>
      </extLst>
    </cfRule>
  </conditionalFormatting>
  <conditionalFormatting sqref="Q5">
    <cfRule type="dataBar" priority="2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{B8F37E4E-A718-498B-A352-441AA00FBE5C}</x14:id>
        </ext>
      </extLst>
    </cfRule>
    <cfRule type="dataBar" priority="2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{FE696C29-ECEF-4ADF-8C50-BE4D35B47043}</x14:id>
        </ext>
      </extLst>
    </cfRule>
    <cfRule type="dataBar" priority="26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{39E0E0E8-E422-45B4-8E7F-8493E480EBAA}</x14:id>
        </ext>
      </extLst>
    </cfRule>
    <cfRule type="dataBar" priority="26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{5EE8F190-280D-47F8-A57E-63DC3F777B98}</x14:id>
        </ext>
      </extLst>
    </cfRule>
    <cfRule type="dataBar" priority="26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{E4A73E61-FF4C-4BB9-938C-AD64C7E65549}</x14:id>
        </ext>
      </extLst>
    </cfRule>
    <cfRule type="dataBar" priority="26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{C36052E5-2C1A-42DE-9513-697664080075}</x14:id>
        </ext>
      </extLst>
    </cfRule>
    <cfRule type="dataBar" priority="264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{1FF9686C-FD6A-422E-8A2C-596C9302E1CC}</x14:id>
        </ext>
      </extLst>
    </cfRule>
    <cfRule type="dataBar" priority="264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{39D6827B-83D9-49CC-9A4B-75468A3C88D2}</x14:id>
        </ext>
      </extLst>
    </cfRule>
    <cfRule type="dataBar" priority="26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{ED257918-98E7-4481-BA46-7DB280911E51}</x14:id>
        </ext>
      </extLst>
    </cfRule>
    <cfRule type="dataBar" priority="26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{EE94B313-6614-4C8F-ACA5-988102385B49}</x14:id>
        </ext>
      </extLst>
    </cfRule>
    <cfRule type="dataBar" priority="264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{EBFAEF47-BD29-4B00-AE75-E1404B934255}</x14:id>
        </ext>
      </extLst>
    </cfRule>
    <cfRule type="dataBar" priority="264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{F511BAAD-6009-4055-9C41-DB03972F0B35}</x14:id>
        </ext>
      </extLst>
    </cfRule>
    <cfRule type="dataBar" priority="264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{AB5A89A1-BC6C-457F-B54B-06B6F5B89B4B}</x14:id>
        </ext>
      </extLst>
    </cfRule>
    <cfRule type="dataBar" priority="2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{7BC6CBAC-A767-4554-81C7-9BEADEBBC371}</x14:id>
        </ext>
      </extLst>
    </cfRule>
    <cfRule type="dataBar" priority="265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{72A6B944-1498-4B86-AE11-D25AEA1DF76B}</x14:id>
        </ext>
      </extLst>
    </cfRule>
    <cfRule type="dataBar" priority="26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{643F8CF9-3F48-41E1-9507-1A93170EE2EC}</x14:id>
        </ext>
      </extLst>
    </cfRule>
    <cfRule type="dataBar" priority="2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{7CD9DF77-14D8-469F-9C6D-D108736604C5}</x14:id>
        </ext>
      </extLst>
    </cfRule>
  </conditionalFormatting>
  <conditionalFormatting sqref="Q6">
    <cfRule type="dataBar" priority="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{1E4ED5F9-53D6-4BBD-8A6E-098EEEA0BA23}</x14:id>
        </ext>
      </extLst>
    </cfRule>
    <cfRule type="dataBar" priority="93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{4B9AA4EF-4254-4EF8-8FF8-A9EDB790D5C3}</x14:id>
        </ext>
      </extLst>
    </cfRule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{972F19A9-C3D9-429A-99F7-3CFF95FE923C}</x14:id>
        </ext>
      </extLst>
    </cfRule>
    <cfRule type="dataBar" priority="9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{766BBFE7-BFF8-4F9C-AA43-1D8119FAFA28}</x14:id>
        </ext>
      </extLst>
    </cfRule>
    <cfRule type="dataBar" priority="9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{22447636-2D47-49B8-A0C8-71FDCC8F413B}</x14:id>
        </ext>
      </extLst>
    </cfRule>
    <cfRule type="dataBar" priority="92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{6E2B5C45-D663-4317-A509-1B1454D5620C}</x14:id>
        </ext>
      </extLst>
    </cfRule>
    <cfRule type="dataBar" priority="9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{18775641-2A2F-4F6A-ABA5-7C6A67B45565}</x14:id>
        </ext>
      </extLst>
    </cfRule>
    <cfRule type="dataBar" priority="92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{6F2D4943-3D24-4E48-9805-9AD3B5318762}</x14:id>
        </ext>
      </extLst>
    </cfRule>
    <cfRule type="dataBar" priority="92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{4643FC4F-9A61-4BF8-AE7B-6B2E1AA2AD51}</x14:id>
        </ext>
      </extLst>
    </cfRule>
    <cfRule type="dataBar" priority="9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{0DC779BF-439C-43D8-B639-995CD615BC36}</x14:id>
        </ext>
      </extLst>
    </cfRule>
    <cfRule type="dataBar" priority="93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{BEDFB98B-D317-4F86-B269-B095ACB35743}</x14:id>
        </ext>
      </extLst>
    </cfRule>
    <cfRule type="dataBar" priority="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{71725314-9542-4025-9D13-A37ED64BA4D7}</x14:id>
        </ext>
      </extLst>
    </cfRule>
    <cfRule type="dataBar" priority="9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{E9DE62B2-F9EC-49E0-A9D2-2FAFFA5B8653}</x14:id>
        </ext>
      </extLst>
    </cfRule>
  </conditionalFormatting>
  <conditionalFormatting sqref="Q7:Q14">
    <cfRule type="dataBar" priority="2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{279A61A1-91BA-439B-847E-4C4CD75129A5}</x14:id>
        </ext>
      </extLst>
    </cfRule>
    <cfRule type="dataBar" priority="220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{5E71D107-7CBB-4149-8F5C-4B2862462035}</x14:id>
        </ext>
      </extLst>
    </cfRule>
    <cfRule type="dataBar" priority="221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{D1C09C20-91E0-454F-BBBE-0BAE3498BD84}</x14:id>
        </ext>
      </extLst>
    </cfRule>
    <cfRule type="dataBar" priority="220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{BB6C2C49-2430-4A7B-ABAD-E42C504C544D}</x14:id>
        </ext>
      </extLst>
    </cfRule>
    <cfRule type="dataBar" priority="21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{0AE36B5A-C64E-444B-994F-90884B07B54C}</x14:id>
        </ext>
      </extLst>
    </cfRule>
    <cfRule type="dataBar" priority="2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{76F17141-ACE2-42F5-9142-1A6299AE9201}</x14:id>
        </ext>
      </extLst>
    </cfRule>
    <cfRule type="dataBar" priority="21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{2ADD7D70-00A7-4281-8E7F-15EA21889BB8}</x14:id>
        </ext>
      </extLst>
    </cfRule>
    <cfRule type="dataBar" priority="21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{E0FA5DBE-0ED9-46C9-B6C4-76B5724562FF}</x14:id>
        </ext>
      </extLst>
    </cfRule>
    <cfRule type="dataBar" priority="21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{0B86F4D2-831F-44ED-8956-BF2F36CA7C9D}</x14:id>
        </ext>
      </extLst>
    </cfRule>
    <cfRule type="dataBar" priority="2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{764E5ABC-7461-4926-A00F-0B2C400C9884}</x14:id>
        </ext>
      </extLst>
    </cfRule>
    <cfRule type="dataBar" priority="219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{15EBDD4B-EB06-4A1A-90BB-8390352EE957}</x14:id>
        </ext>
      </extLst>
    </cfRule>
    <cfRule type="dataBar" priority="221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{2BBA59C0-BECF-4535-9BA2-39CAEF8A4669}</x14:id>
        </ext>
      </extLst>
    </cfRule>
    <cfRule type="dataBar" priority="219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{B2446BD9-6729-4F48-BD97-D1220E4DFC91}</x14:id>
        </ext>
      </extLst>
    </cfRule>
    <cfRule type="dataBar" priority="2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{B43F5732-D8E8-49B7-9BB9-3C096B3D6B22}</x14:id>
        </ext>
      </extLst>
    </cfRule>
    <cfRule type="dataBar" priority="21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{B2224732-F535-46F7-B788-56E91D2195D4}</x14:id>
        </ext>
      </extLst>
    </cfRule>
    <cfRule type="dataBar" priority="219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{B088F329-20C6-48A8-8C9C-133985E16711}</x14:id>
        </ext>
      </extLst>
    </cfRule>
    <cfRule type="dataBar" priority="221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{977ABBC4-4009-4F0D-88DF-0B4571711478}</x14:id>
        </ext>
      </extLst>
    </cfRule>
    <cfRule type="dataBar" priority="2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{45F32531-9BA6-4ED7-B66F-0EAFF2AF7DF8}</x14:id>
        </ext>
      </extLst>
    </cfRule>
    <cfRule type="dataBar" priority="22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{84173A6B-0BAB-4A9C-A031-4FFDE99F3EBF}</x14:id>
        </ext>
      </extLst>
    </cfRule>
    <cfRule type="dataBar" priority="22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{3D9C5828-2A5E-4ED4-AD2B-7996D3E9D43F}</x14:id>
        </ext>
      </extLst>
    </cfRule>
    <cfRule type="dataBar" priority="21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{E4A011CF-A686-4F06-BAC2-C0D1906A9D6F}</x14:id>
        </ext>
      </extLst>
    </cfRule>
    <cfRule type="dataBar" priority="220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{31A3D48C-1EC5-4C6A-8033-F4CABDCDBB5A}</x14:id>
        </ext>
      </extLst>
    </cfRule>
    <cfRule type="dataBar" priority="2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{28D08B2C-1234-4955-B28E-6336DA4A89E7}</x14:id>
        </ext>
      </extLst>
    </cfRule>
    <cfRule type="dataBar" priority="21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{5E7E7192-51E4-4BCC-A5AA-525465C47EEE}</x14:id>
        </ext>
      </extLst>
    </cfRule>
    <cfRule type="dataBar" priority="2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{7A5FF9C8-898E-4DE4-B11D-11550F0BDD21}</x14:id>
        </ext>
      </extLst>
    </cfRule>
    <cfRule type="dataBar" priority="220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{7F9AF322-EFF8-479F-AE8A-456D337F08B3}</x14:id>
        </ext>
      </extLst>
    </cfRule>
    <cfRule type="dataBar" priority="22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{5E2208F5-8E50-4665-A37C-FC005CDF33EB}</x14:id>
        </ext>
      </extLst>
    </cfRule>
    <cfRule type="dataBar" priority="22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{970D0956-F57B-4CF9-9D05-B2AB8E8CBFFF}</x14:id>
        </ext>
      </extLst>
    </cfRule>
    <cfRule type="dataBar" priority="2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{529581E9-2578-4F77-9C07-45224251665B}</x14:id>
        </ext>
      </extLst>
    </cfRule>
    <cfRule type="dataBar" priority="21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{8DDB7027-5A7C-429D-9A7E-529C108CE46F}</x14:id>
        </ext>
      </extLst>
    </cfRule>
  </conditionalFormatting>
  <conditionalFormatting sqref="Q15">
    <cfRule type="dataBar" priority="5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{16879997-0465-4239-A775-C6082E3D2F4C}</x14:id>
        </ext>
      </extLst>
    </cfRule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{9CA32756-976A-40ED-9C25-4918C71F673C}</x14:id>
        </ext>
      </extLst>
    </cfRule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{C5CBD495-8175-44AC-94A3-6B310E229F48}</x14:id>
        </ext>
      </extLst>
    </cfRule>
    <cfRule type="dataBar" priority="56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{D86506C6-1D62-4BE5-A2D4-27BF9AC90AC0}</x14:id>
        </ext>
      </extLst>
    </cfRule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{7B70A09A-84A0-471F-9952-554240909C13}</x14:id>
        </ext>
      </extLst>
    </cfRule>
    <cfRule type="dataBar" priority="57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{134EF1CC-D850-44A4-A4B1-1ACD28D7BEAC}</x14:id>
        </ext>
      </extLst>
    </cfRule>
    <cfRule type="dataBar" priority="5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{A6B6C583-3778-41B9-9DA3-9BAA97D630EA}</x14:id>
        </ext>
      </extLst>
    </cfRule>
    <cfRule type="dataBar" priority="57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{65BC92EC-B90C-487E-9F08-4DAE837D19CB}</x14:id>
        </ext>
      </extLst>
    </cfRule>
    <cfRule type="dataBar" priority="57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{D92E0FFD-4493-4AFC-AC2C-70C0C24E30D0}</x14:id>
        </ext>
      </extLst>
    </cfRule>
    <cfRule type="dataBar" priority="57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{9D13CFBF-F150-46F6-A8D6-655E083C78C4}</x14:id>
        </ext>
      </extLst>
    </cfRule>
    <cfRule type="dataBar" priority="57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{8C7C99C7-01EC-4E4C-A494-041392793128}</x14:id>
        </ext>
      </extLst>
    </cfRule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{94D36065-1421-462A-97DC-D58575760E9D}</x14:id>
        </ext>
      </extLst>
    </cfRule>
    <cfRule type="dataBar" priority="57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{E1250EA1-8D3C-409B-8A2C-DB3C98D85E06}</x14:id>
        </ext>
      </extLst>
    </cfRule>
  </conditionalFormatting>
  <conditionalFormatting sqref="Q16:Q23">
    <cfRule type="dataBar" priority="218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{45EE7246-078D-4C78-BBEC-3868E11F2037}</x14:id>
        </ext>
      </extLst>
    </cfRule>
    <cfRule type="dataBar" priority="2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{AFEF1F0F-0A2E-445D-BA33-0DB273B70036}</x14:id>
        </ext>
      </extLst>
    </cfRule>
    <cfRule type="dataBar" priority="218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{653600FB-02D1-4744-8157-C516CEAFC91B}</x14:id>
        </ext>
      </extLst>
    </cfRule>
    <cfRule type="dataBar" priority="218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{56855786-0C9C-47A2-8AC6-23E44CE358EB}</x14:id>
        </ext>
      </extLst>
    </cfRule>
    <cfRule type="dataBar" priority="21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{326C1964-3D65-4E46-B4F6-23F0BAC0F224}</x14:id>
        </ext>
      </extLst>
    </cfRule>
    <cfRule type="dataBar" priority="2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{2AF08A1F-5BB0-4260-835F-DA7DCDEAE1A8}</x14:id>
        </ext>
      </extLst>
    </cfRule>
    <cfRule type="dataBar" priority="217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{E4EB20AF-AD91-4AA3-9342-FC4256F30DE7}</x14:id>
        </ext>
      </extLst>
    </cfRule>
    <cfRule type="dataBar" priority="2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{341B5F7C-97AA-40DB-B6DD-54BB0740E863}</x14:id>
        </ext>
      </extLst>
    </cfRule>
    <cfRule type="dataBar" priority="21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{F84402FD-C1B5-4DAA-97FB-4557768BCF30}</x14:id>
        </ext>
      </extLst>
    </cfRule>
    <cfRule type="dataBar" priority="21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{AA3A209D-09E2-47D1-AEC4-0022E1401197}</x14:id>
        </ext>
      </extLst>
    </cfRule>
    <cfRule type="dataBar" priority="21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{E90D3530-3E76-43D9-8A5A-98E02D6446C9}</x14:id>
        </ext>
      </extLst>
    </cfRule>
    <cfRule type="dataBar" priority="21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{69F98191-334A-4F5B-80BA-CC8B230B3081}</x14:id>
        </ext>
      </extLst>
    </cfRule>
    <cfRule type="dataBar" priority="21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{2F8F9722-B6A1-4AB5-BCD6-EA024F00AC8D}</x14:id>
        </ext>
      </extLst>
    </cfRule>
    <cfRule type="dataBar" priority="2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{A95A03E8-04E9-43FB-8963-75C7FDC06653}</x14:id>
        </ext>
      </extLst>
    </cfRule>
    <cfRule type="dataBar" priority="216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{F8C85631-0774-4406-B6A1-3CDF762C38C7}</x14:id>
        </ext>
      </extLst>
    </cfRule>
    <cfRule type="dataBar" priority="21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{95463A52-89E1-4ACB-82D7-26903BE25A6A}</x14:id>
        </ext>
      </extLst>
    </cfRule>
    <cfRule type="dataBar" priority="21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{300EAD85-6ABF-4B05-812D-8655BD1BF831}</x14:id>
        </ext>
      </extLst>
    </cfRule>
    <cfRule type="dataBar" priority="21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{064B25B2-DCC3-43FD-80A6-08499E830DF4}</x14:id>
        </ext>
      </extLst>
    </cfRule>
    <cfRule type="dataBar" priority="218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{07B01B25-7B1C-4310-9A89-34ACE657CFB9}</x14:id>
        </ext>
      </extLst>
    </cfRule>
    <cfRule type="dataBar" priority="21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{9F2EA064-AFDC-4E05-BD66-F55215067662}</x14:id>
        </ext>
      </extLst>
    </cfRule>
    <cfRule type="dataBar" priority="2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{71F02068-7F30-4D2D-84C2-BB188D1FD94E}</x14:id>
        </ext>
      </extLst>
    </cfRule>
    <cfRule type="dataBar" priority="2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{CFBD6A4D-0FFD-42C6-A760-78D375A5FF7B}</x14:id>
        </ext>
      </extLst>
    </cfRule>
    <cfRule type="dataBar" priority="2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{2D173E5A-11BE-4439-B613-616D3DF793FF}</x14:id>
        </ext>
      </extLst>
    </cfRule>
    <cfRule type="dataBar" priority="2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{950F2914-0174-4BA0-8CF2-CE2CCBA05148}</x14:id>
        </ext>
      </extLst>
    </cfRule>
    <cfRule type="dataBar" priority="21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{E8DA0B42-983F-4633-AA09-CE5BD3FA185A}</x14:id>
        </ext>
      </extLst>
    </cfRule>
    <cfRule type="dataBar" priority="21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{BF26C7C1-7458-488D-917D-BE6EEAB9ECE1}</x14:id>
        </ext>
      </extLst>
    </cfRule>
    <cfRule type="dataBar" priority="21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{694CB80F-A840-416F-9FA2-31842C146410}</x14:id>
        </ext>
      </extLst>
    </cfRule>
    <cfRule type="dataBar" priority="21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{5413BF3B-97F3-4BA9-97C9-C2B9CDE1FB3A}</x14:id>
        </ext>
      </extLst>
    </cfRule>
    <cfRule type="dataBar" priority="21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{2F32F88E-79AF-4F72-B5BC-9D43E125C34B}</x14:id>
        </ext>
      </extLst>
    </cfRule>
    <cfRule type="dataBar" priority="21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{F42643FC-CE1B-47C2-87B2-8A4A2105F6E4}</x14:id>
        </ext>
      </extLst>
    </cfRule>
  </conditionalFormatting>
  <conditionalFormatting sqref="Q24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{324D7C22-736E-43AF-8FE9-4ED7F44837CC}</x14:id>
        </ext>
      </extLst>
    </cfRule>
    <cfRule type="dataBar" priority="9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{D366DC28-7A9B-4A35-BE9D-55F5DE99D601}</x14:id>
        </ext>
      </extLst>
    </cfRule>
    <cfRule type="dataBar" priority="9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{48DE5DDC-2222-4EB6-9413-B2DC0DBA4142}</x14:id>
        </ext>
      </extLst>
    </cfRule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{ACBF89B5-B713-48E2-A95E-EC3A0BE2B26F}</x14:id>
        </ext>
      </extLst>
    </cfRule>
    <cfRule type="dataBar" priority="9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{AB132D80-B1E6-4916-9075-2F6DEAAACB21}</x14:id>
        </ext>
      </extLst>
    </cfRule>
    <cfRule type="dataBar" priority="90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{8488BAB3-DCA0-40F7-88F3-8C2DD2C9670D}</x14:id>
        </ext>
      </extLst>
    </cfRule>
    <cfRule type="dataBar" priority="91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{083811E8-CC36-4DF8-94F9-A920744D2577}</x14:id>
        </ext>
      </extLst>
    </cfRule>
    <cfRule type="dataBar" priority="9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{6CD23D5A-3336-4A87-BDEA-CF8AA4F100B3}</x14:id>
        </ext>
      </extLst>
    </cfRule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{99E399DE-D30F-4467-BD78-7C0A7C0A0648}</x14:id>
        </ext>
      </extLst>
    </cfRule>
    <cfRule type="dataBar" priority="9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{2B8CE05A-C91C-4474-B817-A40620CE6668}</x14:id>
        </ext>
      </extLst>
    </cfRule>
    <cfRule type="dataBar" priority="9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{4F147D89-5239-49C8-AAC1-D90308D1A776}</x14:id>
        </ext>
      </extLst>
    </cfRule>
    <cfRule type="dataBar" priority="91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{6FC4B28E-659A-4E4D-856A-59F53D4ED288}</x14:id>
        </ext>
      </extLst>
    </cfRule>
    <cfRule type="dataBar" priority="91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{F6D0505F-C025-4CDE-8A8A-46A46BF2279F}</x14:id>
        </ext>
      </extLst>
    </cfRule>
  </conditionalFormatting>
  <conditionalFormatting sqref="Q25:Q26">
    <cfRule type="dataBar" priority="214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{71498639-B277-485A-BF2A-D953B2CF758C}</x14:id>
        </ext>
      </extLst>
    </cfRule>
    <cfRule type="dataBar" priority="214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{16363248-2417-4781-BAC2-250A0A4B52C4}</x14:id>
        </ext>
      </extLst>
    </cfRule>
    <cfRule type="dataBar" priority="21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{2EB96F7F-AF11-4717-BE31-E520823764FA}</x14:id>
        </ext>
      </extLst>
    </cfRule>
    <cfRule type="dataBar" priority="2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{12F308B9-A4E6-4B3C-9585-9580343B2630}</x14:id>
        </ext>
      </extLst>
    </cfRule>
    <cfRule type="dataBar" priority="2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{67D61BF8-30A0-43FE-9595-8656446DB641}</x14:id>
        </ext>
      </extLst>
    </cfRule>
    <cfRule type="dataBar" priority="21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{B6219D3D-1FEB-4B63-9289-E37295597208}</x14:id>
        </ext>
      </extLst>
    </cfRule>
    <cfRule type="dataBar" priority="2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{BD278B9E-22E4-420D-A6AA-60817C3E9ACF}</x14:id>
        </ext>
      </extLst>
    </cfRule>
    <cfRule type="dataBar" priority="214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{C4D2E1DC-7158-45FE-955C-50E6DDBB9DF4}</x14:id>
        </ext>
      </extLst>
    </cfRule>
    <cfRule type="dataBar" priority="21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{95386028-A050-4A6D-A80F-8B025B153AE6}</x14:id>
        </ext>
      </extLst>
    </cfRule>
    <cfRule type="dataBar" priority="2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{18FF41E4-DBD0-4A5C-BB56-43300D27416D}</x14:id>
        </ext>
      </extLst>
    </cfRule>
    <cfRule type="dataBar" priority="21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{97CCE0BB-542F-4B91-A598-2FA9A7DB7D6B}</x14:id>
        </ext>
      </extLst>
    </cfRule>
    <cfRule type="dataBar" priority="21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{332C4A93-AB7B-4726-BA03-CF21349DBAB4}</x14:id>
        </ext>
      </extLst>
    </cfRule>
    <cfRule type="dataBar" priority="21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{146F86B9-34A3-4CF4-B582-B2BAD1BB20C8}</x14:id>
        </ext>
      </extLst>
    </cfRule>
    <cfRule type="dataBar" priority="2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{7A7E4078-9EB1-4C70-846E-1A483FCC9A4F}</x14:id>
        </ext>
      </extLst>
    </cfRule>
    <cfRule type="dataBar" priority="213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{BE4213E7-F7A8-4692-9680-5C6754F006F5}</x14:id>
        </ext>
      </extLst>
    </cfRule>
    <cfRule type="dataBar" priority="21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{8816F13B-1C3E-47DF-9677-367BC5D2BDFE}</x14:id>
        </ext>
      </extLst>
    </cfRule>
    <cfRule type="dataBar" priority="21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{F7E30639-E2A6-4AC9-8C37-75B82C115B3D}</x14:id>
        </ext>
      </extLst>
    </cfRule>
    <cfRule type="dataBar" priority="2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{2C400A11-197D-4E12-A70A-9928087056B8}</x14:id>
        </ext>
      </extLst>
    </cfRule>
    <cfRule type="dataBar" priority="212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{0BCE76C3-8A18-4022-B40A-CBC197232CE4}</x14:id>
        </ext>
      </extLst>
    </cfRule>
    <cfRule type="dataBar" priority="212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{F01AFEED-F60E-4B3D-B241-D02450814AAB}</x14:id>
        </ext>
      </extLst>
    </cfRule>
    <cfRule type="dataBar" priority="21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{C6A07155-E8E6-40D2-878F-F13DD9F81521}</x14:id>
        </ext>
      </extLst>
    </cfRule>
    <cfRule type="dataBar" priority="213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{90DA95F1-A3DF-4225-93B8-4E1428B80F8C}</x14:id>
        </ext>
      </extLst>
    </cfRule>
    <cfRule type="dataBar" priority="21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{592B72A1-0202-4A11-9CA4-C2D829B5854B}</x14:id>
        </ext>
      </extLst>
    </cfRule>
    <cfRule type="dataBar" priority="215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{4ACE4B25-4A79-4FF2-8026-A19D41FC9EED}</x14:id>
        </ext>
      </extLst>
    </cfRule>
    <cfRule type="dataBar" priority="2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{3146FDB7-5447-40C6-80D5-8C2BDD67D6BD}</x14:id>
        </ext>
      </extLst>
    </cfRule>
    <cfRule type="dataBar" priority="215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{1CB7547A-6B0D-419E-89EF-934CA390DE9C}</x14:id>
        </ext>
      </extLst>
    </cfRule>
    <cfRule type="dataBar" priority="215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{7521388A-9978-4371-88B0-780AADAD2A05}</x14:id>
        </ext>
      </extLst>
    </cfRule>
    <cfRule type="dataBar" priority="215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{381F2317-78EA-49D0-A809-2B582F3FFD51}</x14:id>
        </ext>
      </extLst>
    </cfRule>
    <cfRule type="dataBar" priority="214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{19A2D016-03BA-42C4-A14B-B3CF71A2F753}</x14:id>
        </ext>
      </extLst>
    </cfRule>
    <cfRule type="dataBar" priority="2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{B9A38EE0-70EF-4A07-9D44-91E0D851BD7C}</x14:id>
        </ext>
      </extLst>
    </cfRule>
  </conditionalFormatting>
  <conditionalFormatting sqref="Q27">
    <cfRule type="dataBar" priority="22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{95C7CD31-B70B-44D1-AF4E-411A9AA6A906}</x14:id>
        </ext>
      </extLst>
    </cfRule>
    <cfRule type="dataBar" priority="2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{B8008D0C-A1CE-422B-8EE1-694D51954373}</x14:id>
        </ext>
      </extLst>
    </cfRule>
    <cfRule type="dataBar" priority="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{4CD6BC31-DBE7-4DC7-8E5D-DB8B9BCC0933}</x14:id>
        </ext>
      </extLst>
    </cfRule>
    <cfRule type="dataBar" priority="22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{260E5EA0-991D-4E0E-92A9-35E84B174DFB}</x14:id>
        </ext>
      </extLst>
    </cfRule>
    <cfRule type="dataBar" priority="22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{F62C446E-3E0B-44BE-A463-7C5EAC99FF9C}</x14:id>
        </ext>
      </extLst>
    </cfRule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{E808AF09-F749-41BB-8ED1-286DF49C13C6}</x14:id>
        </ext>
      </extLst>
    </cfRule>
    <cfRule type="dataBar" priority="2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{0D3D8167-8987-4EBA-AD4F-C12396DC7CC8}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{549126A9-5791-4BA1-A939-B662516DDE78}</x14:id>
        </ext>
      </extLst>
    </cfRule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{E321BB2A-B0D6-4AC8-97CF-FEB2B384A65C}</x14:id>
        </ext>
      </extLst>
    </cfRule>
    <cfRule type="dataBar" priority="2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{684C8512-7DF9-4179-88FA-6C763751B0BD}</x14:id>
        </ext>
      </extLst>
    </cfRule>
    <cfRule type="dataBar" priority="21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{ACDA98E8-C20D-43B7-A534-C7C9E63D539D}</x14:id>
        </ext>
      </extLst>
    </cfRule>
    <cfRule type="dataBar" priority="22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{3A735F2E-C695-47ED-851A-E5CE0BA33968}</x14:id>
        </ext>
      </extLst>
    </cfRule>
    <cfRule type="dataBar" priority="22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{E877C1DD-C582-408E-9DA9-BB403644413C}</x14:id>
        </ext>
      </extLst>
    </cfRule>
  </conditionalFormatting>
  <conditionalFormatting sqref="Q28">
    <cfRule type="dataBar" priority="20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{E37DDFD9-82BC-4129-8843-7DDEEF4DA6BB}</x14:id>
        </ext>
      </extLst>
    </cfRule>
    <cfRule type="dataBar" priority="2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{C07B6C17-310B-490F-86BA-D595C4ACF4B6}</x14:id>
        </ext>
      </extLst>
    </cfRule>
    <cfRule type="dataBar" priority="20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{E4B5497B-72FB-434C-95F0-87F96BA021F3}</x14:id>
        </ext>
      </extLst>
    </cfRule>
    <cfRule type="dataBar" priority="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{AFEDCBE6-D048-4DE0-89E3-43704AA003F6}</x14:id>
        </ext>
      </extLst>
    </cfRule>
    <cfRule type="dataBar" priority="20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{AAC133B1-047A-4DA0-ADE4-09BBF9C1E65C}</x14:id>
        </ext>
      </extLst>
    </cfRule>
    <cfRule type="dataBar" priority="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{5BB17457-317C-487E-ACFD-E2ECE05DBC3F}</x14:id>
        </ext>
      </extLst>
    </cfRule>
    <cfRule type="dataBar" priority="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{BA0A7153-100F-4EC2-A1C0-968BB4CA23D6}</x14:id>
        </ext>
      </extLst>
    </cfRule>
    <cfRule type="dataBar" priority="2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{00003244-A666-4C0C-AC8B-375DEDC9CB85}</x14:id>
        </ext>
      </extLst>
    </cfRule>
    <cfRule type="dataBar" priority="20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{44E5C9AC-4F97-4EF8-AE53-5B328027B24E}</x14:id>
        </ext>
      </extLst>
    </cfRule>
    <cfRule type="dataBar" priority="21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{13EEB9A7-30A8-4CE1-A492-2C351D583DE4}</x14:id>
        </ext>
      </extLst>
    </cfRule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{EB4AFE6B-2835-4C82-A097-D8CB99CF0D7B}</x14:id>
        </ext>
      </extLst>
    </cfRule>
    <cfRule type="dataBar" priority="2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{50D1E4CB-12BB-4969-9C7C-06B55CBD77F0}</x14:id>
        </ext>
      </extLst>
    </cfRule>
    <cfRule type="dataBar" priority="2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{3011A363-DE20-457B-BC66-EFC87A58DA97}</x14:id>
        </ext>
      </extLst>
    </cfRule>
  </conditionalFormatting>
  <conditionalFormatting sqref="T12">
    <cfRule type="dataBar" priority="27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{8118C997-070F-4A28-9D43-6E27ED004093}</x14:id>
        </ext>
      </extLst>
    </cfRule>
  </conditionalFormatting>
  <conditionalFormatting sqref="T13">
    <cfRule type="dataBar" priority="27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{92389B28-59D0-4078-A6CE-89B4D3AE697C}</x14:id>
        </ext>
      </extLst>
    </cfRule>
  </conditionalFormatting>
  <conditionalFormatting sqref="T15">
    <cfRule type="dataBar" priority="294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{342C9A14-0B3A-4123-9505-95DB2CA6AC7E}</x14:id>
        </ext>
      </extLst>
    </cfRule>
  </conditionalFormatting>
  <conditionalFormatting sqref="T16">
    <cfRule type="dataBar" priority="27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{6B5EECA3-E02F-4EB3-BB3B-4C24B05B57F0}</x14:id>
        </ext>
      </extLst>
    </cfRule>
  </conditionalFormatting>
  <conditionalFormatting sqref="T19">
    <cfRule type="dataBar" priority="29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{8ABE9CE5-98F5-4C20-B73B-8EDB2A34FC85}</x14:id>
        </ext>
      </extLst>
    </cfRule>
  </conditionalFormatting>
  <conditionalFormatting sqref="T22">
    <cfRule type="dataBar" priority="27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{40E79313-912A-4A2C-8DEB-0C4BEC0A248A}</x14:id>
        </ext>
      </extLst>
    </cfRule>
  </conditionalFormatting>
  <conditionalFormatting sqref="T23">
    <cfRule type="dataBar" priority="29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{8645A963-F638-42CC-8A7B-59E50FC3F6C1}</x14:id>
        </ext>
      </extLst>
    </cfRule>
  </conditionalFormatting>
  <conditionalFormatting sqref="T24">
    <cfRule type="dataBar" priority="28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{290115BF-B3B2-40F1-9392-041F19F97A90}</x14:id>
        </ext>
      </extLst>
    </cfRule>
  </conditionalFormatting>
  <conditionalFormatting sqref="T25">
    <cfRule type="dataBar" priority="26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{C299FC68-97CD-4A54-A9BA-AE489082865C}</x14:id>
        </ext>
      </extLst>
    </cfRule>
  </conditionalFormatting>
  <conditionalFormatting sqref="U5:U22">
    <cfRule type="dataBar" priority="480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{09B8CEF6-85A4-4681-A751-D2B1B5DB31E8}</x14:id>
        </ext>
      </extLst>
    </cfRule>
    <cfRule type="dataBar" priority="3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{93088028-61EC-4FD5-A870-51F12FF24EA6}</x14:id>
        </ext>
      </extLst>
    </cfRule>
    <cfRule type="dataBar" priority="385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{7A419C4B-0C1E-4275-B316-F86D91C28DDF}</x14:id>
        </ext>
      </extLst>
    </cfRule>
    <cfRule type="dataBar" priority="384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{B4F3A84B-823A-4B20-A55F-A546607C4CE1}</x14:id>
        </ext>
      </extLst>
    </cfRule>
    <cfRule type="dataBar" priority="3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{66FDD74D-0347-404B-B37A-3627A70BA7D0}</x14:id>
        </ext>
      </extLst>
    </cfRule>
    <cfRule type="dataBar" priority="384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{34055A91-4F20-474E-9C3E-21631E73BAB8}</x14:id>
        </ext>
      </extLst>
    </cfRule>
    <cfRule type="dataBar" priority="38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{86CAFDFB-C820-4DC3-8F4E-3081F48BF2B3}</x14:id>
        </ext>
      </extLst>
    </cfRule>
  </conditionalFormatting>
  <conditionalFormatting sqref="U5:U26">
    <cfRule type="dataBar" priority="487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{21DFB4A2-89A8-4D00-999F-0717EF2AACBD}</x14:id>
        </ext>
      </extLst>
    </cfRule>
    <cfRule type="dataBar" priority="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{C4CC1314-1787-4C5C-B611-6C3E4BE6B59B}</x14:id>
        </ext>
      </extLst>
    </cfRule>
  </conditionalFormatting>
  <conditionalFormatting sqref="U23">
    <cfRule type="dataBar" priority="28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{2F5F0E7E-22DE-453E-805A-3F8698A4D8DD}</x14:id>
        </ext>
      </extLst>
    </cfRule>
    <cfRule type="dataBar" priority="2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{342D912A-71FF-458B-9629-E0F8F3E28358}</x14:id>
        </ext>
      </extLst>
    </cfRule>
    <cfRule type="dataBar" priority="28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{55EEED21-6883-46E5-83AC-E4A47122D4C9}</x14:id>
        </ext>
      </extLst>
    </cfRule>
    <cfRule type="dataBar" priority="28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{DD9CB896-2147-401C-960F-5EE79FD5F79A}</x14:id>
        </ext>
      </extLst>
    </cfRule>
    <cfRule type="dataBar" priority="2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{E12D796A-E4A4-4F30-A0FF-C5D483A12FB5}</x14:id>
        </ext>
      </extLst>
    </cfRule>
    <cfRule type="dataBar" priority="290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{A5F5B264-A22B-4882-A0B9-AFBE45610ECD}</x14:id>
        </ext>
      </extLst>
    </cfRule>
    <cfRule type="dataBar" priority="289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{CE502B21-E2E9-44A7-BF22-4A74D97202A5}</x14:id>
        </ext>
      </extLst>
    </cfRule>
  </conditionalFormatting>
  <conditionalFormatting sqref="U24">
    <cfRule type="dataBar" priority="28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{C02C2E30-E9E1-48AD-BD7C-FA246B5FCDBC}</x14:id>
        </ext>
      </extLst>
    </cfRule>
    <cfRule type="dataBar" priority="28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{1995B7E6-DA79-409A-9CD4-BC22229FBB7E}</x14:id>
        </ext>
      </extLst>
    </cfRule>
    <cfRule type="dataBar" priority="283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{5B4A1673-25D1-4056-B45B-E3A0610898A8}</x14:id>
        </ext>
      </extLst>
    </cfRule>
    <cfRule type="dataBar" priority="2835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{813DA756-7F10-4DBE-AFAD-92743EF053D3}</x14:id>
        </ext>
      </extLst>
    </cfRule>
    <cfRule type="dataBar" priority="28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{324F5551-EAC4-440E-8E2F-7584F2FA9667}</x14:id>
        </ext>
      </extLst>
    </cfRule>
    <cfRule type="dataBar" priority="2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{2122F36E-EA89-4116-8A81-D8E387E39E25}</x14:id>
        </ext>
      </extLst>
    </cfRule>
    <cfRule type="dataBar" priority="284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{439DF1E6-4BF4-42D3-8C7B-32E3659CF0BD}</x14:id>
        </ext>
      </extLst>
    </cfRule>
  </conditionalFormatting>
  <conditionalFormatting sqref="U25">
    <cfRule type="dataBar" priority="27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{140B9357-60E6-4738-B6E0-A42BBEA55074}</x14:id>
        </ext>
      </extLst>
    </cfRule>
    <cfRule type="dataBar" priority="27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{6D442268-31B3-41F3-B703-4187DDC034D4}</x14:id>
        </ext>
      </extLst>
    </cfRule>
    <cfRule type="dataBar" priority="27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{A7DBAADD-2532-4F9E-B9FE-404ACC7892C0}</x14:id>
        </ext>
      </extLst>
    </cfRule>
    <cfRule type="dataBar" priority="273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{C4382F99-70BE-43B0-AF05-C731B678C57E}</x14:id>
        </ext>
      </extLst>
    </cfRule>
    <cfRule type="dataBar" priority="2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{D6F6F1C6-2B45-4C5C-B5B9-75AD545A8187}</x14:id>
        </ext>
      </extLst>
    </cfRule>
    <cfRule type="dataBar" priority="273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{7F177A77-77E2-40A6-B438-12519113791E}</x14:id>
        </ext>
      </extLst>
    </cfRule>
    <cfRule type="dataBar" priority="273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{E24730C2-5384-4A9E-A48D-7351F3E26C5C}</x14:id>
        </ext>
      </extLst>
    </cfRule>
  </conditionalFormatting>
  <conditionalFormatting sqref="U26">
    <cfRule type="dataBar" priority="47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{3D52CD7A-1B5F-4D38-87F5-662BA50EF911}</x14:id>
        </ext>
      </extLst>
    </cfRule>
    <cfRule type="dataBar" priority="47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{A08F3422-8288-4726-886E-FF89B44A2F57}</x14:id>
        </ext>
      </extLst>
    </cfRule>
    <cfRule type="dataBar" priority="479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{2A8082DB-7291-4A0F-A584-779F976E9449}</x14:id>
        </ext>
      </extLst>
    </cfRule>
    <cfRule type="dataBar" priority="479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{96FADC12-3206-4A9F-AEA1-499FDCC88944}</x14:id>
        </ext>
      </extLst>
    </cfRule>
    <cfRule type="dataBar" priority="478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{E77E9725-F39F-4F3B-83F3-7E68DD4A43C3}</x14:id>
        </ext>
      </extLst>
    </cfRule>
    <cfRule type="dataBar" priority="4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{A602CE54-5A9A-4FD8-91F7-F5B72DB5DF86}</x14:id>
        </ext>
      </extLst>
    </cfRule>
    <cfRule type="dataBar" priority="478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{BE1A780D-B256-4465-BBB5-BBA8ACD42E81}</x14:id>
        </ext>
      </extLst>
    </cfRule>
  </conditionalFormatting>
  <conditionalFormatting sqref="V5:V11">
    <cfRule type="dataBar" priority="18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{A8AFE2D2-1F08-4D30-9408-100F14B99A78}</x14:id>
        </ext>
      </extLst>
    </cfRule>
    <cfRule type="dataBar" priority="18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{85A1AFFD-D4CD-45C2-9E12-B96067104F8B}</x14:id>
        </ext>
      </extLst>
    </cfRule>
    <cfRule type="dataBar" priority="186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{CFF223B0-0EF0-41B8-A290-FAAB94B5335A}</x14:id>
        </ext>
      </extLst>
    </cfRule>
    <cfRule type="dataBar" priority="188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{E5B05B9C-72D2-453E-8FCE-4D3761607FA0}</x14:id>
        </ext>
      </extLst>
    </cfRule>
    <cfRule type="dataBar" priority="18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{1C3B31F2-350A-4FC6-990F-06C6811A51E6}</x14:id>
        </ext>
      </extLst>
    </cfRule>
    <cfRule type="dataBar" priority="1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{B5EA4327-9D28-4A8E-BF3F-FE4C9E597A37}</x14:id>
        </ext>
      </extLst>
    </cfRule>
    <cfRule type="dataBar" priority="18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{921105F3-1ABD-4144-ACF4-5AAFAA1A5CBE}</x14:id>
        </ext>
      </extLst>
    </cfRule>
    <cfRule type="dataBar" priority="1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{5B985C33-EDA8-4E17-BC7F-908641829838}</x14:id>
        </ext>
      </extLst>
    </cfRule>
    <cfRule type="dataBar" priority="188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{E9E9C27B-C550-4176-A7D0-02E06E3E4CDC}</x14:id>
        </ext>
      </extLst>
    </cfRule>
    <cfRule type="dataBar" priority="1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{8AF2CD81-DB4A-4521-AF6E-66CDF0322C25}</x14:id>
        </ext>
      </extLst>
    </cfRule>
    <cfRule type="dataBar" priority="18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{4250F460-C8FF-477A-A9D3-FDA21C328139}</x14:id>
        </ext>
      </extLst>
    </cfRule>
    <cfRule type="dataBar" priority="18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{181C0866-0A03-470A-BF94-894108FA2074}</x14:id>
        </ext>
      </extLst>
    </cfRule>
    <cfRule type="dataBar" priority="18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{AB82625F-4E4D-4406-BB04-9ED3D43CEBAE}</x14:id>
        </ext>
      </extLst>
    </cfRule>
    <cfRule type="dataBar" priority="18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{7F8CC459-1052-4A9A-B28D-9B966D7A8EB6}</x14:id>
        </ext>
      </extLst>
    </cfRule>
    <cfRule type="dataBar" priority="18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{85934C0D-8ED2-4824-998F-F2707164E981}</x14:id>
        </ext>
      </extLst>
    </cfRule>
    <cfRule type="dataBar" priority="1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{DF757B84-4579-4062-B2F3-5B967E4EDD53}</x14:id>
        </ext>
      </extLst>
    </cfRule>
    <cfRule type="dataBar" priority="18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{CC493CCF-61B1-4E49-970A-C113BC03BB16}</x14:id>
        </ext>
      </extLst>
    </cfRule>
    <cfRule type="dataBar" priority="18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{B8981734-9F98-40EE-BD27-4C709ED1C4A8}</x14:id>
        </ext>
      </extLst>
    </cfRule>
    <cfRule type="dataBar" priority="18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{DDF6A16A-0F9E-4F63-BC07-0D4B1C3DD13D}</x14:id>
        </ext>
      </extLst>
    </cfRule>
    <cfRule type="dataBar" priority="187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{5802F5EC-39B1-4DF9-A8AB-7EE91D406E21}</x14:id>
        </ext>
      </extLst>
    </cfRule>
    <cfRule type="dataBar" priority="18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{CB9ECAA7-21B5-4A62-B81B-5E908BD83839}</x14:id>
        </ext>
      </extLst>
    </cfRule>
    <cfRule type="dataBar" priority="18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{248C39D6-CA77-48F9-B337-83DCBA7D3BAA}</x14:id>
        </ext>
      </extLst>
    </cfRule>
    <cfRule type="dataBar" priority="18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{734C46FA-BE5A-4145-B6FD-98128CC3B177}</x14:id>
        </ext>
      </extLst>
    </cfRule>
    <cfRule type="dataBar" priority="18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{55C19615-00E6-4561-9771-470579EE4DF0}</x14:id>
        </ext>
      </extLst>
    </cfRule>
    <cfRule type="dataBar" priority="1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{91EF9A9F-D27B-4F62-9721-22FD1FBD07D6}</x14:id>
        </ext>
      </extLst>
    </cfRule>
    <cfRule type="dataBar" priority="1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{8B9AA3D3-FEE8-49BE-86CA-FEE4319C9EB5}</x14:id>
        </ext>
      </extLst>
    </cfRule>
    <cfRule type="dataBar" priority="1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{ECE4A44E-5323-45ED-9489-EC2A6602D03F}</x14:id>
        </ext>
      </extLst>
    </cfRule>
    <cfRule type="dataBar" priority="18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{0CA68180-0D21-4B1F-8EF4-F91C127C03FB}</x14:id>
        </ext>
      </extLst>
    </cfRule>
    <cfRule type="dataBar" priority="188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{86F6F9E0-A305-4B5C-8885-CA5F90030A4E}</x14:id>
        </ext>
      </extLst>
    </cfRule>
    <cfRule type="dataBar" priority="188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{5A6F40D7-F08C-4C75-B4E2-F59EEE22F4DF}</x14:id>
        </ext>
      </extLst>
    </cfRule>
  </conditionalFormatting>
  <conditionalFormatting sqref="V12">
    <cfRule type="dataBar" priority="90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{3C10E07C-B664-4A13-841B-212F3AC22166}</x14:id>
        </ext>
      </extLst>
    </cfRule>
    <cfRule type="dataBar" priority="90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{E3D7BC22-DB04-4903-A513-621C941E44FA}</x14:id>
        </ext>
      </extLst>
    </cfRule>
    <cfRule type="dataBar" priority="9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{365F7F8A-984E-4F0B-A681-F34D479655BF}</x14:id>
        </ext>
      </extLst>
    </cfRule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{820368C1-088B-4ADC-8FC3-3342121BC0EF}</x14:id>
        </ext>
      </extLst>
    </cfRule>
    <cfRule type="dataBar" priority="8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{020032A4-78ED-4DAE-96E4-D3CC4D4A479D}</x14:id>
        </ext>
      </extLst>
    </cfRule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{27122AB7-A9FD-4F7E-AE44-23E4DB0DD022}</x14:id>
        </ext>
      </extLst>
    </cfRule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{36308111-0B0F-4CB5-90D7-15609AB91C68}</x14:id>
        </ext>
      </extLst>
    </cfRule>
    <cfRule type="dataBar" priority="89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{69BED2CE-5458-43E7-8340-A826EA35D790}</x14:id>
        </ext>
      </extLst>
    </cfRule>
    <cfRule type="dataBar" priority="90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{A2E932FB-370A-4940-AF70-3D26AFE8652D}</x14:id>
        </ext>
      </extLst>
    </cfRule>
    <cfRule type="dataBar" priority="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{B1503496-8ACE-4DE5-9B03-D61182848C74}</x14:id>
        </ext>
      </extLst>
    </cfRule>
    <cfRule type="dataBar" priority="90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{2E0720A8-EB80-4DED-A1C7-B763F410520F}</x14:id>
        </ext>
      </extLst>
    </cfRule>
    <cfRule type="dataBar" priority="90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{362F00A5-B5AA-4439-B0AF-CF24EFC7F9D9}</x14:id>
        </ext>
      </extLst>
    </cfRule>
    <cfRule type="dataBar" priority="89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{9A2D397A-E4D3-474A-A02A-04D22BBE2ADA}</x14:id>
        </ext>
      </extLst>
    </cfRule>
  </conditionalFormatting>
  <conditionalFormatting sqref="V13">
    <cfRule type="dataBar" priority="5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{A4F3E406-F827-4E4B-A8FB-952F70488DC8}</x14:id>
        </ext>
      </extLst>
    </cfRule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{C9D36F10-156B-40A9-8F42-F9E2D3F68D87}</x14:id>
        </ext>
      </extLst>
    </cfRule>
    <cfRule type="dataBar" priority="5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{268817E3-058D-48B5-A999-81E6F23C4BBB}</x14:id>
        </ext>
      </extLst>
    </cfRule>
    <cfRule type="dataBar" priority="56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{3EF4472F-0F8D-4890-AA8B-E22F5B0DDCDB}</x14:id>
        </ext>
      </extLst>
    </cfRule>
    <cfRule type="dataBar" priority="5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{D10F2748-0A1E-4A86-AEF6-39C2343EA02E}</x14:id>
        </ext>
      </extLst>
    </cfRule>
    <cfRule type="dataBar" priority="5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{368EB471-91EB-4B6C-A2A5-4967A91DCDCB}</x14:id>
        </ext>
      </extLst>
    </cfRule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{AFD8A4B8-FE7C-4FF9-824B-0D134D2D6456}</x14:id>
        </ext>
      </extLst>
    </cfRule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{5D77E505-C395-4B0B-BEB2-FF1A487449A0}</x14:id>
        </ext>
      </extLst>
    </cfRule>
    <cfRule type="dataBar" priority="5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{26F4A90F-3019-45E9-894C-7F2418198DE4}</x14:id>
        </ext>
      </extLst>
    </cfRule>
    <cfRule type="dataBar" priority="5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{F792F111-37DA-4B03-80F7-2B56A83621E9}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{474791DB-0DB4-4773-970A-07EAA2BDA5B1}</x14:id>
        </ext>
      </extLst>
    </cfRule>
    <cfRule type="dataBar" priority="5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{9C3027D7-DEA8-49E1-B6B1-2841AC104303}</x14:id>
        </ext>
      </extLst>
    </cfRule>
    <cfRule type="dataBar" priority="5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{2A861ED5-1AC6-4A4D-9D0C-5EE1D70FD723}</x14:id>
        </ext>
      </extLst>
    </cfRule>
  </conditionalFormatting>
  <conditionalFormatting sqref="V14">
    <cfRule type="dataBar" priority="87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{1023F111-6F8F-44E6-A84A-E1FFD45AA3E6}</x14:id>
        </ext>
      </extLst>
    </cfRule>
    <cfRule type="dataBar" priority="8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{9109DC8B-D1DD-4524-B81D-59EA10510D36}</x14:id>
        </ext>
      </extLst>
    </cfRule>
    <cfRule type="dataBar" priority="87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{41A3F4AB-AE28-4315-9AC8-E241B5A3AAB8}</x14:id>
        </ext>
      </extLst>
    </cfRule>
    <cfRule type="dataBar" priority="8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{B7B58D60-00CF-4349-9806-F35C03D433B7}</x14:id>
        </ext>
      </extLst>
    </cfRule>
    <cfRule type="dataBar" priority="88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{91E211AC-73B2-4D57-895D-C8BD76F51779}</x14:id>
        </ext>
      </extLst>
    </cfRule>
    <cfRule type="dataBar" priority="8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{A0DFA31E-A163-40BD-8E4F-FCD363A374DA}</x14:id>
        </ext>
      </extLst>
    </cfRule>
    <cfRule type="dataBar" priority="86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{9D25F812-7DFA-4685-ADA8-E60F821B28EE}</x14:id>
        </ext>
      </extLst>
    </cfRule>
    <cfRule type="dataBar" priority="86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{994F7494-BAEF-4FE7-AD5D-538A36C8FF5F}</x14:id>
        </ext>
      </extLst>
    </cfRule>
    <cfRule type="dataBar" priority="86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{43D52E08-E6B8-455B-8368-7084A7EFECE0}</x14:id>
        </ext>
      </extLst>
    </cfRule>
    <cfRule type="dataBar" priority="8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{44E702D9-E8E8-4E21-83FC-37A7920C3E8A}</x14:id>
        </ext>
      </extLst>
    </cfRule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{9C660AAE-0B9B-48BE-B49D-B49920864742}</x14:id>
        </ext>
      </extLst>
    </cfRule>
    <cfRule type="dataBar" priority="8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{2CD17584-E3AC-4F3F-B249-D3AB120B8916}</x14:id>
        </ext>
      </extLst>
    </cfRule>
    <cfRule type="dataBar" priority="88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{92CB5C5B-7701-4363-8C85-33010AAF45BA}</x14:id>
        </ext>
      </extLst>
    </cfRule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{7AF517A1-ABBF-40E8-AB8E-185D58B355CF}</x14:id>
        </ext>
      </extLst>
    </cfRule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{EC8362D1-0411-4F01-9C06-EBFA42D5BE1D}</x14:id>
        </ext>
      </extLst>
    </cfRule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{B4A23111-1CE6-46A3-ACEA-4ECADDD064E4}</x14:id>
        </ext>
      </extLst>
    </cfRule>
    <cfRule type="dataBar" priority="85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{782B3856-E6CE-4612-88BF-7ABAB406E46D}</x14:id>
        </ext>
      </extLst>
    </cfRule>
    <cfRule type="dataBar" priority="8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{E2D2601C-EB36-4D6E-B751-58E333C00823}</x14:id>
        </ext>
      </extLst>
    </cfRule>
    <cfRule type="dataBar" priority="87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{F64391EE-72AB-4139-A1C2-9B4EEBC415E4}</x14:id>
        </ext>
      </extLst>
    </cfRule>
    <cfRule type="dataBar" priority="8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{2EA1DFD1-432A-4B7A-B6E8-5659624C7546}</x14:id>
        </ext>
      </extLst>
    </cfRule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{C752DC2B-FB83-4A06-A32F-BF86D9B1FD49}</x14:id>
        </ext>
      </extLst>
    </cfRule>
    <cfRule type="dataBar" priority="8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{CB0352A4-28D7-4545-A3B7-A199216D4D30}</x14:id>
        </ext>
      </extLst>
    </cfRule>
    <cfRule type="dataBar" priority="8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{73AE01AF-6CA3-40E9-BE09-BB95942054FB}</x14:id>
        </ext>
      </extLst>
    </cfRule>
    <cfRule type="dataBar" priority="86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{19E228A8-F62E-48D6-AE85-B2EED30F9BA6}</x14:id>
        </ext>
      </extLst>
    </cfRule>
    <cfRule type="dataBar" priority="87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{04BBE716-D65F-47F6-A691-C4B5C2080E48}</x14:id>
        </ext>
      </extLst>
    </cfRule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{FB5FDA7E-398D-4C4D-90DD-D999CDF09EAE}</x14:id>
        </ext>
      </extLst>
    </cfRule>
    <cfRule type="dataBar" priority="87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{4FCB2ACE-471F-47D8-A51F-9FF64B865064}</x14:id>
        </ext>
      </extLst>
    </cfRule>
    <cfRule type="dataBar" priority="8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{C52E950A-D6EA-4930-B19B-921EA9A9CCB2}</x14:id>
        </ext>
      </extLst>
    </cfRule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{4A33BAEF-1398-4133-BCCF-C6EA58FDD48A}</x14:id>
        </ext>
      </extLst>
    </cfRule>
    <cfRule type="dataBar" priority="86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{C6F3C291-2516-4E28-BF37-EC7AA57F5788}</x14:id>
        </ext>
      </extLst>
    </cfRule>
  </conditionalFormatting>
  <conditionalFormatting sqref="V15:V23">
    <cfRule type="dataBar" priority="48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{2B084FE6-3750-4335-8AB9-45E2117524C0}</x14:id>
        </ext>
      </extLst>
    </cfRule>
    <cfRule type="dataBar" priority="4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{7919F40B-55AA-4D43-98DE-682EC189B6E4}</x14:id>
        </ext>
      </extLst>
    </cfRule>
    <cfRule type="dataBar" priority="483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{2165737E-4739-4665-A8F2-0CE3701E3940}</x14:id>
        </ext>
      </extLst>
    </cfRule>
    <cfRule type="dataBar" priority="48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{07A38E24-7410-4244-BF7D-F280A95A2374}</x14:id>
        </ext>
      </extLst>
    </cfRule>
    <cfRule type="dataBar" priority="4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{9B824801-351B-4CE8-957E-C1864A6E7397}</x14:id>
        </ext>
      </extLst>
    </cfRule>
    <cfRule type="dataBar" priority="4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{90B00F23-7C92-4BBA-B3D1-C0D083A1CFCD}</x14:id>
        </ext>
      </extLst>
    </cfRule>
    <cfRule type="dataBar" priority="48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{F52993D3-7302-4829-B2CD-F4201CAF21D9}</x14:id>
        </ext>
      </extLst>
    </cfRule>
    <cfRule type="dataBar" priority="48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{06197F5E-EDD8-47C7-8C0C-E7E029434E83}</x14:id>
        </ext>
      </extLst>
    </cfRule>
    <cfRule type="dataBar" priority="48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{D8062DAB-D7B3-45E8-B31A-6C3742E37C70}</x14:id>
        </ext>
      </extLst>
    </cfRule>
    <cfRule type="dataBar" priority="482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{BC3467A2-50B2-489B-B895-C45B7D14792A}</x14:id>
        </ext>
      </extLst>
    </cfRule>
    <cfRule type="dataBar" priority="48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{7AC1AE87-557F-495F-B02E-B7C239213D58}</x14:id>
        </ext>
      </extLst>
    </cfRule>
    <cfRule type="dataBar" priority="48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{29BC51EB-CC0D-4327-9F51-21A175829AD3}</x14:id>
        </ext>
      </extLst>
    </cfRule>
    <cfRule type="dataBar" priority="481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{F10E2CCB-F7D6-481F-80B3-05EF2A7FC5BB}</x14:id>
        </ext>
      </extLst>
    </cfRule>
    <cfRule type="dataBar" priority="48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{5E5F1DF9-B8AD-46E3-A098-A7C465A1E39B}</x14:id>
        </ext>
      </extLst>
    </cfRule>
    <cfRule type="dataBar" priority="4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{13DCD62B-ED61-4167-AE9E-36214B65A541}</x14:id>
        </ext>
      </extLst>
    </cfRule>
    <cfRule type="dataBar" priority="48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{707A2D01-2F56-4C4B-BED8-304E0E49C05C}</x14:id>
        </ext>
      </extLst>
    </cfRule>
    <cfRule type="dataBar" priority="48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{3E1C83EA-D456-495B-827C-5F7AA2369F34}</x14:id>
        </ext>
      </extLst>
    </cfRule>
  </conditionalFormatting>
  <conditionalFormatting sqref="V24">
    <cfRule type="dataBar" priority="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{3E4DB237-CAB6-40A9-B402-6C619F4AB89C}</x14:id>
        </ext>
      </extLst>
    </cfRule>
    <cfRule type="dataBar" priority="8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{86F3A6C6-830A-4B3E-9BD9-1EF7620565A0}</x14:id>
        </ext>
      </extLst>
    </cfRule>
    <cfRule type="dataBar" priority="8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{DEA447F6-DEF1-4DD6-8973-49EFFB807278}</x14:id>
        </ext>
      </extLst>
    </cfRule>
    <cfRule type="dataBar" priority="8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{6A8346B3-BC45-4775-BF53-7BED85333DCB}</x14:id>
        </ext>
      </extLst>
    </cfRule>
    <cfRule type="dataBar" priority="89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{C910EF92-B7F5-403A-89D6-0B8E98EC55ED}</x14:id>
        </ext>
      </extLst>
    </cfRule>
    <cfRule type="dataBar" priority="8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{5AF40C24-68BA-476F-98F4-EB101C516895}</x14:id>
        </ext>
      </extLst>
    </cfRule>
    <cfRule type="dataBar" priority="8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{F4CA7E07-E06B-4DDC-9ED4-3527FA53FE86}</x14:id>
        </ext>
      </extLst>
    </cfRule>
    <cfRule type="dataBar" priority="8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{42DD5464-CB78-4D83-8C30-F65A068CA77E}</x14:id>
        </ext>
      </extLst>
    </cfRule>
    <cfRule type="dataBar" priority="8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{03A5ACEF-0C85-4289-91F4-090AD0C1E7A1}</x14:id>
        </ext>
      </extLst>
    </cfRule>
    <cfRule type="dataBar" priority="8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{6C5544A0-616D-4656-8367-0A7FEA8D076B}</x14:id>
        </ext>
      </extLst>
    </cfRule>
    <cfRule type="dataBar" priority="8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{080668EF-95D4-45F3-A4A1-F8A2864361BE}</x14:id>
        </ext>
      </extLst>
    </cfRule>
    <cfRule type="dataBar" priority="8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{3A6728F2-3C0B-4AD9-B8F0-06C5E2CAE0A7}</x14:id>
        </ext>
      </extLst>
    </cfRule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{C93BDB60-9947-4D65-AA11-B312AF5732AD}</x14:id>
        </ext>
      </extLst>
    </cfRule>
  </conditionalFormatting>
  <conditionalFormatting sqref="V25">
    <cfRule type="dataBar" priority="182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{C908E28D-5D97-41B2-9E8F-42D3BDADF9DF}</x14:id>
        </ext>
      </extLst>
    </cfRule>
    <cfRule type="dataBar" priority="18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{D4EEC4F2-FADD-4A44-9E7F-BF0B099CE5DC}</x14:id>
        </ext>
      </extLst>
    </cfRule>
    <cfRule type="dataBar" priority="1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{1FEDD6B6-C1E9-4D3D-B5DB-B4E9BC378276}</x14:id>
        </ext>
      </extLst>
    </cfRule>
    <cfRule type="dataBar" priority="18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{5926B978-C669-4C2E-AD6E-8FB31898A7CC}</x14:id>
        </ext>
      </extLst>
    </cfRule>
    <cfRule type="dataBar" priority="1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{6C4FBDC9-4F0C-46AC-B6E9-88438CAD057D}</x14:id>
        </ext>
      </extLst>
    </cfRule>
    <cfRule type="dataBar" priority="1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{3CB1DD4C-9F1B-4CF5-9AC1-D34F0E2A5802}</x14:id>
        </ext>
      </extLst>
    </cfRule>
    <cfRule type="dataBar" priority="18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{6CB4D08E-6088-4080-8095-8AB1CBF4642E}</x14:id>
        </ext>
      </extLst>
    </cfRule>
    <cfRule type="dataBar" priority="18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{57C87838-8333-43B6-AA3E-4657E8225CCA}</x14:id>
        </ext>
      </extLst>
    </cfRule>
    <cfRule type="dataBar" priority="18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{5BD949A4-B316-4F9F-B11E-B9B143BAF2C4}</x14:id>
        </ext>
      </extLst>
    </cfRule>
    <cfRule type="dataBar" priority="18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{A940E573-679C-4B99-9A9A-8671F6208822}</x14:id>
        </ext>
      </extLst>
    </cfRule>
    <cfRule type="dataBar" priority="18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{BF645DF0-57B7-4FF4-A182-1BB302C966A3}</x14:id>
        </ext>
      </extLst>
    </cfRule>
    <cfRule type="dataBar" priority="18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{9DD9863C-3A20-4056-BDC0-1AAEBDEB3FDB}</x14:id>
        </ext>
      </extLst>
    </cfRule>
    <cfRule type="dataBar" priority="18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{E357E69D-AE44-484C-8EB4-48CE7AF385DA}</x14:id>
        </ext>
      </extLst>
    </cfRule>
    <cfRule type="dataBar" priority="1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{8E2914AE-2A1A-4110-AB40-1BCAA8B11B98}</x14:id>
        </ext>
      </extLst>
    </cfRule>
    <cfRule type="dataBar" priority="18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{A6BAAE6B-129D-4745-B008-EA883518186D}</x14:id>
        </ext>
      </extLst>
    </cfRule>
    <cfRule type="dataBar" priority="18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{72B8C706-C385-4DA9-86EC-3F9EDDB121A9}</x14:id>
        </ext>
      </extLst>
    </cfRule>
    <cfRule type="dataBar" priority="18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{64C60057-C7CE-47DC-A7C4-5F4EEC6FCC42}</x14:id>
        </ext>
      </extLst>
    </cfRule>
    <cfRule type="dataBar" priority="18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{F099B8F1-C3E0-4E70-826D-424EFE302EED}</x14:id>
        </ext>
      </extLst>
    </cfRule>
    <cfRule type="dataBar" priority="1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{71DD6204-B8CB-4E65-BFD1-93FEC2D38521}</x14:id>
        </ext>
      </extLst>
    </cfRule>
    <cfRule type="dataBar" priority="18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{56274400-A526-4565-BB71-B9C05A4406BD}</x14:id>
        </ext>
      </extLst>
    </cfRule>
    <cfRule type="dataBar" priority="18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{0F37CE13-08B3-41D1-9628-6ACF885F3337}</x14:id>
        </ext>
      </extLst>
    </cfRule>
    <cfRule type="dataBar" priority="18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{BA8360AE-E5E4-49D1-8ABA-D397BF48E298}</x14:id>
        </ext>
      </extLst>
    </cfRule>
    <cfRule type="dataBar" priority="18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{C710F4AB-2C53-4C2D-A395-606ED135D625}</x14:id>
        </ext>
      </extLst>
    </cfRule>
    <cfRule type="dataBar" priority="1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{B1F75BD4-E308-44AA-B18E-96F5354C3C56}</x14:id>
        </ext>
      </extLst>
    </cfRule>
    <cfRule type="dataBar" priority="18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{F9BCD2DD-0A8F-4E52-BD5F-F165503BDF0C}</x14:id>
        </ext>
      </extLst>
    </cfRule>
    <cfRule type="dataBar" priority="18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{A976A77C-23DC-4907-9E1A-4F4268680881}</x14:id>
        </ext>
      </extLst>
    </cfRule>
    <cfRule type="dataBar" priority="1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{742848E6-7A15-45C3-9B80-0AAED8B1F572}</x14:id>
        </ext>
      </extLst>
    </cfRule>
    <cfRule type="dataBar" priority="17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{E76D329D-2DF9-435A-8786-4AD288C11FDB}</x14:id>
        </ext>
      </extLst>
    </cfRule>
    <cfRule type="dataBar" priority="17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{789F9F76-D6E7-4182-AD7B-16287B18ECBF}</x14:id>
        </ext>
      </extLst>
    </cfRule>
    <cfRule type="dataBar" priority="17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{F75034B4-51CD-4E7F-816A-70526AC95CF6}</x14:id>
        </ext>
      </extLst>
    </cfRule>
  </conditionalFormatting>
  <conditionalFormatting sqref="V26">
    <cfRule type="dataBar" priority="4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{EBF4F712-DE15-4521-A1AD-4B4F14D4C265}</x14:id>
        </ext>
      </extLst>
    </cfRule>
    <cfRule type="dataBar" priority="48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{ECB85284-8361-4E50-AC3C-C2180BF26AEB}</x14:id>
        </ext>
      </extLst>
    </cfRule>
    <cfRule type="dataBar" priority="480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{1B89DEBC-26BE-4D1E-BA8B-A0CEA4D07A3B}</x14:id>
        </ext>
      </extLst>
    </cfRule>
    <cfRule type="dataBar" priority="4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{0A0238B8-86EB-41BD-A62D-382F8E79BF7E}</x14:id>
        </ext>
      </extLst>
    </cfRule>
    <cfRule type="dataBar" priority="47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{77839B20-E70A-4370-9510-2BD56B95B89A}</x14:id>
        </ext>
      </extLst>
    </cfRule>
    <cfRule type="dataBar" priority="479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{0893C20D-4BA9-4A0F-AA0C-1D9A8C57FA6B}</x14:id>
        </ext>
      </extLst>
    </cfRule>
    <cfRule type="dataBar" priority="480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{F0B4F69E-4AD5-42EF-8431-E22A5085B48D}</x14:id>
        </ext>
      </extLst>
    </cfRule>
    <cfRule type="dataBar" priority="479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{50608DE4-4504-4D4D-B4E5-D47249722195}</x14:id>
        </ext>
      </extLst>
    </cfRule>
    <cfRule type="dataBar" priority="4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{48D1F519-E637-4302-84E2-4836D6248AA6}</x14:id>
        </ext>
      </extLst>
    </cfRule>
    <cfRule type="dataBar" priority="480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{69499887-F975-422C-8D53-535B0E893FE5}</x14:id>
        </ext>
      </extLst>
    </cfRule>
    <cfRule type="dataBar" priority="480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{80AA433B-6438-42C6-8E42-B08C7FD992EB}</x14:id>
        </ext>
      </extLst>
    </cfRule>
    <cfRule type="dataBar" priority="480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{1305619F-19CD-4A39-BA9B-6C7B44A7AA45}</x14:id>
        </ext>
      </extLst>
    </cfRule>
    <cfRule type="dataBar" priority="480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{8B00C8C1-3F39-4CDA-B607-99BB73E2D3B8}</x14:id>
        </ext>
      </extLst>
    </cfRule>
  </conditionalFormatting>
  <conditionalFormatting sqref="Y33">
    <cfRule type="dataBar" priority="29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{52368C09-74CD-438A-8EDE-7416F9549531}</x14:id>
        </ext>
      </extLst>
    </cfRule>
  </conditionalFormatting>
  <conditionalFormatting sqref="Y34">
    <cfRule type="dataBar" priority="28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{FD0AEFDF-31A5-4602-8057-22BE688E1D45}</x14:id>
        </ext>
      </extLst>
    </cfRule>
  </conditionalFormatting>
  <conditionalFormatting sqref="Y35:Y36">
    <cfRule type="dataBar" priority="431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{D28097F9-BE84-4B1E-AF3B-8912C9A7BE11}</x14:id>
        </ext>
      </extLst>
    </cfRule>
  </conditionalFormatting>
  <conditionalFormatting sqref="Z5:Z36">
    <cfRule type="dataBar" priority="4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{CD7E04A0-3F62-46BC-8FEB-6340B18EE3BD}</x14:id>
        </ext>
      </extLst>
    </cfRule>
    <cfRule type="dataBar" priority="491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{4F86C6B9-C330-4462-B6E2-9FC15A0B2515}</x14:id>
        </ext>
      </extLst>
    </cfRule>
    <cfRule type="dataBar" priority="4912">
      <dataBar>
        <cfvo type="min"/>
        <cfvo type="max"/>
        <color rgb="FF42D4E8"/>
      </dataBar>
      <extLst>
        <ext xmlns:x14="http://schemas.microsoft.com/office/spreadsheetml/2009/9/main" uri="{B025F937-C7B1-47D3-B67F-A62EFF666E3E}">
          <x14:id>{7E43D563-D814-4E75-9443-1CB90245C317}</x14:id>
        </ext>
      </extLst>
    </cfRule>
    <cfRule type="dataBar" priority="4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{4AFF4C55-0B2D-4D9A-9904-2FD5AB4F7C34}</x14:id>
        </ext>
      </extLst>
    </cfRule>
    <cfRule type="dataBar" priority="49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{568E6742-A702-4BFC-BE40-6FDCC33F1EE5}</x14:id>
        </ext>
      </extLst>
    </cfRule>
    <cfRule type="dataBar" priority="49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{5CD53D06-BEFF-4AD0-825E-3FEA828E7B72}</x14:id>
        </ext>
      </extLst>
    </cfRule>
    <cfRule type="dataBar" priority="4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{86B93774-FF5C-4204-B8E5-032F92F38329}</x14:id>
        </ext>
      </extLst>
    </cfRule>
    <cfRule type="dataBar" priority="49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{9E3953AE-DD79-469E-8815-80504C56A16F}</x14:id>
        </ext>
      </extLst>
    </cfRule>
  </conditionalFormatting>
  <conditionalFormatting sqref="Z5:Z37">
    <cfRule type="dataBar" priority="494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{D3D18790-7FB1-49E5-8F61-F6FA7CD9FDF9}</x14:id>
        </ext>
      </extLst>
    </cfRule>
    <cfRule type="dataBar" priority="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{DEF43C32-B5B0-4310-8EA0-BAFBBE47790C}</x14:id>
        </ext>
      </extLst>
    </cfRule>
  </conditionalFormatting>
  <conditionalFormatting sqref="Z37">
    <cfRule type="dataBar" priority="491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{9AF5C3FC-D01C-4014-9856-2A6172C6F490}</x14:id>
        </ext>
      </extLst>
    </cfRule>
    <cfRule type="dataBar" priority="49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{40161D3B-20FC-4EF6-97E9-5CC80F554957}</x14:id>
        </ext>
      </extLst>
    </cfRule>
    <cfRule type="dataBar" priority="49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{92ED0AF5-4533-4149-BEBD-21A651FF00AB}</x14:id>
        </ext>
      </extLst>
    </cfRule>
    <cfRule type="dataBar" priority="4924">
      <dataBar>
        <cfvo type="min"/>
        <cfvo type="max"/>
        <color rgb="FF42D4E8"/>
      </dataBar>
      <extLst>
        <ext xmlns:x14="http://schemas.microsoft.com/office/spreadsheetml/2009/9/main" uri="{B025F937-C7B1-47D3-B67F-A62EFF666E3E}">
          <x14:id>{E880A5C6-783A-4FA2-A85D-9E42E209672D}</x14:id>
        </ext>
      </extLst>
    </cfRule>
    <cfRule type="dataBar" priority="4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{3438A9C2-0E6E-4837-8A66-76D0C96AA51C}</x14:id>
        </ext>
      </extLst>
    </cfRule>
    <cfRule type="dataBar" priority="4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{249E1D9F-5C20-43C0-9AB9-3FB54A99128F}</x14:id>
        </ext>
      </extLst>
    </cfRule>
    <cfRule type="dataBar" priority="491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{E33D7653-0341-43F8-8BD1-E9A1EBD6DC3E}</x14:id>
        </ext>
      </extLst>
    </cfRule>
    <cfRule type="dataBar" priority="4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{B35ACF05-7B08-4D35-9794-EDBB02D27F7E}</x14:id>
        </ext>
      </extLst>
    </cfRule>
  </conditionalFormatting>
  <conditionalFormatting sqref="AA5"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{08F558DE-C138-4BEA-8F9D-BE11CC206465}</x14:id>
        </ext>
      </extLst>
    </cfRule>
    <cfRule type="dataBar" priority="11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{65FC0AAA-B276-4D10-B2FA-A31E3E5E3BC3}</x14:id>
        </ext>
      </extLst>
    </cfRule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{D52189E8-8116-403B-917A-11EF26B403DE}</x14:id>
        </ext>
      </extLst>
    </cfRule>
    <cfRule type="dataBar" priority="112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{50C0E84D-45A2-4A9E-81F1-EDC5748E1671}</x14:id>
        </ext>
      </extLst>
    </cfRule>
    <cfRule type="dataBar" priority="11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{F1A9223F-7D2A-44F4-95F7-3C941C9D1AEF}</x14:id>
        </ext>
      </extLst>
    </cfRule>
    <cfRule type="dataBar" priority="111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{4BEC8478-DEA6-4005-BC73-B11E9BD60559}</x14:id>
        </ext>
      </extLst>
    </cfRule>
    <cfRule type="dataBar" priority="11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{DF82035D-C917-4F8C-85A5-703F33B9BBC2}</x14:id>
        </ext>
      </extLst>
    </cfRule>
    <cfRule type="dataBar" priority="1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{4567591E-B13F-4750-A2AB-D887D11B2EF7}</x14:id>
        </ext>
      </extLst>
    </cfRule>
    <cfRule type="dataBar" priority="11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{B0AA475A-0D3F-4CF7-9CA1-36D24513563C}</x14:id>
        </ext>
      </extLst>
    </cfRule>
    <cfRule type="dataBar" priority="11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{99B62A03-F5EB-4CDF-A5F2-5321DEFDAB3B}</x14:id>
        </ext>
      </extLst>
    </cfRule>
    <cfRule type="dataBar" priority="11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{9F491CFC-134A-4C80-B686-2C4AFAEA1E46}</x14:id>
        </ext>
      </extLst>
    </cfRule>
    <cfRule type="dataBar" priority="1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{A8BEC5A4-E3DD-4B39-A903-3B2205AF78C5}</x14:id>
        </ext>
      </extLst>
    </cfRule>
    <cfRule type="dataBar" priority="11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{7FDAFD53-39A3-47F2-8CC6-ED87B7FD4D38}</x14:id>
        </ext>
      </extLst>
    </cfRule>
    <cfRule type="dataBar" priority="11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{BD9B51BE-3565-4EFD-83AF-67D8D215BEF4}</x14:id>
        </ext>
      </extLst>
    </cfRule>
    <cfRule type="dataBar" priority="11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{D6C7F855-9BE5-4D93-ADE1-2E96017BC8C8}</x14:id>
        </ext>
      </extLst>
    </cfRule>
    <cfRule type="dataBar" priority="1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{3F6FD6A2-E61C-4885-83EE-24A52E1E7389}</x14:id>
        </ext>
      </extLst>
    </cfRule>
    <cfRule type="dataBar" priority="11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{9D068843-4A39-4A5E-B1F0-6C91B2810A7D}</x14:id>
        </ext>
      </extLst>
    </cfRule>
    <cfRule type="dataBar" priority="11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{13AEFCA4-585D-499C-9561-C62148439049}</x14:id>
        </ext>
      </extLst>
    </cfRule>
    <cfRule type="dataBar" priority="11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{19136A56-F8FF-425E-8DA5-7AF8B597F251}</x14:id>
        </ext>
      </extLst>
    </cfRule>
    <cfRule type="dataBar" priority="11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{D8DB8A33-28B7-4677-B502-8A9941D1C0D3}</x14:id>
        </ext>
      </extLst>
    </cfRule>
    <cfRule type="dataBar" priority="1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{7890DE01-D3D2-46A9-907B-CE570C189B2B}</x14:id>
        </ext>
      </extLst>
    </cfRule>
    <cfRule type="dataBar" priority="11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{05F533A2-AAEE-47CA-84C9-E9097D1DB096}</x14:id>
        </ext>
      </extLst>
    </cfRule>
    <cfRule type="dataBar" priority="11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{B6179131-23A8-4126-89F2-7A16B46F9582}</x14:id>
        </ext>
      </extLst>
    </cfRule>
    <cfRule type="dataBar" priority="11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{8486F991-8189-4607-81B6-FCD2ABD17A10}</x14:id>
        </ext>
      </extLst>
    </cfRule>
    <cfRule type="dataBar" priority="11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{11A8FB77-9724-4391-A3A3-525AF49DC042}</x14:id>
        </ext>
      </extLst>
    </cfRule>
    <cfRule type="dataBar" priority="1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{A19CC8A0-91DD-4D9B-A58C-599F6F3E304E}</x14:id>
        </ext>
      </extLst>
    </cfRule>
    <cfRule type="dataBar" priority="11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{6A52D8F8-0284-4FF2-8AEF-6A181037751A}</x14:id>
        </ext>
      </extLst>
    </cfRule>
    <cfRule type="dataBar" priority="11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{F3A69091-FD25-4E06-9B62-9CE8FEA67395}</x14:id>
        </ext>
      </extLst>
    </cfRule>
    <cfRule type="dataBar" priority="1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{B22A8B9E-A6C6-42CB-B148-2295ACB84299}</x14:id>
        </ext>
      </extLst>
    </cfRule>
    <cfRule type="dataBar" priority="11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{1757788F-397F-44AB-ADF2-A66FA8F1642E}</x14:id>
        </ext>
      </extLst>
    </cfRule>
  </conditionalFormatting>
  <conditionalFormatting sqref="AA6">
    <cfRule type="dataBar" priority="8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{B1F5D1DF-7AB9-441F-9891-1DF3148571A0}</x14:id>
        </ext>
      </extLst>
    </cfRule>
    <cfRule type="dataBar" priority="8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{CAF217D8-F2CA-4115-A094-2F0069A0C4B9}</x14:id>
        </ext>
      </extLst>
    </cfRule>
    <cfRule type="dataBar" priority="8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{CEBD9C67-E480-48F1-98AE-22AD81B51D3A}</x14:id>
        </ext>
      </extLst>
    </cfRule>
    <cfRule type="dataBar" priority="83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{598DE172-847B-4135-AC08-2A783CC35071}</x14:id>
        </ext>
      </extLst>
    </cfRule>
    <cfRule type="dataBar" priority="8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{4DB33721-17AB-42D3-BE07-63D8EF35DFDF}</x14:id>
        </ext>
      </extLst>
    </cfRule>
    <cfRule type="dataBar" priority="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{81DEE03F-A581-487F-B9EA-509F959389B4}</x14:id>
        </ext>
      </extLst>
    </cfRule>
    <cfRule type="dataBar" priority="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{EF8E1FF7-2C1D-4A5C-994D-2D7D7155CB47}</x14:id>
        </ext>
      </extLst>
    </cfRule>
    <cfRule type="dataBar" priority="8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{831E202C-954F-49EC-8D56-DF98F02AB002}</x14:id>
        </ext>
      </extLst>
    </cfRule>
    <cfRule type="dataBar" priority="83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{0BD1DB10-0690-49DF-A3D7-4DE354EA4DAF}</x14:id>
        </ext>
      </extLst>
    </cfRule>
    <cfRule type="dataBar" priority="8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{AC55A1AD-47EA-40CE-B925-3D50BF5BE60B}</x14:id>
        </ext>
      </extLst>
    </cfRule>
    <cfRule type="dataBar" priority="83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{99A13B9D-9177-4B87-930F-2DBFB7E9F446}</x14:id>
        </ext>
      </extLst>
    </cfRule>
    <cfRule type="dataBar" priority="83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{450EE200-93FE-4880-8E63-3C8F6B2A166B}</x14:id>
        </ext>
      </extLst>
    </cfRule>
    <cfRule type="dataBar" priority="83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{9AA4D27E-58B6-4A47-B522-F64F530BDC77}</x14:id>
        </ext>
      </extLst>
    </cfRule>
  </conditionalFormatting>
  <conditionalFormatting sqref="AA7">
    <cfRule type="dataBar" priority="10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{05402343-7547-4D89-99C0-DFA5EE36CD2F}</x14:id>
        </ext>
      </extLst>
    </cfRule>
    <cfRule type="dataBar" priority="110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{52D18723-DEDD-4DB8-8C35-8B600E2DCC95}</x14:id>
        </ext>
      </extLst>
    </cfRule>
    <cfRule type="dataBar" priority="11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{C2488B29-24A1-4D47-9829-199BAB62946F}</x14:id>
        </ext>
      </extLst>
    </cfRule>
    <cfRule type="dataBar" priority="10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{B6CCAF31-22F8-492D-AB54-A0F77DBD20B9}</x14:id>
        </ext>
      </extLst>
    </cfRule>
    <cfRule type="dataBar" priority="10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{D9E63500-1C40-4B74-9C0E-085700442416}</x14:id>
        </ext>
      </extLst>
    </cfRule>
    <cfRule type="dataBar" priority="10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{2112E1D0-C5F4-4EB4-A4B9-4D488EF8263D}</x14:id>
        </ext>
      </extLst>
    </cfRule>
    <cfRule type="dataBar" priority="109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{CD4B573F-4873-4BDD-B5EA-336CA80B189A}</x14:id>
        </ext>
      </extLst>
    </cfRule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{99DD73A9-04C3-4E5E-8FAA-DFC53296C09C}</x14:id>
        </ext>
      </extLst>
    </cfRule>
    <cfRule type="dataBar" priority="10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{5C72953E-BDD6-4CE7-BC58-92637A2A3ABC}</x14:id>
        </ext>
      </extLst>
    </cfRule>
    <cfRule type="dataBar" priority="10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{A6D58A28-79AB-4AD3-A283-1A727D5B6495}</x14:id>
        </ext>
      </extLst>
    </cfRule>
    <cfRule type="dataBar" priority="10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{28F7B65D-6D43-4657-848C-C386C08B8BF5}</x14:id>
        </ext>
      </extLst>
    </cfRule>
    <cfRule type="dataBar" priority="10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{CD4D1B81-40B8-465A-B028-DF80381531DD}</x14:id>
        </ext>
      </extLst>
    </cfRule>
    <cfRule type="dataBar" priority="11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{8BD141DA-857D-473F-829E-258F371BAAE1}</x14:id>
        </ext>
      </extLst>
    </cfRule>
    <cfRule type="dataBar" priority="11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{0B0F8419-7E54-4856-AE9C-9C05D0666A45}</x14:id>
        </ext>
      </extLst>
    </cfRule>
    <cfRule type="dataBar" priority="11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{C84DC414-F362-4623-B338-10E19F9E1B58}</x14:id>
        </ext>
      </extLst>
    </cfRule>
    <cfRule type="dataBar" priority="1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{A76B1A97-25CD-4425-A7C1-47D4FC35853C}</x14:id>
        </ext>
      </extLst>
    </cfRule>
    <cfRule type="dataBar" priority="107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{F1A862AA-9262-4F2B-98F6-B80901E3E180}</x14:id>
        </ext>
      </extLst>
    </cfRule>
    <cfRule type="dataBar" priority="108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{CBB2D9EE-7FED-46E3-83BB-18F1AE3EA6D2}</x14:id>
        </ext>
      </extLst>
    </cfRule>
    <cfRule type="dataBar" priority="10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{3BD5A76E-B397-4082-B8F2-71D009676367}</x14:id>
        </ext>
      </extLst>
    </cfRule>
    <cfRule type="dataBar" priority="10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{D86FCE6D-028D-46D4-A027-3AE3BCB7BF48}</x14:id>
        </ext>
      </extLst>
    </cfRule>
    <cfRule type="dataBar" priority="10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{BD9D9726-79E6-4502-88BC-1F7C138864D6}</x14:id>
        </ext>
      </extLst>
    </cfRule>
    <cfRule type="dataBar" priority="10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{6E2D331A-F8C5-445A-9BA1-119C17D34E26}</x14:id>
        </ext>
      </extLst>
    </cfRule>
    <cfRule type="dataBar" priority="10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{8F56CB6D-7A40-4107-B6C7-25820E0217CC}</x14:id>
        </ext>
      </extLst>
    </cfRule>
    <cfRule type="dataBar" priority="10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{23D1DC1A-2061-4BAC-85FD-47C08A434D92}</x14:id>
        </ext>
      </extLst>
    </cfRule>
    <cfRule type="dataBar" priority="1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{DFD09A3C-618E-4538-A2AF-CADA2FCE3433}</x14:id>
        </ext>
      </extLst>
    </cfRule>
    <cfRule type="dataBar" priority="10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{B9C8BB1D-75B0-48DA-957C-55413088AD4D}</x14:id>
        </ext>
      </extLst>
    </cfRule>
    <cfRule type="dataBar" priority="10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{10544A28-FB51-4AF4-AF89-7B585B3BF79B}</x14:id>
        </ext>
      </extLst>
    </cfRule>
    <cfRule type="dataBar" priority="10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{568D8CCD-193A-4988-90A1-8ECC7BAAE683}</x14:id>
        </ext>
      </extLst>
    </cfRule>
    <cfRule type="dataBar" priority="10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{31B71D56-507E-4210-930F-FABC7B80260C}</x14:id>
        </ext>
      </extLst>
    </cfRule>
    <cfRule type="dataBar" priority="10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{1C05480E-9919-4DFA-9121-0332939DB945}</x14:id>
        </ext>
      </extLst>
    </cfRule>
  </conditionalFormatting>
  <conditionalFormatting sqref="AA8">
    <cfRule type="dataBar" priority="26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{4781827D-AA7C-4124-8D22-1EC1CBA4AFDC}</x14:id>
        </ext>
      </extLst>
    </cfRule>
    <cfRule type="dataBar" priority="26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{A7C13844-DDAE-4722-B92A-0C82B5204985}</x14:id>
        </ext>
      </extLst>
    </cfRule>
    <cfRule type="dataBar" priority="260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{FF9BBF9F-8481-4DE7-8D2D-FA0C41924358}</x14:id>
        </ext>
      </extLst>
    </cfRule>
    <cfRule type="dataBar" priority="26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{958B4135-D193-4179-BF8C-69E4ADB909CB}</x14:id>
        </ext>
      </extLst>
    </cfRule>
    <cfRule type="dataBar" priority="26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{6B8D28C7-0BB6-435C-9A2E-384C7D96B0E7}</x14:id>
        </ext>
      </extLst>
    </cfRule>
    <cfRule type="dataBar" priority="2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{521E4ABA-2132-45F0-8FBD-08868A0D0A08}</x14:id>
        </ext>
      </extLst>
    </cfRule>
    <cfRule type="dataBar" priority="261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{E0EEA316-C018-4512-A176-6B42CE753CDF}</x14:id>
        </ext>
      </extLst>
    </cfRule>
    <cfRule type="dataBar" priority="261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{A52C5ED8-0149-4644-B3B7-E06CCF4C3FC8}</x14:id>
        </ext>
      </extLst>
    </cfRule>
    <cfRule type="dataBar" priority="261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{C7DCB6DF-501C-4D3E-8C48-3256A5AA661C}</x14:id>
        </ext>
      </extLst>
    </cfRule>
    <cfRule type="dataBar" priority="2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{309F87CE-2B75-48D4-8C1C-0668E24F7258}</x14:id>
        </ext>
      </extLst>
    </cfRule>
    <cfRule type="dataBar" priority="26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{77EBD797-FA3F-46CB-89AA-4C91E7ABE8DD}</x14:id>
        </ext>
      </extLst>
    </cfRule>
    <cfRule type="dataBar" priority="26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{4EDFAE7B-3937-4C66-9D8C-20D568B3A63C}</x14:id>
        </ext>
      </extLst>
    </cfRule>
    <cfRule type="dataBar" priority="2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{C51E2511-7778-4665-95BC-8973D9AC93E9}</x14:id>
        </ext>
      </extLst>
    </cfRule>
    <cfRule type="dataBar" priority="26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{7780C812-257E-4D06-AF04-DA38206C6812}</x14:id>
        </ext>
      </extLst>
    </cfRule>
    <cfRule type="dataBar" priority="2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{AD1A4FFC-B363-4CEE-8093-D317F550223A}</x14:id>
        </ext>
      </extLst>
    </cfRule>
    <cfRule type="dataBar" priority="26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{B3657F4F-8BE0-4E7D-9723-1B5906D21DE1}</x14:id>
        </ext>
      </extLst>
    </cfRule>
    <cfRule type="dataBar" priority="2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{66A74854-2795-4DE7-BD62-D889AB157F08}</x14:id>
        </ext>
      </extLst>
    </cfRule>
  </conditionalFormatting>
  <conditionalFormatting sqref="AA9">
    <cfRule type="dataBar" priority="8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{77F4060A-F3BA-463E-AFD2-259D97ED6F08}</x14:id>
        </ext>
      </extLst>
    </cfRule>
    <cfRule type="dataBar" priority="8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{42B8A3C7-719B-4465-B0F1-524992B6AFE8}</x14:id>
        </ext>
      </extLst>
    </cfRule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{7BB98E9B-1E12-4639-AAC8-34DDD89101BA}</x14:id>
        </ext>
      </extLst>
    </cfRule>
    <cfRule type="dataBar" priority="8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{344BEA01-E1D6-4EE7-8D78-4F17A97E2186}</x14:id>
        </ext>
      </extLst>
    </cfRule>
    <cfRule type="dataBar" priority="8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{74F3E169-2D5E-4C87-AB03-8CF47655B264}</x14:id>
        </ext>
      </extLst>
    </cfRule>
    <cfRule type="dataBar" priority="8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{8604B4FE-1131-4995-96D8-74834F6A7842}</x14:id>
        </ext>
      </extLst>
    </cfRule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{41AE5AC9-92A2-405F-AF96-7071D42C8CB6}</x14:id>
        </ext>
      </extLst>
    </cfRule>
    <cfRule type="dataBar" priority="8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{44B6CCED-49A8-42C0-9DBF-10035DE2E65B}</x14:id>
        </ext>
      </extLst>
    </cfRule>
    <cfRule type="dataBar" priority="8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{DB734392-EAA5-4C92-B5BA-07875B80E36F}</x14:id>
        </ext>
      </extLst>
    </cfRule>
    <cfRule type="dataBar" priority="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{558F34A0-2DDB-40A6-8502-81ABFE23F391}</x14:id>
        </ext>
      </extLst>
    </cfRule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{EA7FA22B-CA5B-4123-9475-9279474CC374}</x14:id>
        </ext>
      </extLst>
    </cfRule>
    <cfRule type="dataBar" priority="8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{44EBAB2A-797B-4649-B912-DD76E9EA5A34}</x14:id>
        </ext>
      </extLst>
    </cfRule>
    <cfRule type="dataBar" priority="82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{5FA8F1EE-EFD1-4E8D-989B-5D435521D6AB}</x14:id>
        </ext>
      </extLst>
    </cfRule>
  </conditionalFormatting>
  <conditionalFormatting sqref="AA10">
    <cfRule type="dataBar" priority="10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{6659FCDE-9338-4F1E-A417-5632F953AE24}</x14:id>
        </ext>
      </extLst>
    </cfRule>
    <cfRule type="dataBar" priority="10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{E1F1E1DC-3DB1-497D-A27B-67F65C92A9B9}</x14:id>
        </ext>
      </extLst>
    </cfRule>
    <cfRule type="dataBar" priority="10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{C22ED968-D089-487C-91BD-D89CA145C20C}</x14:id>
        </ext>
      </extLst>
    </cfRule>
    <cfRule type="dataBar" priority="10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{9D917C23-8BFF-44B8-8E49-F62762752258}</x14:id>
        </ext>
      </extLst>
    </cfRule>
    <cfRule type="dataBar" priority="10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{15565297-F98E-477A-BD05-CB5925544378}</x14:id>
        </ext>
      </extLst>
    </cfRule>
    <cfRule type="dataBar" priority="10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{EDFB9838-3BE8-4356-808C-8C2226238CAE}</x14:id>
        </ext>
      </extLst>
    </cfRule>
    <cfRule type="dataBar" priority="105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{29468EBD-4649-4050-882F-8B47142C796B}</x14:id>
        </ext>
      </extLst>
    </cfRule>
    <cfRule type="dataBar" priority="10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{0974F585-1B4C-42A1-902B-4B77C5E113D3}</x14:id>
        </ext>
      </extLst>
    </cfRule>
    <cfRule type="dataBar" priority="10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{2CB48A19-BAC2-47DD-9C47-290B62875CF0}</x14:id>
        </ext>
      </extLst>
    </cfRule>
    <cfRule type="dataBar" priority="10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{2BDE0361-077F-41A8-8F6C-68EA058848CE}</x14:id>
        </ext>
      </extLst>
    </cfRule>
    <cfRule type="dataBar" priority="10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{0E87E3B6-9087-4936-9265-2873D14C759B}</x14:id>
        </ext>
      </extLst>
    </cfRule>
    <cfRule type="dataBar" priority="10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{BDCD963C-064B-4353-903E-9D2DBA9BEA2C}</x14:id>
        </ext>
      </extLst>
    </cfRule>
    <cfRule type="dataBar" priority="10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{F921451F-DFA5-4D12-BF0E-D1E78D96E6DD}</x14:id>
        </ext>
      </extLst>
    </cfRule>
    <cfRule type="dataBar" priority="10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{0DE5762B-858C-4862-8C38-B993A984555A}</x14:id>
        </ext>
      </extLst>
    </cfRule>
    <cfRule type="dataBar" priority="10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{E29C9864-8482-4A17-87E5-69B5B3CD3E1D}</x14:id>
        </ext>
      </extLst>
    </cfRule>
    <cfRule type="dataBar" priority="10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{766005B9-2838-4E7E-A2C0-EEB5CD0C721E}</x14:id>
        </ext>
      </extLst>
    </cfRule>
    <cfRule type="dataBar" priority="10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{575C9A0A-F197-42F4-868C-29619F20AB99}</x14:id>
        </ext>
      </extLst>
    </cfRule>
    <cfRule type="dataBar" priority="10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{5E42C7F5-B2E3-46DB-BACC-2BF9D66F58C8}</x14:id>
        </ext>
      </extLst>
    </cfRule>
    <cfRule type="dataBar" priority="10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{DBE2B917-0EB9-4C1F-B79C-D445E29FB961}</x14:id>
        </ext>
      </extLst>
    </cfRule>
    <cfRule type="dataBar" priority="10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{BF5E5278-9BE7-4D23-AB99-F96686E962CB}</x14:id>
        </ext>
      </extLst>
    </cfRule>
    <cfRule type="dataBar" priority="10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{58ADC988-775D-4927-9764-F5BDBED0AFD4}</x14:id>
        </ext>
      </extLst>
    </cfRule>
    <cfRule type="dataBar" priority="10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{D32B2730-8101-4573-AB1D-967B2DB51EBA}</x14:id>
        </ext>
      </extLst>
    </cfRule>
    <cfRule type="dataBar" priority="10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{FAAA8E3F-9155-4D4C-AF16-B62642D2FEFF}</x14:id>
        </ext>
      </extLst>
    </cfRule>
    <cfRule type="dataBar" priority="10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{231152CB-D34A-40C2-B868-9A95D7451A1C}</x14:id>
        </ext>
      </extLst>
    </cfRule>
    <cfRule type="dataBar" priority="10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{08634483-70AD-4910-8960-62ABCCEA90C3}</x14:id>
        </ext>
      </extLst>
    </cfRule>
    <cfRule type="dataBar" priority="10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{8E58C0C3-BC26-4166-BA90-EA7BECE9440D}</x14:id>
        </ext>
      </extLst>
    </cfRule>
    <cfRule type="dataBar" priority="10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{1A992F3B-D398-4C56-BD54-8AACA6B127ED}</x14:id>
        </ext>
      </extLst>
    </cfRule>
    <cfRule type="dataBar" priority="1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{BC4767EE-558C-4E15-9446-2DA86DBAB974}</x14:id>
        </ext>
      </extLst>
    </cfRule>
    <cfRule type="dataBar" priority="107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{349F376E-26D0-4D39-A331-D81C6AD41F30}</x14:id>
        </ext>
      </extLst>
    </cfRule>
    <cfRule type="dataBar" priority="10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{710498D1-CBC4-4A76-BC24-ACE2DB4B2251}</x14:id>
        </ext>
      </extLst>
    </cfRule>
  </conditionalFormatting>
  <conditionalFormatting sqref="AA11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{596F6CC2-65CA-4670-A7AD-0896220DACF5}</x14:id>
        </ext>
      </extLst>
    </cfRule>
    <cfRule type="dataBar" priority="80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{3DB3DB32-ECBF-4AF4-91B6-0637F1690CE1}</x14:id>
        </ext>
      </extLst>
    </cfRule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{D3E415D9-72D5-4119-AF16-007AFB5C2621}</x14:id>
        </ext>
      </extLst>
    </cfRule>
    <cfRule type="dataBar" priority="8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{5EE51929-41CB-41F2-B93F-4F091B9A8C7A}</x14:id>
        </ext>
      </extLst>
    </cfRule>
    <cfRule type="dataBar" priority="80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{8D6A344B-91FF-478F-8D1D-AA0395A25E21}</x14:id>
        </ext>
      </extLst>
    </cfRule>
    <cfRule type="dataBar" priority="80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{E3A5ED07-DD35-49ED-9ABC-520405E22FD9}</x14:id>
        </ext>
      </extLst>
    </cfRule>
    <cfRule type="dataBar" priority="8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{2A0E17B0-A28E-4551-AD7C-FB99747F6D6F}</x14:id>
        </ext>
      </extLst>
    </cfRule>
    <cfRule type="dataBar" priority="80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{DA6EE977-3C4B-4442-9A39-3D8906B219E7}</x14:id>
        </ext>
      </extLst>
    </cfRule>
    <cfRule type="dataBar" priority="80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{84A12FE3-8B3C-43FF-8E65-6A9D1EDFBCD2}</x14:id>
        </ext>
      </extLst>
    </cfRule>
    <cfRule type="dataBar" priority="81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{96C03431-2E87-4F14-BA7B-CA2255CE1C85}</x14:id>
        </ext>
      </extLst>
    </cfRule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{ED11FDAF-BD58-4800-8B37-C54321D4E9FA}</x14:id>
        </ext>
      </extLst>
    </cfRule>
    <cfRule type="dataBar" priority="80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{2D87EDA1-0B8B-4559-BB37-AF8D1B9E2CA8}</x14:id>
        </ext>
      </extLst>
    </cfRule>
    <cfRule type="dataBar" priority="80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{267A7D88-DA8D-4164-89CA-9F6390ACC011}</x14:id>
        </ext>
      </extLst>
    </cfRule>
  </conditionalFormatting>
  <conditionalFormatting sqref="AA12:AA16">
    <cfRule type="dataBar" priority="177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{83D1139F-BEF5-4497-8ECC-E05A79546847}</x14:id>
        </ext>
      </extLst>
    </cfRule>
    <cfRule type="dataBar" priority="1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{2130ABF0-C9ED-431C-B108-E4B63FFE2B88}</x14:id>
        </ext>
      </extLst>
    </cfRule>
    <cfRule type="dataBar" priority="1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{6A6481FF-3575-42C4-A97D-39A7688664D4}</x14:id>
        </ext>
      </extLst>
    </cfRule>
    <cfRule type="dataBar" priority="17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{E5E16EC0-0C9E-4335-B91B-DFBBC7084526}</x14:id>
        </ext>
      </extLst>
    </cfRule>
    <cfRule type="dataBar" priority="17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{8CA5393F-B5FE-4D39-B64A-E36B2B0EB12D}</x14:id>
        </ext>
      </extLst>
    </cfRule>
    <cfRule type="dataBar" priority="17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{79A6F2B6-83A5-4699-A5BE-3A03BC307A17}</x14:id>
        </ext>
      </extLst>
    </cfRule>
    <cfRule type="dataBar" priority="1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{36740389-C384-4325-9533-F5C065EE7738}</x14:id>
        </ext>
      </extLst>
    </cfRule>
    <cfRule type="dataBar" priority="17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{B33721C2-C405-4F76-A5D9-8FDC6A65DC01}</x14:id>
        </ext>
      </extLst>
    </cfRule>
    <cfRule type="dataBar" priority="17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{3982A108-EBEB-4F97-B81E-A29CC5D1FAC0}</x14:id>
        </ext>
      </extLst>
    </cfRule>
    <cfRule type="dataBar" priority="17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{DB1B6693-64F6-4461-88CC-61024B77701A}</x14:id>
        </ext>
      </extLst>
    </cfRule>
    <cfRule type="dataBar" priority="1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{12119CF2-B357-4738-8460-830F2EBE3255}</x14:id>
        </ext>
      </extLst>
    </cfRule>
    <cfRule type="dataBar" priority="17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{47F37154-4D17-4953-8D9E-42C489A21243}</x14:id>
        </ext>
      </extLst>
    </cfRule>
    <cfRule type="dataBar" priority="17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{E525B620-1365-49E2-BCC6-2D7384CE7DA0}</x14:id>
        </ext>
      </extLst>
    </cfRule>
    <cfRule type="dataBar" priority="17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{C00E4FFB-1612-4E62-B642-14D3B82B416C}</x14:id>
        </ext>
      </extLst>
    </cfRule>
    <cfRule type="dataBar" priority="17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{79B5C928-199E-405B-8EC1-776F8E532E1A}</x14:id>
        </ext>
      </extLst>
    </cfRule>
    <cfRule type="dataBar" priority="1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{71415A14-9179-422F-AF91-86239F68DC58}</x14:id>
        </ext>
      </extLst>
    </cfRule>
    <cfRule type="dataBar" priority="179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{0E481A5D-3D67-4A4F-A746-FCE1B07ACEB6}</x14:id>
        </ext>
      </extLst>
    </cfRule>
    <cfRule type="dataBar" priority="17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{61CECDBE-D768-487E-B156-018E44A325B4}</x14:id>
        </ext>
      </extLst>
    </cfRule>
    <cfRule type="dataBar" priority="17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{A58F3F16-1E56-4803-A538-A1D29AA9A74C}</x14:id>
        </ext>
      </extLst>
    </cfRule>
    <cfRule type="dataBar" priority="17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{2C4DEEAE-FCD1-42A1-8842-E451E7791E0C}</x14:id>
        </ext>
      </extLst>
    </cfRule>
    <cfRule type="dataBar" priority="17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{1AD71A43-2ED5-4779-B979-FCB31EFAED74}</x14:id>
        </ext>
      </extLst>
    </cfRule>
    <cfRule type="dataBar" priority="17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{239A436E-3D96-4733-934A-3FABA5F9F39E}</x14:id>
        </ext>
      </extLst>
    </cfRule>
    <cfRule type="dataBar" priority="17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{5F6A41D6-185B-4E87-90D2-479716B35B35}</x14:id>
        </ext>
      </extLst>
    </cfRule>
    <cfRule type="dataBar" priority="17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{23DC75AC-16A7-434F-A971-0E704271E0E9}</x14:id>
        </ext>
      </extLst>
    </cfRule>
    <cfRule type="dataBar" priority="179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{EBBAF025-39D2-4B43-90C5-F50D4C6F4B0F}</x14:id>
        </ext>
      </extLst>
    </cfRule>
    <cfRule type="dataBar" priority="179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{4CAD7663-6494-41BC-9C7A-230B0DAF1BE7}</x14:id>
        </ext>
      </extLst>
    </cfRule>
    <cfRule type="dataBar" priority="178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{7A6EA053-D9D0-448F-A5DC-55353E953BD1}</x14:id>
        </ext>
      </extLst>
    </cfRule>
    <cfRule type="dataBar" priority="1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{7171E23B-2E07-4D22-804C-12F07DF4A488}</x14:id>
        </ext>
      </extLst>
    </cfRule>
    <cfRule type="dataBar" priority="17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{8C518188-448F-47E9-8327-BDD7D617717F}</x14:id>
        </ext>
      </extLst>
    </cfRule>
    <cfRule type="dataBar" priority="17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{01BC2F56-2A88-4EC6-8067-EB0BB3F99DD7}</x14:id>
        </ext>
      </extLst>
    </cfRule>
  </conditionalFormatting>
  <conditionalFormatting sqref="AA17:AA18">
    <cfRule type="dataBar" priority="79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{39BD384D-2C69-4C3B-A69B-4F9F2A6BBB50}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{D15867F6-78E0-4CD2-B264-7F062DC93C01}</x14:id>
        </ext>
      </extLst>
    </cfRule>
    <cfRule type="dataBar" priority="78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{F0405D58-B93F-46CF-A803-81F556A06672}</x14:id>
        </ext>
      </extLst>
    </cfRule>
    <cfRule type="dataBar" priority="7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{6202C911-FE95-4420-B700-B884A2BB2FDC}</x14:id>
        </ext>
      </extLst>
    </cfRule>
    <cfRule type="dataBar" priority="79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{392D4CC3-045C-448D-A11D-3A7218AA50A5}</x14:id>
        </ext>
      </extLst>
    </cfRule>
    <cfRule type="dataBar" priority="79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{3AD352BB-E8BB-44ED-BB96-F967424CE02F}</x14:id>
        </ext>
      </extLst>
    </cfRule>
    <cfRule type="dataBar" priority="7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{0518F574-6745-434B-86B2-EFD36E0C64DF}</x14:id>
        </ext>
      </extLst>
    </cfRule>
    <cfRule type="dataBar" priority="7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{90051194-2774-4807-9990-2865D45E450F}</x14:id>
        </ext>
      </extLst>
    </cfRule>
    <cfRule type="dataBar" priority="79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{98DEB6F5-B697-4CAA-A010-77FB620EDEF7}</x14:id>
        </ext>
      </extLst>
    </cfRule>
    <cfRule type="dataBar" priority="79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{6DA41D44-0F63-4A71-80AA-EBC518C32CC1}</x14:id>
        </ext>
      </extLst>
    </cfRule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{B2FDF225-B15A-42AF-B225-42A0F1F748B3}</x14:id>
        </ext>
      </extLst>
    </cfRule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{0FF7BA2F-8764-447C-8994-A8145CA9B601}</x14:id>
        </ext>
      </extLst>
    </cfRule>
    <cfRule type="dataBar" priority="79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{52AA70E9-9BB6-4CC6-A8F1-FB48FF2E64DE}</x14:id>
        </ext>
      </extLst>
    </cfRule>
  </conditionalFormatting>
  <conditionalFormatting sqref="AA19:AA22">
    <cfRule type="dataBar" priority="487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{C713E799-63C1-4632-A500-A0F0C053EBB3}</x14:id>
        </ext>
      </extLst>
    </cfRule>
    <cfRule type="dataBar" priority="487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{E80B4A30-BC8F-4D96-A6EF-48EA82E7F282}</x14:id>
        </ext>
      </extLst>
    </cfRule>
    <cfRule type="dataBar" priority="487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{BF7546FD-EF27-48C4-B0C9-10B63F7C607C}</x14:id>
        </ext>
      </extLst>
    </cfRule>
    <cfRule type="dataBar" priority="48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{7716823A-4BDC-4E10-828F-565673A00A4B}</x14:id>
        </ext>
      </extLst>
    </cfRule>
    <cfRule type="dataBar" priority="48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{7D1680EF-425D-483F-9490-CC673770BB74}</x14:id>
        </ext>
      </extLst>
    </cfRule>
    <cfRule type="dataBar" priority="48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{3717C501-1100-4C0C-A004-A143CD0B2F72}</x14:id>
        </ext>
      </extLst>
    </cfRule>
    <cfRule type="dataBar" priority="487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{826C7987-14F2-4C14-A0D9-33FB92F8CA52}</x14:id>
        </ext>
      </extLst>
    </cfRule>
    <cfRule type="dataBar" priority="4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{07BE856A-F95E-4A84-87A6-07C611A40814}</x14:id>
        </ext>
      </extLst>
    </cfRule>
    <cfRule type="dataBar" priority="48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{4598CAE0-5421-4522-A9F4-CAB87ED2D301}</x14:id>
        </ext>
      </extLst>
    </cfRule>
    <cfRule type="dataBar" priority="4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{63303370-CC99-4575-9B79-157A16F6EBF3}</x14:id>
        </ext>
      </extLst>
    </cfRule>
    <cfRule type="dataBar" priority="4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{9E35FA77-13EA-4705-8891-76F6E4FA2900}</x14:id>
        </ext>
      </extLst>
    </cfRule>
    <cfRule type="dataBar" priority="48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{B4D97180-4A03-4914-85E4-001CCB88558C}</x14:id>
        </ext>
      </extLst>
    </cfRule>
    <cfRule type="dataBar" priority="4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{40A01621-F585-4546-9185-9537DEB164EE}</x14:id>
        </ext>
      </extLst>
    </cfRule>
    <cfRule type="dataBar" priority="487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{EC883D62-E910-4AAB-B01D-553E719A76C2}</x14:id>
        </ext>
      </extLst>
    </cfRule>
    <cfRule type="dataBar" priority="48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{2608F83F-481F-4646-AEF9-DA6FFDCF4D61}</x14:id>
        </ext>
      </extLst>
    </cfRule>
    <cfRule type="dataBar" priority="489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{3F363C94-C4DC-48AB-9A2F-D5E877447745}</x14:id>
        </ext>
      </extLst>
    </cfRule>
    <cfRule type="dataBar" priority="488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{D10B1BF7-134C-4A87-B76A-68D240D599A8}</x14:id>
        </ext>
      </extLst>
    </cfRule>
  </conditionalFormatting>
  <conditionalFormatting sqref="AA23">
    <cfRule type="dataBar" priority="78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{04CEE9BE-E4A8-4C1C-8768-AB7BA101D894}</x14:id>
        </ext>
      </extLst>
    </cfRule>
    <cfRule type="dataBar" priority="78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{B7D91803-FAC3-42F6-A71C-3CA3FB6B0DDC}</x14:id>
        </ext>
      </extLst>
    </cfRule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{13B55281-81F1-41A2-83C0-A8782E21FACE}</x14:id>
        </ext>
      </extLst>
    </cfRule>
    <cfRule type="dataBar" priority="78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{D421883D-1110-4A17-BA3A-484693011941}</x14:id>
        </ext>
      </extLst>
    </cfRule>
    <cfRule type="dataBar" priority="78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{9035A90B-C519-461C-B294-16F8FD70D3C3}</x14:id>
        </ext>
      </extLst>
    </cfRule>
    <cfRule type="dataBar" priority="78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{278C3BE5-595E-4579-967C-1A9221C8A62A}</x14:id>
        </ext>
      </extLst>
    </cfRule>
    <cfRule type="dataBar" priority="7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{DCC4786D-CDA8-4A25-9164-0EBD3DA990A4}</x14:id>
        </ext>
      </extLst>
    </cfRule>
    <cfRule type="dataBar" priority="77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{A1CCFBBE-2DFC-48F9-8F24-A2F2F8A2254E}</x14:id>
        </ext>
      </extLst>
    </cfRule>
    <cfRule type="dataBar" priority="7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{83DC1D1B-B595-438B-951C-501524E43AAE}</x14:id>
        </ext>
      </extLst>
    </cfRule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{9DEAA3E8-2DD4-4178-A341-8F9FBF7D6F3F}</x14:id>
        </ext>
      </extLst>
    </cfRule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{A5CEB293-31C7-4F5B-9975-9DD880706162}</x14:id>
        </ext>
      </extLst>
    </cfRule>
    <cfRule type="dataBar" priority="7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{7843FE2E-F0B7-4FF8-B2ED-A92F1842E60B}</x14:id>
        </ext>
      </extLst>
    </cfRule>
    <cfRule type="dataBar" priority="78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{5B38A764-5D31-4B55-869E-A05DC61ED4D1}</x14:id>
        </ext>
      </extLst>
    </cfRule>
  </conditionalFormatting>
  <conditionalFormatting sqref="AA24:AA36">
    <cfRule type="dataBar" priority="1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{B3A01724-F2A7-4C6F-AB6F-6CF4586AF9AA}</x14:id>
        </ext>
      </extLst>
    </cfRule>
    <cfRule type="dataBar" priority="17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{EE117F03-4D54-47F6-B305-B4BDCC0E2036}</x14:id>
        </ext>
      </extLst>
    </cfRule>
    <cfRule type="dataBar" priority="17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{5DEF9352-A3B7-4258-8EE9-4984591E6F7B}</x14:id>
        </ext>
      </extLst>
    </cfRule>
    <cfRule type="dataBar" priority="17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{29BAE049-522E-4F3A-90E0-260DCFB25187}</x14:id>
        </ext>
      </extLst>
    </cfRule>
    <cfRule type="dataBar" priority="17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{8EBDDEB1-FAE4-43B0-A37D-1875EB0E8FC3}</x14:id>
        </ext>
      </extLst>
    </cfRule>
    <cfRule type="dataBar" priority="1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{33B8D84E-6BB8-44B5-BD8B-34AC1233396D}</x14:id>
        </ext>
      </extLst>
    </cfRule>
    <cfRule type="dataBar" priority="17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{0DA510C4-916F-4072-BD81-15307BB97916}</x14:id>
        </ext>
      </extLst>
    </cfRule>
    <cfRule type="dataBar" priority="17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{3C60FF2C-3AC4-4958-A44B-0EADF68A8C43}</x14:id>
        </ext>
      </extLst>
    </cfRule>
    <cfRule type="dataBar" priority="1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{595E3ABF-90D7-4B89-8CA8-E80C969B9349}</x14:id>
        </ext>
      </extLst>
    </cfRule>
    <cfRule type="dataBar" priority="17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{2510BD1D-059F-4565-A85E-158B4B0577E2}</x14:id>
        </ext>
      </extLst>
    </cfRule>
    <cfRule type="dataBar" priority="1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{1E174E5D-D881-440C-BD19-E5C4F4E633EE}</x14:id>
        </ext>
      </extLst>
    </cfRule>
    <cfRule type="dataBar" priority="172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{8C0A073D-8A04-4E50-8CFA-1172500431AD}</x14:id>
        </ext>
      </extLst>
    </cfRule>
    <cfRule type="dataBar" priority="17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{B9F6CA47-F12B-4EE3-9079-F46A53D22BBF}</x14:id>
        </ext>
      </extLst>
    </cfRule>
    <cfRule type="dataBar" priority="171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{4467F0A9-D61C-4387-A753-C1B8AC310162}</x14:id>
        </ext>
      </extLst>
    </cfRule>
    <cfRule type="dataBar" priority="17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{6BFD9A76-F9B4-4652-9DFF-B1F2D5AD1689}</x14:id>
        </ext>
      </extLst>
    </cfRule>
    <cfRule type="dataBar" priority="17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{0500044C-0450-416A-A38F-9D85E4602EB1}</x14:id>
        </ext>
      </extLst>
    </cfRule>
    <cfRule type="dataBar" priority="17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{36D7754E-33CF-4AFA-A835-621362CFB064}</x14:id>
        </ext>
      </extLst>
    </cfRule>
    <cfRule type="dataBar" priority="17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{0ECA9743-4D40-482C-A742-184030063218}</x14:id>
        </ext>
      </extLst>
    </cfRule>
    <cfRule type="dataBar" priority="17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{4F6EC1C4-CE61-4787-A696-98E7BDF29D89}</x14:id>
        </ext>
      </extLst>
    </cfRule>
    <cfRule type="dataBar" priority="1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{B2904881-D349-47E3-852A-CF24E5C809AF}</x14:id>
        </ext>
      </extLst>
    </cfRule>
    <cfRule type="dataBar" priority="17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{A2C56961-6AD6-4929-882A-A39E6AEE87DA}</x14:id>
        </ext>
      </extLst>
    </cfRule>
    <cfRule type="dataBar" priority="17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{D50F460E-FF35-4FA2-B4B6-769D4B622190}</x14:id>
        </ext>
      </extLst>
    </cfRule>
    <cfRule type="dataBar" priority="17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{E3BA4980-FAC5-4CD9-BBF5-5112D0401CB8}</x14:id>
        </ext>
      </extLst>
    </cfRule>
    <cfRule type="dataBar" priority="1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{7D35EE16-476E-4FAB-ABF4-0B18EA5C22C0}</x14:id>
        </ext>
      </extLst>
    </cfRule>
    <cfRule type="dataBar" priority="17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{E87E39C4-F50C-4F0E-8E8B-6C6D219FF7EA}</x14:id>
        </ext>
      </extLst>
    </cfRule>
    <cfRule type="dataBar" priority="17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{125285CD-EE59-4F0D-9FCE-80702009D829}</x14:id>
        </ext>
      </extLst>
    </cfRule>
    <cfRule type="dataBar" priority="17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{2819817F-3A00-4A0E-A325-1083A423E0BD}</x14:id>
        </ext>
      </extLst>
    </cfRule>
    <cfRule type="dataBar" priority="17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{1E8E8E9F-73A6-4722-B573-DD1E9D8BE069}</x14:id>
        </ext>
      </extLst>
    </cfRule>
    <cfRule type="dataBar" priority="17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{E1A1F587-1056-4166-94E8-A6961D7B1ABE}</x14:id>
        </ext>
      </extLst>
    </cfRule>
    <cfRule type="dataBar" priority="17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{DCBE7824-9FE3-479A-984F-76ED4B2B9A82}</x14:id>
        </ext>
      </extLst>
    </cfRule>
  </conditionalFormatting>
  <conditionalFormatting sqref="AA37">
    <cfRule type="dataBar" priority="49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{A3C36262-6655-4C48-BB8C-F3E1279A4855}</x14:id>
        </ext>
      </extLst>
    </cfRule>
    <cfRule type="dataBar" priority="4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{23FFB38A-D914-4710-9073-A758EE6E9C25}</x14:id>
        </ext>
      </extLst>
    </cfRule>
    <cfRule type="dataBar" priority="49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{962FB0AB-0B62-41A1-909B-3106166FD5EB}</x14:id>
        </ext>
      </extLst>
    </cfRule>
    <cfRule type="dataBar" priority="4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{EC787BA8-867E-4014-B907-B278207F0C61}</x14:id>
        </ext>
      </extLst>
    </cfRule>
    <cfRule type="dataBar" priority="493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{66AFF12D-308C-413B-BB8B-7097666EBEA1}</x14:id>
        </ext>
      </extLst>
    </cfRule>
    <cfRule type="dataBar" priority="4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{7BA72CE0-AB19-4839-B3D0-2B7C1BD88887}</x14:id>
        </ext>
      </extLst>
    </cfRule>
    <cfRule type="dataBar" priority="49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{1A1E1B80-3C1E-488A-B561-E7462FC576A9}</x14:id>
        </ext>
      </extLst>
    </cfRule>
    <cfRule type="dataBar" priority="493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{5F46117D-54B8-403D-A545-FE3F9CDA73A4}</x14:id>
        </ext>
      </extLst>
    </cfRule>
    <cfRule type="dataBar" priority="493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{1C4C28E0-1D72-4B4F-8F97-5141CCFE1C04}</x14:id>
        </ext>
      </extLst>
    </cfRule>
    <cfRule type="dataBar" priority="493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{8C68C586-16B8-4812-8DAB-BEB46C0BBE4B}</x14:id>
        </ext>
      </extLst>
    </cfRule>
    <cfRule type="dataBar" priority="4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{8BE01617-50CF-4005-BD5B-20DE8A0CACB9}</x14:id>
        </ext>
      </extLst>
    </cfRule>
    <cfRule type="dataBar" priority="49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{7C292B8E-147B-4C02-A56C-59B6A1998E78}</x14:id>
        </ext>
      </extLst>
    </cfRule>
    <cfRule type="dataBar" priority="494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{42E67A2D-061D-4D9D-AF8F-C0920A8E083F}</x14:id>
        </ext>
      </extLst>
    </cfRule>
  </conditionalFormatting>
  <conditionalFormatting sqref="AB5:AB35">
    <cfRule type="dataBar" priority="38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{AE82669F-58CC-4661-B34A-A2AAA975DF4C}</x14:id>
        </ext>
      </extLst>
    </cfRule>
    <cfRule type="dataBar" priority="3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{90B640C0-6840-4577-B795-257E47762D97}</x14:id>
        </ext>
      </extLst>
    </cfRule>
  </conditionalFormatting>
  <conditionalFormatting sqref="AB9:AB10">
    <cfRule type="dataBar" priority="31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{855050B3-0440-4416-94E5-8F408E4422A6}</x14:id>
        </ext>
      </extLst>
    </cfRule>
    <cfRule type="dataBar" priority="316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{59E923F9-69D9-4414-8F70-6C305D504653}</x14:id>
        </ext>
      </extLst>
    </cfRule>
    <cfRule type="dataBar" priority="3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{465E4F7C-88E5-4E15-9DD7-C91216C48DA5}</x14:id>
        </ext>
      </extLst>
    </cfRule>
  </conditionalFormatting>
  <conditionalFormatting sqref="AB11:AB33 AB5:AB8">
    <cfRule type="dataBar" priority="388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{EE352CB5-A68B-4C49-8F60-A59900E37322}</x14:id>
        </ext>
      </extLst>
    </cfRule>
    <cfRule type="dataBar" priority="3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{9AA5128F-5663-4D5B-9DBD-B54BEE461C42}</x14:id>
        </ext>
      </extLst>
    </cfRule>
    <cfRule type="dataBar" priority="38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{7BF1EB2A-2A22-462E-8C90-3745E0612E82}</x14:id>
        </ext>
      </extLst>
    </cfRule>
  </conditionalFormatting>
  <conditionalFormatting sqref="AB34:AB35">
    <cfRule type="dataBar" priority="318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{CE64A719-A4BE-4675-8312-E5B0CD630DCD}</x14:id>
        </ext>
      </extLst>
    </cfRule>
    <cfRule type="dataBar" priority="3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{F0CA3A89-D85B-403F-A97E-6E90B6E3792D}</x14:id>
        </ext>
      </extLst>
    </cfRule>
    <cfRule type="dataBar" priority="318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{F2285F5B-914E-4430-93D7-F12AABBF84F6}</x14:id>
        </ext>
      </extLst>
    </cfRule>
  </conditionalFormatting>
  <conditionalFormatting sqref="AD32">
    <cfRule type="dataBar" priority="29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{91757DD4-3345-4BD1-B4E2-293DFC97EBFE}</x14:id>
        </ext>
      </extLst>
    </cfRule>
  </conditionalFormatting>
  <conditionalFormatting sqref="AD33">
    <cfRule type="dataBar" priority="28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{CF795650-B9CE-466F-B08D-3EFF7CFB9320}</x14:id>
        </ext>
      </extLst>
    </cfRule>
  </conditionalFormatting>
  <conditionalFormatting sqref="AD34:AD35">
    <cfRule type="dataBar" priority="425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{5A6C7622-1B19-41A6-AD46-A0DD364017B3}</x14:id>
        </ext>
      </extLst>
    </cfRule>
  </conditionalFormatting>
  <conditionalFormatting sqref="AE5:AE30 AG5:AG34">
    <cfRule type="dataBar" priority="50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{6271EB56-0954-48C0-A6F2-0056D8BAD295}</x14:id>
        </ext>
      </extLst>
    </cfRule>
    <cfRule type="dataBar" priority="503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{F21255C0-0393-4320-81A0-4AE109E50EC9}</x14:id>
        </ext>
      </extLst>
    </cfRule>
  </conditionalFormatting>
  <conditionalFormatting sqref="AE5:AE31">
    <cfRule type="dataBar" priority="50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{75CBF667-0695-44A0-8DAE-D2D74B38912D}</x14:id>
        </ext>
      </extLst>
    </cfRule>
  </conditionalFormatting>
  <conditionalFormatting sqref="AE5:AE35">
    <cfRule type="dataBar" priority="50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{0E08286A-9629-4CF5-A55C-E0CE4B116245}</x14:id>
        </ext>
      </extLst>
    </cfRule>
  </conditionalFormatting>
  <conditionalFormatting sqref="AE5:AE36">
    <cfRule type="dataBar" priority="50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{58B7204B-935F-43CA-BFA1-F6ACE718F004}</x14:id>
        </ext>
      </extLst>
    </cfRule>
    <cfRule type="dataBar" priority="504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{A2FB3EF6-6405-4819-8117-A1D54559EF6B}</x14:id>
        </ext>
      </extLst>
    </cfRule>
    <cfRule type="dataBar" priority="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{8D49FCDE-BB80-46C4-A109-D30CB806B8A3}</x14:id>
        </ext>
      </extLst>
    </cfRule>
  </conditionalFormatting>
  <conditionalFormatting sqref="AE18 AG20">
    <cfRule type="dataBar" priority="3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{4AB8CD17-D7BF-4E4D-9478-B4412546A8F1}</x14:id>
        </ext>
      </extLst>
    </cfRule>
    <cfRule type="dataBar" priority="31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{4BE93AAC-4BB7-40A5-A1E6-67160A52398E}</x14:id>
        </ext>
      </extLst>
    </cfRule>
    <cfRule type="dataBar" priority="31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{D8FCB61B-7270-4884-B34A-B06B4039D6BA}</x14:id>
        </ext>
      </extLst>
    </cfRule>
  </conditionalFormatting>
  <conditionalFormatting sqref="AE19:AE26 AE28 AE5:AE17 AG21:AG30 AG32 AG5:AG19">
    <cfRule type="dataBar" priority="3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{9690285A-AD32-4060-AE4B-21AD92A6851A}</x14:id>
        </ext>
      </extLst>
    </cfRule>
    <cfRule type="dataBar" priority="319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{F6DA5192-5E5D-4E3C-B7B4-35AFCEC9DA4D}</x14:id>
        </ext>
      </extLst>
    </cfRule>
    <cfRule type="dataBar" priority="319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{E580A4CD-08D9-41B1-B63D-B4FE483B28B0}</x14:id>
        </ext>
      </extLst>
    </cfRule>
  </conditionalFormatting>
  <conditionalFormatting sqref="AE27 AG31">
    <cfRule type="dataBar" priority="30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{977419E1-27D0-42B5-9A8D-56803C143DA9}</x14:id>
        </ext>
      </extLst>
    </cfRule>
    <cfRule type="dataBar" priority="30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{79C86DCC-026D-494E-B823-AB9DA49FD7A0}</x14:id>
        </ext>
      </extLst>
    </cfRule>
    <cfRule type="dataBar" priority="30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{03669E4F-DA50-476E-BF12-FF178DE8ECA9}</x14:id>
        </ext>
      </extLst>
    </cfRule>
    <cfRule type="dataBar" priority="30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{2C173C9A-9477-4411-AE17-DB576CCCDEA7}</x14:id>
        </ext>
      </extLst>
    </cfRule>
  </conditionalFormatting>
  <conditionalFormatting sqref="AE28:AE30 AE5:AE26 AG32:AG34 AG5:AG30">
    <cfRule type="dataBar" priority="320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{86A59E7E-F07C-4001-BFC9-F9FCC2F73596}</x14:id>
        </ext>
      </extLst>
    </cfRule>
  </conditionalFormatting>
  <conditionalFormatting sqref="AE29:AE30 AG33:AG34">
    <cfRule type="dataBar" priority="3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{8AEBCA9B-3AF8-43DD-BC48-3D31AC77EA64}</x14:id>
        </ext>
      </extLst>
    </cfRule>
    <cfRule type="dataBar" priority="318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{CB1C1C74-90EB-42B9-9688-1292A641EF99}</x14:id>
        </ext>
      </extLst>
    </cfRule>
    <cfRule type="dataBar" priority="31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{41B6713B-25C6-42A8-8E15-546226CD3EC5}</x14:id>
        </ext>
      </extLst>
    </cfRule>
  </conditionalFormatting>
  <conditionalFormatting sqref="AE31">
    <cfRule type="dataBar" priority="30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{80401390-1B5B-46B5-9E26-C369521D6BD8}</x14:id>
        </ext>
      </extLst>
    </cfRule>
    <cfRule type="dataBar" priority="30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{F8B81D45-0C3D-4AF1-B4EF-853FA9910BCF}</x14:id>
        </ext>
      </extLst>
    </cfRule>
    <cfRule type="dataBar" priority="30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{F27974D5-B3D7-42B5-9FD6-6038892937CB}</x14:id>
        </ext>
      </extLst>
    </cfRule>
    <cfRule type="dataBar" priority="3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{A8C5BE7A-A3A7-47FB-8834-0927EA4DDE0C}</x14:id>
        </ext>
      </extLst>
    </cfRule>
    <cfRule type="dataBar" priority="30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{D47972E1-74DB-4654-A0B9-08E6BE5940D4}</x14:id>
        </ext>
      </extLst>
    </cfRule>
    <cfRule type="dataBar" priority="30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{B45C0F70-A10A-4988-AD4A-252CF4AA557C}</x14:id>
        </ext>
      </extLst>
    </cfRule>
  </conditionalFormatting>
  <conditionalFormatting sqref="AE32">
    <cfRule type="dataBar" priority="288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{18858B0B-CBCF-4AAB-AD3A-0EF2D4D4A8B9}</x14:id>
        </ext>
      </extLst>
    </cfRule>
    <cfRule type="dataBar" priority="288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{24833341-5364-495E-AC1D-8609DD074B36}</x14:id>
        </ext>
      </extLst>
    </cfRule>
    <cfRule type="dataBar" priority="2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{E0759033-3C60-458B-BF9D-7DE453CB4408}</x14:id>
        </ext>
      </extLst>
    </cfRule>
    <cfRule type="dataBar" priority="287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{807C6198-483B-47BE-9681-9DC0D86ABD28}</x14:id>
        </ext>
      </extLst>
    </cfRule>
    <cfRule type="dataBar" priority="28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{F648B885-FA94-4772-9527-9EFA463CDFDC}</x14:id>
        </ext>
      </extLst>
    </cfRule>
    <cfRule type="dataBar" priority="2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{6F811501-27BC-4966-AD85-900B3BF04681}</x14:id>
        </ext>
      </extLst>
    </cfRule>
    <cfRule type="dataBar" priority="288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{3ACD7910-B0AE-4513-9F12-A3F25F753B7D}</x14:id>
        </ext>
      </extLst>
    </cfRule>
  </conditionalFormatting>
  <conditionalFormatting sqref="AE33">
    <cfRule type="dataBar" priority="28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{C3999B21-63F9-4D91-A0EF-AE9F24BEFF30}</x14:id>
        </ext>
      </extLst>
    </cfRule>
    <cfRule type="dataBar" priority="28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{1E6592E0-B4EF-4DC9-8872-A8541FF7D9F8}</x14:id>
        </ext>
      </extLst>
    </cfRule>
    <cfRule type="dataBar" priority="28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{312154A5-8F1B-4462-84EF-8280E492176C}</x14:id>
        </ext>
      </extLst>
    </cfRule>
    <cfRule type="dataBar" priority="28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{BBE37D38-77C1-43B1-84F5-A41AAC3347F2}</x14:id>
        </ext>
      </extLst>
    </cfRule>
    <cfRule type="dataBar" priority="28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{2CDF3A88-4D03-469E-9BFF-74384F6232A2}</x14:id>
        </ext>
      </extLst>
    </cfRule>
    <cfRule type="dataBar" priority="2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{D7610893-7AF4-4068-8264-B10F58D18764}</x14:id>
        </ext>
      </extLst>
    </cfRule>
    <cfRule type="dataBar" priority="282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{85D9B6FA-A7BF-406C-B8CD-F9D974B1A292}</x14:id>
        </ext>
      </extLst>
    </cfRule>
  </conditionalFormatting>
  <conditionalFormatting sqref="AE34:AE36">
    <cfRule type="dataBar" priority="42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{E26690D8-72E5-4A9F-B0D8-85F9B9A4A803}</x14:id>
        </ext>
      </extLst>
    </cfRule>
    <cfRule type="dataBar" priority="4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{F034A36F-C5CF-46DF-9C12-45A146023821}</x14:id>
        </ext>
      </extLst>
    </cfRule>
    <cfRule type="dataBar" priority="42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{F3F9FC59-A74E-46DE-B995-5DD7404AD5DA}</x14:id>
        </ext>
      </extLst>
    </cfRule>
    <cfRule type="dataBar" priority="42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{036C0711-DBA5-47D1-8911-5E2AC581EA03}</x14:id>
        </ext>
      </extLst>
    </cfRule>
    <cfRule type="dataBar" priority="4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{3BBC91A6-CBA8-4F3D-BA85-2FC426A3B78A}</x14:id>
        </ext>
      </extLst>
    </cfRule>
    <cfRule type="dataBar" priority="424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{0DDC0A1E-586F-4765-9F45-48DF70CB228C}</x14:id>
        </ext>
      </extLst>
    </cfRule>
    <cfRule type="dataBar" priority="42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{BC95B70A-EA4F-4A1E-940D-13EA4A66433B}</x14:id>
        </ext>
      </extLst>
    </cfRule>
  </conditionalFormatting>
  <conditionalFormatting sqref="AE37"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{0B221085-F7B2-4B9A-8275-EADC5BA0AA2E}</x14:id>
        </ext>
      </extLst>
    </cfRule>
    <cfRule type="dataBar" priority="2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{DEDFB59B-8F6D-4851-BCE5-4AE9E7B5E978}</x14:id>
        </ext>
      </extLst>
    </cfRule>
    <cfRule type="dataBar" priority="2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{4AEDFDB2-764A-4FBC-8F10-9ED9123A3B7A}</x14:id>
        </ext>
      </extLst>
    </cfRule>
    <cfRule type="dataBar" priority="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{537B749C-93FB-4275-96A6-A222622CF32E}</x14:id>
        </ext>
      </extLst>
    </cfRule>
    <cfRule type="dataBar" priority="27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{7C655E8B-FE92-4170-A1B0-4960E9971B8D}</x14:id>
        </ext>
      </extLst>
    </cfRule>
    <cfRule type="dataBar" priority="26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{B4FBF847-87A7-42FF-9C53-4E3EAC1AD31F}</x14:id>
        </ext>
      </extLst>
    </cfRule>
    <cfRule type="dataBar" priority="2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{5B0D7139-71F1-4A76-8A8F-47EC8E71DB5C}</x14:id>
        </ext>
      </extLst>
    </cfRule>
  </conditionalFormatting>
  <conditionalFormatting sqref="AF7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{023E9727-BE08-4D7C-AD9C-679824EB9E38}</x14:id>
        </ext>
      </extLst>
    </cfRule>
    <cfRule type="dataBar" priority="10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{54BD3F23-08C1-4465-88BC-41127E3552BD}</x14:id>
        </ext>
      </extLst>
    </cfRule>
    <cfRule type="dataBar" priority="10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{6423EBA8-3E32-4A22-A99D-9F2B66545EFA}</x14:id>
        </ext>
      </extLst>
    </cfRule>
    <cfRule type="dataBar" priority="10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{C898683F-783F-47D9-A971-A36716ACC735}</x14:id>
        </ext>
      </extLst>
    </cfRule>
    <cfRule type="dataBar" priority="10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{7781A385-DE32-408A-867E-B2E64E6DA469}</x14:id>
        </ext>
      </extLst>
    </cfRule>
    <cfRule type="dataBar" priority="10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{8BC07452-ECCA-4600-BD3D-49B907776D6D}</x14:id>
        </ext>
      </extLst>
    </cfRule>
    <cfRule type="dataBar" priority="104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{F0CDC644-4566-43E1-84B1-415A6B14235D}</x14:id>
        </ext>
      </extLst>
    </cfRule>
    <cfRule type="dataBar" priority="10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{0B802030-85D6-4FD5-B0F2-E6FAC8644D4A}</x14:id>
        </ext>
      </extLst>
    </cfRule>
    <cfRule type="dataBar" priority="10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{F0A8211C-7843-4D4B-BE98-5CED0A338CCE}</x14:id>
        </ext>
      </extLst>
    </cfRule>
    <cfRule type="dataBar" priority="10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{C7AFE31F-4900-4819-8DE9-EB85E7C4CBD8}</x14:id>
        </ext>
      </extLst>
    </cfRule>
    <cfRule type="dataBar" priority="10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{76009105-3C95-4043-8FF2-3732A2EE4A2E}</x14:id>
        </ext>
      </extLst>
    </cfRule>
    <cfRule type="dataBar" priority="10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{F93C014F-EF8A-4C64-A34D-F2B0F18AD456}</x14:id>
        </ext>
      </extLst>
    </cfRule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{CFF93052-AB84-4ED6-A078-7AFA336D9FD3}</x14:id>
        </ext>
      </extLst>
    </cfRule>
    <cfRule type="dataBar" priority="10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{F95D6B10-DE83-4AD2-AA43-DC4938555702}</x14:id>
        </ext>
      </extLst>
    </cfRule>
    <cfRule type="dataBar" priority="10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{EBF0A376-8104-4DD0-9E55-0E6A40F7D22C}</x14:id>
        </ext>
      </extLst>
    </cfRule>
    <cfRule type="dataBar" priority="10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{171B534C-2F9B-4C39-9EDC-5E9920A6746E}</x14:id>
        </ext>
      </extLst>
    </cfRule>
    <cfRule type="dataBar" priority="10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{9BADDDB5-9B9B-496D-ABAB-E85C24466AFB}</x14:id>
        </ext>
      </extLst>
    </cfRule>
    <cfRule type="dataBar" priority="10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{65C3FAA1-2C73-4DF1-B571-837F96A21868}</x14:id>
        </ext>
      </extLst>
    </cfRule>
    <cfRule type="dataBar" priority="10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{A3EEFD58-847F-4C94-8B1C-4A4D76EE77A0}</x14:id>
        </ext>
      </extLst>
    </cfRule>
    <cfRule type="dataBar" priority="10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{C69DB52C-E7BA-42D6-85BC-56F327CCF86E}</x14:id>
        </ext>
      </extLst>
    </cfRule>
    <cfRule type="dataBar" priority="10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{39ED55C8-84BF-4112-B016-047A504F5BCB}</x14:id>
        </ext>
      </extLst>
    </cfRule>
    <cfRule type="dataBar" priority="104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{6F40382C-2E22-40C2-9F42-0AD5BA174299}</x14:id>
        </ext>
      </extLst>
    </cfRule>
    <cfRule type="dataBar" priority="10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{130C691E-F3D7-4C0F-9A58-18F61CE955B0}</x14:id>
        </ext>
      </extLst>
    </cfRule>
    <cfRule type="dataBar" priority="101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{AB18F8FF-5C1B-454C-88B4-852E6597F63B}</x14:id>
        </ext>
      </extLst>
    </cfRule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{F34A120F-EB27-43ED-ABA3-F2E17C63F78E}</x14:id>
        </ext>
      </extLst>
    </cfRule>
    <cfRule type="dataBar" priority="10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{79BD3115-AC4A-46EE-8169-92632832B63F}</x14:id>
        </ext>
      </extLst>
    </cfRule>
    <cfRule type="dataBar" priority="10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{240D72BE-A64C-4485-AEF8-B25159AB2148}</x14:id>
        </ext>
      </extLst>
    </cfRule>
    <cfRule type="dataBar" priority="104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{4FF4D191-9D60-4ABC-9E55-B183D03A737E}</x14:id>
        </ext>
      </extLst>
    </cfRule>
    <cfRule type="dataBar" priority="1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{B8F6AE41-FE0B-4134-AC4C-5F3471A18EA6}</x14:id>
        </ext>
      </extLst>
    </cfRule>
    <cfRule type="dataBar" priority="104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{5265F485-4EFB-4BF3-8F1D-60311C40360F}</x14:id>
        </ext>
      </extLst>
    </cfRule>
  </conditionalFormatting>
  <conditionalFormatting sqref="AF8:AF26 AF5:AF6">
    <cfRule type="dataBar" priority="500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{8DA7AD90-C0AF-4DA6-BDE4-73DD80248C7F}</x14:id>
        </ext>
      </extLst>
    </cfRule>
    <cfRule type="dataBar" priority="5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{B7317249-5C72-45DF-B6B9-7884434B3BF9}</x14:id>
        </ext>
      </extLst>
    </cfRule>
    <cfRule type="dataBar" priority="5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{81A7AE86-B905-49F5-9EEB-7A45D4847BB4}</x14:id>
        </ext>
      </extLst>
    </cfRule>
    <cfRule type="dataBar" priority="501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{9C153BBD-17A9-44F8-89BA-3E13383CB1D6}</x14:id>
        </ext>
      </extLst>
    </cfRule>
    <cfRule type="dataBar" priority="50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{977B5342-987B-4031-B50E-D8DB68C3A84A}</x14:id>
        </ext>
      </extLst>
    </cfRule>
    <cfRule type="dataBar" priority="500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{D1D1A8FF-8A65-41B7-8A45-91CCCDFC4E62}</x14:id>
        </ext>
      </extLst>
    </cfRule>
    <cfRule type="dataBar" priority="502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{30AA6C2E-16A8-48B0-B16A-0F56D64610A0}</x14:id>
        </ext>
      </extLst>
    </cfRule>
    <cfRule type="dataBar" priority="499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{E4350E34-8672-4992-BAF1-9D578799D3E4}</x14:id>
        </ext>
      </extLst>
    </cfRule>
    <cfRule type="dataBar" priority="49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{A144C2C9-7E9B-4F36-AE10-7EBAF4A5D9DD}</x14:id>
        </ext>
      </extLst>
    </cfRule>
    <cfRule type="dataBar" priority="4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{2813F27E-1D0A-4110-AD51-61274FED00CF}</x14:id>
        </ext>
      </extLst>
    </cfRule>
    <cfRule type="dataBar" priority="49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{06383258-E833-4281-9FF3-2C2912041F24}</x14:id>
        </ext>
      </extLst>
    </cfRule>
    <cfRule type="dataBar" priority="49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{B565D5AA-CD52-4CD9-ADCD-5425A6EBF344}</x14:id>
        </ext>
      </extLst>
    </cfRule>
    <cfRule type="dataBar" priority="50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{FD649868-E65C-4B9F-994A-3B5D93C47238}</x14:id>
        </ext>
      </extLst>
    </cfRule>
    <cfRule type="dataBar" priority="49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{30A04243-B47A-4343-95CF-21A5557119E1}</x14:id>
        </ext>
      </extLst>
    </cfRule>
    <cfRule type="dataBar" priority="50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{55B932AD-1B4C-41B6-96D4-0090DC519A88}</x14:id>
        </ext>
      </extLst>
    </cfRule>
    <cfRule type="dataBar" priority="50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{D49B077A-B8DF-49D4-B6BD-107419A41BDD}</x14:id>
        </ext>
      </extLst>
    </cfRule>
    <cfRule type="dataBar" priority="5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{4604515C-5944-47BC-8329-1644D6B0CF99}</x14:id>
        </ext>
      </extLst>
    </cfRule>
  </conditionalFormatting>
  <conditionalFormatting sqref="AF27">
    <cfRule type="dataBar" priority="25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{C7627495-F199-4357-AA5A-2937FFC02680}</x14:id>
        </ext>
      </extLst>
    </cfRule>
    <cfRule type="dataBar" priority="25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{BEA09C26-6118-437E-80BF-E1FFD02FDC74}</x14:id>
        </ext>
      </extLst>
    </cfRule>
    <cfRule type="dataBar" priority="253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{C1F0A67F-B350-43CE-9B96-6FE02D22E576}</x14:id>
        </ext>
      </extLst>
    </cfRule>
    <cfRule type="dataBar" priority="252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{F3FA6C3E-B38D-4D6E-88DB-2DD7752A8EEE}</x14:id>
        </ext>
      </extLst>
    </cfRule>
    <cfRule type="dataBar" priority="25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{95B1D017-7E64-4583-B2C4-DED8AA671E00}</x14:id>
        </ext>
      </extLst>
    </cfRule>
    <cfRule type="dataBar" priority="252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{5A59AE24-ACC3-42F3-B638-F228C05ECCC7}</x14:id>
        </ext>
      </extLst>
    </cfRule>
    <cfRule type="dataBar" priority="252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{986BA540-3971-40E9-9BB3-E765C9F3BE9C}</x14:id>
        </ext>
      </extLst>
    </cfRule>
    <cfRule type="dataBar" priority="2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{5338F91C-F34E-4B8C-899D-76D73B3B501E}</x14:id>
        </ext>
      </extLst>
    </cfRule>
    <cfRule type="dataBar" priority="2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{320BC7FF-10A2-4503-B74F-C7D1D4606ECE}</x14:id>
        </ext>
      </extLst>
    </cfRule>
    <cfRule type="dataBar" priority="2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{75052B07-23F6-4155-BEEA-2C15B6C7566A}</x14:id>
        </ext>
      </extLst>
    </cfRule>
    <cfRule type="dataBar" priority="25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{336DDE1A-FE75-43CC-BDE1-875533E06704}</x14:id>
        </ext>
      </extLst>
    </cfRule>
    <cfRule type="dataBar" priority="25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{934A552C-DF41-4B39-AAC7-4BC84EFF5F36}</x14:id>
        </ext>
      </extLst>
    </cfRule>
    <cfRule type="dataBar" priority="253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{17F15FCA-EBB8-4C33-B037-A4B61BA601C1}</x14:id>
        </ext>
      </extLst>
    </cfRule>
    <cfRule type="dataBar" priority="25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{B98427C9-083B-4D30-B5A7-D56540157D7D}</x14:id>
        </ext>
      </extLst>
    </cfRule>
    <cfRule type="dataBar" priority="2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{87E057D3-8A92-4D71-AB70-1DB20253528D}</x14:id>
        </ext>
      </extLst>
    </cfRule>
    <cfRule type="dataBar" priority="25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{A568CEAA-EC25-4800-BC84-02540963C61F}</x14:id>
        </ext>
      </extLst>
    </cfRule>
    <cfRule type="dataBar" priority="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{D819EB03-05A6-4037-8778-4A53587214AE}</x14:id>
        </ext>
      </extLst>
    </cfRule>
  </conditionalFormatting>
  <conditionalFormatting sqref="AF28">
    <cfRule type="dataBar" priority="251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{B4E43A20-9EEC-4828-BC51-CDADF5D6A69B}</x14:id>
        </ext>
      </extLst>
    </cfRule>
    <cfRule type="dataBar" priority="25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{FF7E2D9A-B7A9-4EC0-91EC-ED4078B52785}</x14:id>
        </ext>
      </extLst>
    </cfRule>
    <cfRule type="dataBar" priority="2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{6ED6D95A-AD0D-461F-B552-E9B99C3F94FC}</x14:id>
        </ext>
      </extLst>
    </cfRule>
    <cfRule type="dataBar" priority="2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{695D726B-1557-4F93-B5A4-5987F8913653}</x14:id>
        </ext>
      </extLst>
    </cfRule>
    <cfRule type="dataBar" priority="251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{4C1F664B-4D4C-46D7-A7E8-63E74E8D4D34}</x14:id>
        </ext>
      </extLst>
    </cfRule>
    <cfRule type="dataBar" priority="251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{3393634A-5B08-4433-B934-6CC52C35A846}</x14:id>
        </ext>
      </extLst>
    </cfRule>
    <cfRule type="dataBar" priority="2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{E2730384-94C9-498A-8663-50FB84F4DD28}</x14:id>
        </ext>
      </extLst>
    </cfRule>
    <cfRule type="dataBar" priority="252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{0C5F5D93-8175-4AAB-B399-4C82C9110A8B}</x14:id>
        </ext>
      </extLst>
    </cfRule>
    <cfRule type="dataBar" priority="25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{CCE66DD2-1094-4FD1-9733-C5A8B1013253}</x14:id>
        </ext>
      </extLst>
    </cfRule>
    <cfRule type="dataBar" priority="251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{925186FF-B081-4AE7-9A90-D2C338318607}</x14:id>
        </ext>
      </extLst>
    </cfRule>
    <cfRule type="dataBar" priority="25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{37EDC24E-5EB2-406A-9148-05B156822FE7}</x14:id>
        </ext>
      </extLst>
    </cfRule>
    <cfRule type="dataBar" priority="251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{F7B77067-AA5C-4960-96EF-FB423C8CCA1F}</x14:id>
        </ext>
      </extLst>
    </cfRule>
    <cfRule type="dataBar" priority="251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{346319EC-2A04-4A9A-BCF1-70E984B18D8D}</x14:id>
        </ext>
      </extLst>
    </cfRule>
    <cfRule type="dataBar" priority="2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{38682B93-A97C-4CF9-91C4-FA107436822C}</x14:id>
        </ext>
      </extLst>
    </cfRule>
    <cfRule type="dataBar" priority="25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{9048E2E7-9AEB-42D9-BC72-1DAE18D3F655}</x14:id>
        </ext>
      </extLst>
    </cfRule>
    <cfRule type="dataBar" priority="25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{394AE594-835F-47FC-9A8E-636D66AFABFD}</x14:id>
        </ext>
      </extLst>
    </cfRule>
    <cfRule type="dataBar" priority="2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{CB362E7A-B569-40B0-BCF0-7368CBEB033C}</x14:id>
        </ext>
      </extLst>
    </cfRule>
  </conditionalFormatting>
  <conditionalFormatting sqref="AF29">
    <cfRule type="dataBar" priority="250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{4416D021-26C5-4B83-8A20-7FB11DEF8FEF}</x14:id>
        </ext>
      </extLst>
    </cfRule>
    <cfRule type="dataBar" priority="249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{EAC8216A-C35C-493D-89D2-AC0C66CA7A0A}</x14:id>
        </ext>
      </extLst>
    </cfRule>
    <cfRule type="dataBar" priority="24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{D16BBAD5-4302-4C18-A33C-EB5A0103FEFB}</x14:id>
        </ext>
      </extLst>
    </cfRule>
    <cfRule type="dataBar" priority="248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{DBFC3012-3F14-407F-94DF-00912DFF0198}</x14:id>
        </ext>
      </extLst>
    </cfRule>
    <cfRule type="dataBar" priority="24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{2AD34822-52C8-408C-A9E3-63C4225989D6}</x14:id>
        </ext>
      </extLst>
    </cfRule>
    <cfRule type="dataBar" priority="2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{12A8B8DD-6C54-48CF-A77B-CD69FF24AC86}</x14:id>
        </ext>
      </extLst>
    </cfRule>
    <cfRule type="dataBar" priority="250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{75179011-C235-47B8-9607-C0349E514816}</x14:id>
        </ext>
      </extLst>
    </cfRule>
    <cfRule type="dataBar" priority="2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{4D2EC00B-3F3A-4173-9B4E-163ED8DFE1A3}</x14:id>
        </ext>
      </extLst>
    </cfRule>
    <cfRule type="dataBar" priority="2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{E3FF5159-7CCD-45A0-9700-D65F147476E0}</x14:id>
        </ext>
      </extLst>
    </cfRule>
    <cfRule type="dataBar" priority="249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{017E9C29-2EC1-43E3-9C26-406C83E15635}</x14:id>
        </ext>
      </extLst>
    </cfRule>
    <cfRule type="dataBar" priority="249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{FB51A1DB-D3F3-422C-A60F-60564022F608}</x14:id>
        </ext>
      </extLst>
    </cfRule>
    <cfRule type="dataBar" priority="249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{D7F1BC7E-0D29-4899-89DA-190E119AEC9D}</x14:id>
        </ext>
      </extLst>
    </cfRule>
    <cfRule type="dataBar" priority="2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{B13DDF09-A340-4BF5-AE25-1DAEEC07C0BA}</x14:id>
        </ext>
      </extLst>
    </cfRule>
    <cfRule type="dataBar" priority="249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{5AD1CA0C-1373-46DB-B9A4-3220003AC542}</x14:id>
        </ext>
      </extLst>
    </cfRule>
    <cfRule type="dataBar" priority="24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{E96A4E7F-16E4-4176-99EE-CAB6827C1F17}</x14:id>
        </ext>
      </extLst>
    </cfRule>
    <cfRule type="dataBar" priority="2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{9E308384-7450-46F2-83D9-03C0609AC8B9}</x14:id>
        </ext>
      </extLst>
    </cfRule>
    <cfRule type="dataBar" priority="249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{B24C3EA3-A54D-4104-99E8-9A92392A9FC1}</x14:id>
        </ext>
      </extLst>
    </cfRule>
  </conditionalFormatting>
  <conditionalFormatting sqref="AF30">
    <cfRule type="dataBar" priority="24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{63E98A92-ECAC-425E-A52D-BCC4C98DA557}</x14:id>
        </ext>
      </extLst>
    </cfRule>
    <cfRule type="dataBar" priority="2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{BA89E5AD-1BD6-4611-937C-C04D35461201}</x14:id>
        </ext>
      </extLst>
    </cfRule>
    <cfRule type="dataBar" priority="2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{5F2B37CE-D53F-4580-A9B2-9969D408DFF1}</x14:id>
        </ext>
      </extLst>
    </cfRule>
    <cfRule type="dataBar" priority="2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{3E12BB2B-438B-486F-96EA-A44D54497CC4}</x14:id>
        </ext>
      </extLst>
    </cfRule>
    <cfRule type="dataBar" priority="24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{AF49F47B-5D3B-4A11-AF3B-06576DF1A7D0}</x14:id>
        </ext>
      </extLst>
    </cfRule>
    <cfRule type="dataBar" priority="247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{373F5AEF-3EB6-4781-A4F2-46C5EA993479}</x14:id>
        </ext>
      </extLst>
    </cfRule>
    <cfRule type="dataBar" priority="247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{672E5383-D210-4E36-8A41-B1FD64219C28}</x14:id>
        </ext>
      </extLst>
    </cfRule>
    <cfRule type="dataBar" priority="247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{780868EE-A9BA-4C72-9101-6F3D1A623C3B}</x14:id>
        </ext>
      </extLst>
    </cfRule>
    <cfRule type="dataBar" priority="24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{FF91E48C-1990-42E2-BDDA-C898911FA4A3}</x14:id>
        </ext>
      </extLst>
    </cfRule>
    <cfRule type="dataBar" priority="2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{3D5000AE-7827-46CD-8289-CEFEEC4247CE}</x14:id>
        </ext>
      </extLst>
    </cfRule>
    <cfRule type="dataBar" priority="248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{28D36B18-7BFD-428C-AD18-A13E4E40844D}</x14:id>
        </ext>
      </extLst>
    </cfRule>
    <cfRule type="dataBar" priority="2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{435A9CA6-047B-4DF9-950C-018DDDEF2581}</x14:id>
        </ext>
      </extLst>
    </cfRule>
    <cfRule type="dataBar" priority="247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{69F205B4-DF62-4C06-BA20-0F8E086795B0}</x14:id>
        </ext>
      </extLst>
    </cfRule>
    <cfRule type="dataBar" priority="247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{8744447D-2026-4C9C-807A-D531F453F344}</x14:id>
        </ext>
      </extLst>
    </cfRule>
    <cfRule type="dataBar" priority="24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{A7C25167-9506-4103-946F-0301E9D4B640}</x14:id>
        </ext>
      </extLst>
    </cfRule>
    <cfRule type="dataBar" priority="247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{7DE0A4F9-0453-4B6C-B769-2384F9859D36}</x14:id>
        </ext>
      </extLst>
    </cfRule>
    <cfRule type="dataBar" priority="24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{4A15590E-FE67-418F-9BF0-BFF47AB7FEDF}</x14:id>
        </ext>
      </extLst>
    </cfRule>
  </conditionalFormatting>
  <conditionalFormatting sqref="AF31">
    <cfRule type="dataBar" priority="246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{722B2A30-B26E-4F98-9657-86640BCCCACE}</x14:id>
        </ext>
      </extLst>
    </cfRule>
    <cfRule type="dataBar" priority="246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{8C91DC8B-4AE7-4C11-BBE9-B9BF12A011CB}</x14:id>
        </ext>
      </extLst>
    </cfRule>
    <cfRule type="dataBar" priority="2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{464F6D18-0CA9-4C35-BCEB-20EFD592ECE4}</x14:id>
        </ext>
      </extLst>
    </cfRule>
    <cfRule type="dataBar" priority="2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{2B553509-A4CA-4A8F-B44B-8E5D22CC317C}</x14:id>
        </ext>
      </extLst>
    </cfRule>
    <cfRule type="dataBar" priority="24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{B5316A6F-642F-4604-A050-3AC9713FCD7D}</x14:id>
        </ext>
      </extLst>
    </cfRule>
    <cfRule type="dataBar" priority="246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{0426B804-3901-4730-A393-5C5DD0234742}</x14:id>
        </ext>
      </extLst>
    </cfRule>
    <cfRule type="dataBar" priority="24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{629402E5-A8F2-4250-BD41-915776C1C4A2}</x14:id>
        </ext>
      </extLst>
    </cfRule>
    <cfRule type="dataBar" priority="2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{9E89D7E2-59E4-44E1-8151-E031F25AE2D0}</x14:id>
        </ext>
      </extLst>
    </cfRule>
    <cfRule type="dataBar" priority="24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{DF02B0C5-9A18-4D8F-84D3-9D15834F5FB9}</x14:id>
        </ext>
      </extLst>
    </cfRule>
    <cfRule type="dataBar" priority="24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{B00A5AE6-2E3B-4671-B5B7-474700E8B798}</x14:id>
        </ext>
      </extLst>
    </cfRule>
    <cfRule type="dataBar" priority="24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{05955BC7-223F-4389-AF26-C6983E45CFF6}</x14:id>
        </ext>
      </extLst>
    </cfRule>
    <cfRule type="dataBar" priority="2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{F9593851-00F3-4A72-AD3C-FF7DA1196303}</x14:id>
        </ext>
      </extLst>
    </cfRule>
    <cfRule type="dataBar" priority="24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{055FBF70-5C6A-42DC-A16B-AF4D6173D594}</x14:id>
        </ext>
      </extLst>
    </cfRule>
    <cfRule type="dataBar" priority="24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{5272220B-C17A-4CB3-AF5A-FAE00D26AA4C}</x14:id>
        </ext>
      </extLst>
    </cfRule>
    <cfRule type="dataBar" priority="24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{DC854D7E-B405-4B25-9DE8-4CFA28E441C5}</x14:id>
        </ext>
      </extLst>
    </cfRule>
    <cfRule type="dataBar" priority="24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{5799B07D-6D9D-42D6-A26A-10D716DBECDD}</x14:id>
        </ext>
      </extLst>
    </cfRule>
    <cfRule type="dataBar" priority="24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{1BDC290A-6455-40E5-BE67-D7F10E5DDC37}</x14:id>
        </ext>
      </extLst>
    </cfRule>
  </conditionalFormatting>
  <conditionalFormatting sqref="AF32">
    <cfRule type="dataBar" priority="24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{3BA67490-5B36-4544-A044-A4B61E0B3092}</x14:id>
        </ext>
      </extLst>
    </cfRule>
    <cfRule type="dataBar" priority="240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{39B8C2A4-586C-4061-B3A9-0CA10F400422}</x14:id>
        </ext>
      </extLst>
    </cfRule>
    <cfRule type="dataBar" priority="24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{96FD31D6-1D07-410B-BED6-6DE3F0BABBC0}</x14:id>
        </ext>
      </extLst>
    </cfRule>
    <cfRule type="dataBar" priority="24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{12FEBE7B-540B-444D-8D5D-3B39FF11DAFC}</x14:id>
        </ext>
      </extLst>
    </cfRule>
    <cfRule type="dataBar" priority="24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{C38CB100-988B-47AA-B842-D182D52D2A16}</x14:id>
        </ext>
      </extLst>
    </cfRule>
    <cfRule type="dataBar" priority="24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{D31FAFDE-F1E9-4163-9A44-3A1C3F7E6085}</x14:id>
        </ext>
      </extLst>
    </cfRule>
    <cfRule type="dataBar" priority="2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{76D7FD3C-5D7B-41AB-938D-060782C98D9E}</x14:id>
        </ext>
      </extLst>
    </cfRule>
    <cfRule type="dataBar" priority="24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{8EA5102E-46CD-4B79-ABF4-289557928C4F}</x14:id>
        </ext>
      </extLst>
    </cfRule>
    <cfRule type="dataBar" priority="24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{94D1C7FF-908D-4553-A9BC-CFAB0F732AF6}</x14:id>
        </ext>
      </extLst>
    </cfRule>
    <cfRule type="dataBar" priority="2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{9C7EA5B6-E217-44BB-8FEC-8DC1BBD54314}</x14:id>
        </ext>
      </extLst>
    </cfRule>
    <cfRule type="dataBar" priority="24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{74B13F20-7948-4316-9C6A-BB9FFF158A58}</x14:id>
        </ext>
      </extLst>
    </cfRule>
    <cfRule type="dataBar" priority="2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{BE3899DE-61C8-4A56-98B2-49192CCE5F3C}</x14:id>
        </ext>
      </extLst>
    </cfRule>
    <cfRule type="dataBar" priority="2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{6616F8D2-01B4-4437-A286-536415254A54}</x14:id>
        </ext>
      </extLst>
    </cfRule>
    <cfRule type="dataBar" priority="24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{C7C32BFE-C211-4CF0-9AFE-B12A10240579}</x14:id>
        </ext>
      </extLst>
    </cfRule>
    <cfRule type="dataBar" priority="241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{34DEED14-48AE-473B-A87B-29BF1D8B1FE1}</x14:id>
        </ext>
      </extLst>
    </cfRule>
    <cfRule type="dataBar" priority="2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{C990A923-5319-4901-931C-BB6DECE55EA5}</x14:id>
        </ext>
      </extLst>
    </cfRule>
    <cfRule type="dataBar" priority="24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{E6C4C5D4-2269-42CC-89DF-C6D416FDBCAB}</x14:id>
        </ext>
      </extLst>
    </cfRule>
  </conditionalFormatting>
  <conditionalFormatting sqref="AF33">
    <cfRule type="dataBar" priority="239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{64BB9EAF-1453-444A-80F2-E2A76EF0EA16}</x14:id>
        </ext>
      </extLst>
    </cfRule>
    <cfRule type="dataBar" priority="239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{11276938-6AEB-4EC5-9168-4FF2085D9798}</x14:id>
        </ext>
      </extLst>
    </cfRule>
    <cfRule type="dataBar" priority="239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{3A4D61C7-D588-44C6-87AE-99FA8FFB05C1}</x14:id>
        </ext>
      </extLst>
    </cfRule>
    <cfRule type="dataBar" priority="2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{82745366-4CB0-4B96-9E2C-2A3E6851A05A}</x14:id>
        </ext>
      </extLst>
    </cfRule>
    <cfRule type="dataBar" priority="239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{FD98EE4E-D987-4CFF-9D24-BC4A02F3F0F3}</x14:id>
        </ext>
      </extLst>
    </cfRule>
    <cfRule type="dataBar" priority="239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{A5CF5981-03AE-4AA8-B70E-DE56F288F20A}</x14:id>
        </ext>
      </extLst>
    </cfRule>
    <cfRule type="dataBar" priority="2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{5D7D8627-25A1-46CD-B6C4-ACA8894134E7}</x14:id>
        </ext>
      </extLst>
    </cfRule>
    <cfRule type="dataBar" priority="2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{16C89C6A-CE4B-4F2F-9E79-5B87B14EB5AF}</x14:id>
        </ext>
      </extLst>
    </cfRule>
    <cfRule type="dataBar" priority="238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{E1093A38-D688-42C8-B195-32765639D0B1}</x14:id>
        </ext>
      </extLst>
    </cfRule>
    <cfRule type="dataBar" priority="24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{BCE2545F-E1D6-49FA-AB55-36B646B6DABD}</x14:id>
        </ext>
      </extLst>
    </cfRule>
    <cfRule type="dataBar" priority="239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{B44F6E2C-4154-4CA0-8C36-23EB57B7E12D}</x14:id>
        </ext>
      </extLst>
    </cfRule>
    <cfRule type="dataBar" priority="240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{008EF967-4C6E-453B-A577-90AEAD479EC6}</x14:id>
        </ext>
      </extLst>
    </cfRule>
    <cfRule type="dataBar" priority="24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{E60E2347-B8C5-4C40-8629-686ED74C9365}</x14:id>
        </ext>
      </extLst>
    </cfRule>
    <cfRule type="dataBar" priority="23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{7A4DD6E1-6292-4EC5-BC6A-5AD8C93E64E0}</x14:id>
        </ext>
      </extLst>
    </cfRule>
    <cfRule type="dataBar" priority="238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{A0EA2C83-233A-4102-82C5-E452119C5A40}</x14:id>
        </ext>
      </extLst>
    </cfRule>
    <cfRule type="dataBar" priority="238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{3411E19C-25F6-4978-B7B0-752331C15D71}</x14:id>
        </ext>
      </extLst>
    </cfRule>
    <cfRule type="dataBar" priority="2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{0EF8D2E5-94A1-4733-B0A9-CE7296136D9E}</x14:id>
        </ext>
      </extLst>
    </cfRule>
  </conditionalFormatting>
  <conditionalFormatting sqref="AF34">
    <cfRule type="dataBar" priority="243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{2F33CAF7-8797-443B-9995-CBFD8E761C6E}</x14:id>
        </ext>
      </extLst>
    </cfRule>
    <cfRule type="dataBar" priority="24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{E3FF9964-B619-43A5-AE1D-415EBDBC5832}</x14:id>
        </ext>
      </extLst>
    </cfRule>
    <cfRule type="dataBar" priority="24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{1CF79EBC-753B-463C-9715-A822343959FE}</x14:id>
        </ext>
      </extLst>
    </cfRule>
    <cfRule type="dataBar" priority="244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{25AEF2DA-49FE-408A-ACB9-5ADA1CA8CF4B}</x14:id>
        </ext>
      </extLst>
    </cfRule>
    <cfRule type="dataBar" priority="244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{C149F5B8-76BD-494E-A347-520928943767}</x14:id>
        </ext>
      </extLst>
    </cfRule>
    <cfRule type="dataBar" priority="2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{A7D2FBBB-F27F-427C-AA82-76D0D7197A96}</x14:id>
        </ext>
      </extLst>
    </cfRule>
    <cfRule type="dataBar" priority="24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{9D0ECDB9-1871-4FBE-9CCD-8EC93647E1E9}</x14:id>
        </ext>
      </extLst>
    </cfRule>
    <cfRule type="dataBar" priority="2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{62121FE9-B158-46FF-8CD6-DCBA8478B95D}</x14:id>
        </ext>
      </extLst>
    </cfRule>
    <cfRule type="dataBar" priority="2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{57FB37EB-7C29-4963-8AA5-2950084BA360}</x14:id>
        </ext>
      </extLst>
    </cfRule>
    <cfRule type="dataBar" priority="244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{BF40F60A-024F-489E-82F1-2402B5FAF908}</x14:id>
        </ext>
      </extLst>
    </cfRule>
    <cfRule type="dataBar" priority="244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{44A3F896-3AFF-4D4D-94C8-7D19F13B7890}</x14:id>
        </ext>
      </extLst>
    </cfRule>
    <cfRule type="dataBar" priority="2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{88BF7CAF-7DCF-4B63-AEDA-81C0CFB854EF}</x14:id>
        </ext>
      </extLst>
    </cfRule>
    <cfRule type="dataBar" priority="244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{BB12F4B6-1A0D-4870-B3F8-890734C5E744}</x14:id>
        </ext>
      </extLst>
    </cfRule>
    <cfRule type="dataBar" priority="244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{6C3DD6EB-A45E-4253-B5DB-339C246948C8}</x14:id>
        </ext>
      </extLst>
    </cfRule>
    <cfRule type="dataBar" priority="245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{6D169C28-5208-4AAC-AFC5-45F6328A0731}</x14:id>
        </ext>
      </extLst>
    </cfRule>
    <cfRule type="dataBar" priority="2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{A8DDE5BD-E300-40FF-B8AA-7FF434BDCCEC}</x14:id>
        </ext>
      </extLst>
    </cfRule>
    <cfRule type="dataBar" priority="244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{DB0E217C-5B20-4F23-AB30-132F5F6D7C9E}</x14:id>
        </ext>
      </extLst>
    </cfRule>
  </conditionalFormatting>
  <conditionalFormatting sqref="AF35">
    <cfRule type="dataBar" priority="242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{D866981E-1BDB-49FE-9EA0-7D9805B1C97B}</x14:id>
        </ext>
      </extLst>
    </cfRule>
    <cfRule type="dataBar" priority="242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{1ABD4BCD-6CE2-4930-A634-3A878D5C7763}</x14:id>
        </ext>
      </extLst>
    </cfRule>
    <cfRule type="dataBar" priority="242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{57DDAC82-126B-4293-8FBF-72E47A8971C6}</x14:id>
        </ext>
      </extLst>
    </cfRule>
    <cfRule type="dataBar" priority="243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{DD58C282-5A37-48C3-B542-7E39829A8BD8}</x14:id>
        </ext>
      </extLst>
    </cfRule>
    <cfRule type="dataBar" priority="2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{82A7FA46-A055-4AD9-BD80-E2EB92333DB3}</x14:id>
        </ext>
      </extLst>
    </cfRule>
    <cfRule type="dataBar" priority="24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{266E3EDF-3B62-4842-85D4-B54136D40CCA}</x14:id>
        </ext>
      </extLst>
    </cfRule>
    <cfRule type="dataBar" priority="24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{5B27E68A-3119-4653-AD29-225D8301E610}</x14:id>
        </ext>
      </extLst>
    </cfRule>
    <cfRule type="dataBar" priority="2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{7D168A93-4A0F-47A7-BB8C-156A568CE5D5}</x14:id>
        </ext>
      </extLst>
    </cfRule>
    <cfRule type="dataBar" priority="2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{53A90B44-9F9D-4875-93B8-FDD743DBD0F8}</x14:id>
        </ext>
      </extLst>
    </cfRule>
    <cfRule type="dataBar" priority="24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{AB5C7306-B9E2-46A9-BD9E-C7F9E70B995A}</x14:id>
        </ext>
      </extLst>
    </cfRule>
    <cfRule type="dataBar" priority="24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{FC335470-71CD-4637-9482-EC54BDA67A20}</x14:id>
        </ext>
      </extLst>
    </cfRule>
    <cfRule type="dataBar" priority="24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{7E90D0F6-526E-4911-96C8-DAA913BF02F6}</x14:id>
        </ext>
      </extLst>
    </cfRule>
    <cfRule type="dataBar" priority="24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{B476D2D3-7D55-4CEF-A8A9-9F2264F60ADA}</x14:id>
        </ext>
      </extLst>
    </cfRule>
    <cfRule type="dataBar" priority="242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{A874F511-985D-4344-8154-E1F97AF213F5}</x14:id>
        </ext>
      </extLst>
    </cfRule>
    <cfRule type="dataBar" priority="2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{BCDE738F-0D73-4946-9D3B-8AED787CA021}</x14:id>
        </ext>
      </extLst>
    </cfRule>
    <cfRule type="dataBar" priority="24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{70EDCFEE-981C-4BEC-8379-703A85F5F8A1}</x14:id>
        </ext>
      </extLst>
    </cfRule>
    <cfRule type="dataBar" priority="2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{66C33BBC-7D45-4726-91F9-CA94FC54773C}</x14:id>
        </ext>
      </extLst>
    </cfRule>
  </conditionalFormatting>
  <conditionalFormatting sqref="AF36">
    <cfRule type="dataBar" priority="49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{4A4AB3A2-0E9E-4C9E-AF3A-8EA749F49298}</x14:id>
        </ext>
      </extLst>
    </cfRule>
    <cfRule type="dataBar" priority="4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{87CAECFD-570F-47C3-ACFC-6C805D003335}</x14:id>
        </ext>
      </extLst>
    </cfRule>
    <cfRule type="dataBar" priority="4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{711ADE69-6933-4077-AF5A-9C554390EDD1}</x14:id>
        </ext>
      </extLst>
    </cfRule>
    <cfRule type="dataBar" priority="49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{74E636C7-E087-4BAE-89B2-34DE3DF77FCD}</x14:id>
        </ext>
      </extLst>
    </cfRule>
    <cfRule type="dataBar" priority="49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{7E62DC1B-8BFE-43EE-8CC4-140724F29236}</x14:id>
        </ext>
      </extLst>
    </cfRule>
    <cfRule type="dataBar" priority="4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{96C20110-B02C-4130-A15F-26683C570FAE}</x14:id>
        </ext>
      </extLst>
    </cfRule>
    <cfRule type="dataBar" priority="495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{2794556A-6679-4C5E-864F-CA746DEC31E1}</x14:id>
        </ext>
      </extLst>
    </cfRule>
    <cfRule type="dataBar" priority="49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{B41977ED-0F8A-43A0-AB5E-5D2786B5246B}</x14:id>
        </ext>
      </extLst>
    </cfRule>
    <cfRule type="dataBar" priority="495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{BE6D0689-D08C-4772-9FE5-CD057BB60F03}</x14:id>
        </ext>
      </extLst>
    </cfRule>
    <cfRule type="dataBar" priority="495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{312B446E-E686-4CED-95EF-F7BBCEC988FF}</x14:id>
        </ext>
      </extLst>
    </cfRule>
    <cfRule type="dataBar" priority="4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{538BCE53-7AF7-4D42-B76B-996715A6405B}</x14:id>
        </ext>
      </extLst>
    </cfRule>
    <cfRule type="dataBar" priority="49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{EF2296C5-328C-4378-995F-57D6ED6AA1CB}</x14:id>
        </ext>
      </extLst>
    </cfRule>
    <cfRule type="dataBar" priority="49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{A35EDACB-91E6-4510-A4FB-242D364CD680}</x14:id>
        </ext>
      </extLst>
    </cfRule>
  </conditionalFormatting>
  <conditionalFormatting sqref="AI11">
    <cfRule type="dataBar" priority="30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{1D778436-CEC3-4E3D-8297-8389CB4186F0}</x14:id>
        </ext>
      </extLst>
    </cfRule>
  </conditionalFormatting>
  <conditionalFormatting sqref="AI18">
    <cfRule type="dataBar" priority="30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{6DF64E2A-EBBD-43D7-8B81-8E62F82E7B55}</x14:id>
        </ext>
      </extLst>
    </cfRule>
  </conditionalFormatting>
  <conditionalFormatting sqref="AI20">
    <cfRule type="dataBar" priority="30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{4C741099-4A37-4FE2-BAF8-84F8A57DB1C1}</x14:id>
        </ext>
      </extLst>
    </cfRule>
  </conditionalFormatting>
  <conditionalFormatting sqref="AI22">
    <cfRule type="dataBar" priority="30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{DF53342F-3981-4E39-A6A9-50BA6C8C0FF8}</x14:id>
        </ext>
      </extLst>
    </cfRule>
  </conditionalFormatting>
  <conditionalFormatting sqref="AI23">
    <cfRule type="dataBar" priority="30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{9C8E099B-2A58-4D24-8C0C-F973A1ABB113}</x14:id>
        </ext>
      </extLst>
    </cfRule>
  </conditionalFormatting>
  <conditionalFormatting sqref="AI26">
    <cfRule type="dataBar" priority="303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{B187A3B8-2597-434A-8C57-B6F2022419F8}</x14:id>
        </ext>
      </extLst>
    </cfRule>
  </conditionalFormatting>
  <conditionalFormatting sqref="AI28">
    <cfRule type="dataBar" priority="30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{E4D8149D-9440-4725-B6AA-8C312EE05F8D}</x14:id>
        </ext>
      </extLst>
    </cfRule>
  </conditionalFormatting>
  <conditionalFormatting sqref="AI31">
    <cfRule type="dataBar" priority="278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{DCB0BAC7-43A7-42DC-A730-3EACD99A46B0}</x14:id>
        </ext>
      </extLst>
    </cfRule>
  </conditionalFormatting>
  <conditionalFormatting sqref="AI32">
    <cfRule type="dataBar" priority="506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{E4AA2961-69DE-46FA-8657-05D412BBE3BF}</x14:id>
        </ext>
      </extLst>
    </cfRule>
  </conditionalFormatting>
  <conditionalFormatting sqref="AI33">
    <cfRule type="dataBar" priority="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{86989ECD-45AA-4A76-A80E-45EF560D9886}</x14:id>
        </ext>
      </extLst>
    </cfRule>
  </conditionalFormatting>
  <conditionalFormatting sqref="AI34">
    <cfRule type="dataBar" priority="8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{8F607FD4-8359-4300-9848-74C698285FA0}</x14:id>
        </ext>
      </extLst>
    </cfRule>
  </conditionalFormatting>
  <conditionalFormatting sqref="AK5:AK34">
    <cfRule type="dataBar" priority="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{0D4A09EB-6551-4C7E-BA77-442467F3FE3A}</x14:id>
        </ext>
      </extLst>
    </cfRule>
    <cfRule type="dataBar" priority="50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{A412AC1C-7122-4F04-8F56-F5076B0C1595}</x14:id>
        </ext>
      </extLst>
    </cfRule>
    <cfRule type="dataBar" priority="50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{4951FC8D-8355-497A-9EED-41F596C85DE1}</x14:id>
        </ext>
      </extLst>
    </cfRule>
  </conditionalFormatting>
  <conditionalFormatting sqref="AL5:AL11">
    <cfRule type="dataBar" priority="1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{38E1076B-14CA-4700-BD36-887C033F32A5}</x14:id>
        </ext>
      </extLst>
    </cfRule>
    <cfRule type="dataBar" priority="16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{D6791155-9CA8-4267-B617-A18C9709E016}</x14:id>
        </ext>
      </extLst>
    </cfRule>
    <cfRule type="dataBar" priority="16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{9DCE56CA-C26B-428C-B24E-CED8A0EA4DA6}</x14:id>
        </ext>
      </extLst>
    </cfRule>
    <cfRule type="dataBar" priority="169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{C333054E-51BE-4613-ABB6-56C6B07E382A}</x14:id>
        </ext>
      </extLst>
    </cfRule>
    <cfRule type="dataBar" priority="1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{731F3BF2-1D18-4049-8618-F052E165D70E}</x14:id>
        </ext>
      </extLst>
    </cfRule>
    <cfRule type="dataBar" priority="16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{F42A93FE-306E-4A2D-B6DF-EA3BF4D51AB0}</x14:id>
        </ext>
      </extLst>
    </cfRule>
    <cfRule type="dataBar" priority="16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{E166723F-410D-42CB-8693-144611DE2B2D}</x14:id>
        </ext>
      </extLst>
    </cfRule>
    <cfRule type="dataBar" priority="16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{AC52AE6C-EEE8-41C2-B7FC-1EEC95F85BA9}</x14:id>
        </ext>
      </extLst>
    </cfRule>
    <cfRule type="dataBar" priority="16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{BDC1E1FD-1DCD-41EB-ACD6-F9D79E2B0475}</x14:id>
        </ext>
      </extLst>
    </cfRule>
    <cfRule type="dataBar" priority="1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{4EECB801-B139-47BA-B213-89FDAE059B3C}</x14:id>
        </ext>
      </extLst>
    </cfRule>
    <cfRule type="dataBar" priority="16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{C6ECFAD7-477B-4FB5-AC83-A930C33490CE}</x14:id>
        </ext>
      </extLst>
    </cfRule>
    <cfRule type="dataBar" priority="16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{C9926F71-62CD-45CE-A2BA-E27108D0B94E}</x14:id>
        </ext>
      </extLst>
    </cfRule>
    <cfRule type="dataBar" priority="17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{2F738BCF-393F-42D4-B766-97244589E33B}</x14:id>
        </ext>
      </extLst>
    </cfRule>
    <cfRule type="dataBar" priority="17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{E140BD43-5C19-416F-9EAD-CD4C89663CC3}</x14:id>
        </ext>
      </extLst>
    </cfRule>
    <cfRule type="dataBar" priority="17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{796BC18A-1182-4884-944E-AA903D77AC51}</x14:id>
        </ext>
      </extLst>
    </cfRule>
    <cfRule type="dataBar" priority="1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{5581EF78-038B-4EFA-9936-6D0EA8413E94}</x14:id>
        </ext>
      </extLst>
    </cfRule>
    <cfRule type="dataBar" priority="170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{64815FB0-F72E-45E2-BE9F-CB1441A254B6}</x14:id>
        </ext>
      </extLst>
    </cfRule>
    <cfRule type="dataBar" priority="17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{6BEB6EF0-E7D7-4C6B-B56C-AFF3A6D39130}</x14:id>
        </ext>
      </extLst>
    </cfRule>
    <cfRule type="dataBar" priority="167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{C80079F1-3591-4FDB-BDFD-379E3E2627A2}</x14:id>
        </ext>
      </extLst>
    </cfRule>
    <cfRule type="dataBar" priority="16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{330F45FD-200F-45F7-8D25-FAECFBA8B0A2}</x14:id>
        </ext>
      </extLst>
    </cfRule>
    <cfRule type="dataBar" priority="16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{E4BA5F9A-CBC4-4CA7-9EBC-23F125C4C0F5}</x14:id>
        </ext>
      </extLst>
    </cfRule>
    <cfRule type="dataBar" priority="16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{52A381AF-A48F-4784-849E-6303738452BC}</x14:id>
        </ext>
      </extLst>
    </cfRule>
    <cfRule type="dataBar" priority="16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{D157F370-C38F-4CDE-A92B-1C810D59A685}</x14:id>
        </ext>
      </extLst>
    </cfRule>
    <cfRule type="dataBar" priority="16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{05814E8A-8FEA-4107-8A8C-C13545BE0B9D}</x14:id>
        </ext>
      </extLst>
    </cfRule>
    <cfRule type="dataBar" priority="16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{928DE253-BDFC-443C-AFF6-E54C02660854}</x14:id>
        </ext>
      </extLst>
    </cfRule>
    <cfRule type="dataBar" priority="168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{BCB343B4-4373-4E42-ADA6-09EB86548706}</x14:id>
        </ext>
      </extLst>
    </cfRule>
    <cfRule type="dataBar" priority="1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{A5600D3E-408D-408A-A97E-E6BAF845C4E8}</x14:id>
        </ext>
      </extLst>
    </cfRule>
    <cfRule type="dataBar" priority="16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{B1DBE079-6DE7-4FE1-AE10-5234788C300D}</x14:id>
        </ext>
      </extLst>
    </cfRule>
    <cfRule type="dataBar" priority="16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{18CB083A-84F3-4A02-A966-CB74830AFD35}</x14:id>
        </ext>
      </extLst>
    </cfRule>
    <cfRule type="dataBar" priority="1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{3C2FAD12-A338-4BF3-8305-3965C6EC97BF}</x14:id>
        </ext>
      </extLst>
    </cfRule>
  </conditionalFormatting>
  <conditionalFormatting sqref="AL12">
    <cfRule type="dataBar" priority="118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{E12CF00A-34C4-445D-86E5-43CC9EF7970E}</x14:id>
        </ext>
      </extLst>
    </cfRule>
    <cfRule type="dataBar" priority="119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{E09303AE-7745-4966-80B0-7DE40F177B2F}</x14:id>
        </ext>
      </extLst>
    </cfRule>
    <cfRule type="dataBar" priority="119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{CACE2761-98FE-4AD5-95BE-0ABD36F2E793}</x14:id>
        </ext>
      </extLst>
    </cfRule>
    <cfRule type="dataBar" priority="119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{98E3E7F0-9703-43CA-97CC-CB2CD3B01BAB}</x14:id>
        </ext>
      </extLst>
    </cfRule>
    <cfRule type="dataBar" priority="1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{DEA35808-B0C4-43C1-A206-D23D19F31A21}</x14:id>
        </ext>
      </extLst>
    </cfRule>
    <cfRule type="dataBar" priority="11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{52BF34A2-126B-49B7-9366-61E04B8335F7}</x14:id>
        </ext>
      </extLst>
    </cfRule>
    <cfRule type="dataBar" priority="1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{434AEC83-8CD7-4E47-B755-852E523ADCBC}</x14:id>
        </ext>
      </extLst>
    </cfRule>
    <cfRule type="dataBar" priority="1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{C82A0B31-C2EF-4A9A-BFF2-659C6CE1AA9D}</x14:id>
        </ext>
      </extLst>
    </cfRule>
    <cfRule type="dataBar" priority="11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{5B7FBE7A-04BC-4AA3-8CCC-C9DEDD161C06}</x14:id>
        </ext>
      </extLst>
    </cfRule>
    <cfRule type="dataBar" priority="11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{1F552B0A-2418-4C00-87C3-2CA9EF9C0295}</x14:id>
        </ext>
      </extLst>
    </cfRule>
    <cfRule type="dataBar" priority="117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{13BE9FE0-0F32-4F15-BC1E-E59E4D90D557}</x14:id>
        </ext>
      </extLst>
    </cfRule>
    <cfRule type="dataBar" priority="1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{76825AEF-C2DB-424D-ADFC-10DCDBF6A65D}</x14:id>
        </ext>
      </extLst>
    </cfRule>
    <cfRule type="dataBar" priority="11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{A861103E-BC20-4001-A8F8-CFFF9CA1ECDD}</x14:id>
        </ext>
      </extLst>
    </cfRule>
    <cfRule type="dataBar" priority="11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{C838A2DA-D6BE-48BB-86AD-57C77FD084BD}</x14:id>
        </ext>
      </extLst>
    </cfRule>
    <cfRule type="dataBar" priority="11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{1F693D21-AACC-4118-B2EB-9B2720C9FD39}</x14:id>
        </ext>
      </extLst>
    </cfRule>
    <cfRule type="dataBar" priority="11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{524D16C1-CCEF-4E4C-ACAB-DDCA913216E0}</x14:id>
        </ext>
      </extLst>
    </cfRule>
    <cfRule type="dataBar" priority="11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{C9029004-487F-4AE1-A7FE-CF377AFE678E}</x14:id>
        </ext>
      </extLst>
    </cfRule>
    <cfRule type="dataBar" priority="11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{8C1B0EDF-9B4F-436B-95FD-76A5170F4DDA}</x14:id>
        </ext>
      </extLst>
    </cfRule>
    <cfRule type="dataBar" priority="11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{5DA16BA2-5B4C-4685-8C7B-6C1EFF592EBF}</x14:id>
        </ext>
      </extLst>
    </cfRule>
    <cfRule type="dataBar" priority="11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{5811AEC5-D5BF-4B16-AF1D-6D2BB65C5E23}</x14:id>
        </ext>
      </extLst>
    </cfRule>
    <cfRule type="dataBar" priority="11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{E0399780-50C2-481D-96E1-39F8133ACD03}</x14:id>
        </ext>
      </extLst>
    </cfRule>
    <cfRule type="dataBar" priority="11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{2668ECBD-34DC-41AB-993D-214FE5986FAD}</x14:id>
        </ext>
      </extLst>
    </cfRule>
    <cfRule type="dataBar" priority="11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{B91AC36D-AC6A-4A1E-8381-87C12A09B826}</x14:id>
        </ext>
      </extLst>
    </cfRule>
    <cfRule type="dataBar" priority="1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{B8D64D35-1400-4473-A322-5052D544E66A}</x14:id>
        </ext>
      </extLst>
    </cfRule>
    <cfRule type="dataBar" priority="11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{C74B0857-8C83-44BD-92FA-12EE467EC674}</x14:id>
        </ext>
      </extLst>
    </cfRule>
    <cfRule type="dataBar" priority="1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{86F4009E-9970-4654-BF51-6BE204E4BC61}</x14:id>
        </ext>
      </extLst>
    </cfRule>
    <cfRule type="dataBar" priority="1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{71951DF7-9F4C-4D02-96D7-25E3FDB57971}</x14:id>
        </ext>
      </extLst>
    </cfRule>
    <cfRule type="dataBar" priority="11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{495EE85A-8D18-4E0F-B35D-14BF9BF1E37B}</x14:id>
        </ext>
      </extLst>
    </cfRule>
    <cfRule type="dataBar" priority="11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{3BFF62D2-138C-4DA6-8F9E-73A08633E4AD}</x14:id>
        </ext>
      </extLst>
    </cfRule>
    <cfRule type="dataBar" priority="1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{7483EED8-F774-4477-920F-368B7EF1F977}</x14:id>
        </ext>
      </extLst>
    </cfRule>
  </conditionalFormatting>
  <conditionalFormatting sqref="AL13">
    <cfRule type="dataBar" priority="54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{35E57FCB-CF6D-4375-9D6F-52D2B2F1D2B4}</x14:id>
        </ext>
      </extLst>
    </cfRule>
    <cfRule type="dataBar" priority="5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{BC1F462E-2C7D-42A4-A12B-1F6497C383E4}</x14:id>
        </ext>
      </extLst>
    </cfRule>
    <cfRule type="dataBar" priority="54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{2DF82C7D-085A-4D93-A181-51F8D0265406}</x14:id>
        </ext>
      </extLst>
    </cfRule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{4B02F07F-495A-4C99-A21A-2C77C190ED83}</x14:id>
        </ext>
      </extLst>
    </cfRule>
    <cfRule type="dataBar" priority="5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{13506186-327C-49C3-BAF0-4C40D9BB2219}</x14:id>
        </ext>
      </extLst>
    </cfRule>
    <cfRule type="dataBar" priority="54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{95094415-9A68-44D4-9D16-BD18C0FBD1E3}</x14:id>
        </ext>
      </extLst>
    </cfRule>
    <cfRule type="dataBar" priority="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{8BBACB3D-EF50-40EF-B68F-DFDB0FDF2CD9}</x14:id>
        </ext>
      </extLst>
    </cfRule>
    <cfRule type="dataBar" priority="54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{6A08ABBD-2DE8-48CA-95B1-30B245C0C2C5}</x14:id>
        </ext>
      </extLst>
    </cfRule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{50699734-5FD1-45BC-B47A-4ECA4290F43F}</x14:id>
        </ext>
      </extLst>
    </cfRule>
    <cfRule type="dataBar" priority="55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{C3C8AD53-990C-42B1-ACC9-441AB8D1FA4F}</x14:id>
        </ext>
      </extLst>
    </cfRule>
    <cfRule type="dataBar" priority="5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{F63B92C3-A70F-4411-94D2-F2A01C684D1A}</x14:id>
        </ext>
      </extLst>
    </cfRule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{C4992C46-85D0-4F91-BDAE-9E4F50383AE2}</x14:id>
        </ext>
      </extLst>
    </cfRule>
    <cfRule type="dataBar" priority="54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{610B92FC-4ADD-4C83-86E8-B2F5B012C494}</x14:id>
        </ext>
      </extLst>
    </cfRule>
  </conditionalFormatting>
  <conditionalFormatting sqref="AL14:AL21">
    <cfRule type="dataBar" priority="165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{E51DA393-B59B-4798-BF71-C12AE6815642}</x14:id>
        </ext>
      </extLst>
    </cfRule>
    <cfRule type="dataBar" priority="16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{7C12CD92-5200-4637-8766-8F548F99CF09}</x14:id>
        </ext>
      </extLst>
    </cfRule>
    <cfRule type="dataBar" priority="16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{5A7C660E-EB85-470E-ACEE-A39703257D7A}</x14:id>
        </ext>
      </extLst>
    </cfRule>
    <cfRule type="dataBar" priority="16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{03A29E51-4A70-4404-AAF3-976ACCF60FD3}</x14:id>
        </ext>
      </extLst>
    </cfRule>
    <cfRule type="dataBar" priority="16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{4F738D1E-92EB-4BB2-8210-DBAFDA44042C}</x14:id>
        </ext>
      </extLst>
    </cfRule>
    <cfRule type="dataBar" priority="16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{79CEB856-CDB7-4475-BE67-9C10D2153E6E}</x14:id>
        </ext>
      </extLst>
    </cfRule>
    <cfRule type="dataBar" priority="16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{C99C2520-F7D7-44B9-89D6-A6F57B4B9FA5}</x14:id>
        </ext>
      </extLst>
    </cfRule>
    <cfRule type="dataBar" priority="16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{AC0814C7-668B-43C2-B11C-C728C1E098F7}</x14:id>
        </ext>
      </extLst>
    </cfRule>
    <cfRule type="dataBar" priority="16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{32711152-9123-4F56-86AF-57961C353BA6}</x14:id>
        </ext>
      </extLst>
    </cfRule>
    <cfRule type="dataBar" priority="1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{33FD3136-D926-48FC-9441-91ED977C4833}</x14:id>
        </ext>
      </extLst>
    </cfRule>
    <cfRule type="dataBar" priority="16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{AC9B03AB-46C0-4DDC-A80B-6AE69B16B5A9}</x14:id>
        </ext>
      </extLst>
    </cfRule>
    <cfRule type="dataBar" priority="16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{FF0CC6DA-1D5A-4627-85CB-9448232BB3C0}</x14:id>
        </ext>
      </extLst>
    </cfRule>
    <cfRule type="dataBar" priority="16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{2C82F87A-9F60-44D6-B8F5-338231130CF7}</x14:id>
        </ext>
      </extLst>
    </cfRule>
    <cfRule type="dataBar" priority="16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{675957A8-05A4-4689-B00D-79EFF7940073}</x14:id>
        </ext>
      </extLst>
    </cfRule>
    <cfRule type="dataBar" priority="1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{85BB95D0-0700-41E6-B101-F1D48D36B2E5}</x14:id>
        </ext>
      </extLst>
    </cfRule>
    <cfRule type="dataBar" priority="167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{F7013B48-E81C-4B92-A59D-1DAF4300BC8E}</x14:id>
        </ext>
      </extLst>
    </cfRule>
    <cfRule type="dataBar" priority="16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{5495FBF2-1D04-43DF-ACE8-10F5038C8EE1}</x14:id>
        </ext>
      </extLst>
    </cfRule>
    <cfRule type="dataBar" priority="1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{9875521C-A308-452C-BD12-01F9B0C13443}</x14:id>
        </ext>
      </extLst>
    </cfRule>
    <cfRule type="dataBar" priority="16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{E677E5B1-34F8-4599-ABEF-CA771F66F03E}</x14:id>
        </ext>
      </extLst>
    </cfRule>
    <cfRule type="dataBar" priority="1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{98087A67-0FEC-4633-9BBA-6BEBABA13FEF}</x14:id>
        </ext>
      </extLst>
    </cfRule>
    <cfRule type="dataBar" priority="16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{5C35E403-AC0F-4D4A-AC0A-14C01AF03215}</x14:id>
        </ext>
      </extLst>
    </cfRule>
    <cfRule type="dataBar" priority="16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{82FF3835-C194-4947-A8E1-27FB3F15A8C0}</x14:id>
        </ext>
      </extLst>
    </cfRule>
    <cfRule type="dataBar" priority="16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{3543478E-8C64-4E37-A9FA-87B484388F34}</x14:id>
        </ext>
      </extLst>
    </cfRule>
    <cfRule type="dataBar" priority="16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{12136EC3-307C-450C-B166-71CFA869F7EF}</x14:id>
        </ext>
      </extLst>
    </cfRule>
    <cfRule type="dataBar" priority="1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{5CEB4B8C-E7C3-4692-B854-36D7677067B9}</x14:id>
        </ext>
      </extLst>
    </cfRule>
    <cfRule type="dataBar" priority="16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{8CB5E68B-270B-45BE-9333-ABE58D3E9ED5}</x14:id>
        </ext>
      </extLst>
    </cfRule>
    <cfRule type="dataBar" priority="16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{E3023F34-2DB1-4098-9019-21C9AC8096F6}</x14:id>
        </ext>
      </extLst>
    </cfRule>
    <cfRule type="dataBar" priority="16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{70FF5018-702E-4542-954D-A2744BF6B80F}</x14:id>
        </ext>
      </extLst>
    </cfRule>
    <cfRule type="dataBar" priority="1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{2D461FAA-A986-4AE1-B346-67C77C1D2315}</x14:id>
        </ext>
      </extLst>
    </cfRule>
    <cfRule type="dataBar" priority="1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{B5EBD826-7B61-40BC-BDD2-9B5725E24F17}</x14:id>
        </ext>
      </extLst>
    </cfRule>
  </conditionalFormatting>
  <conditionalFormatting sqref="AL22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{1EA7573C-6008-46F3-8825-5CF6AE8AD6A5}</x14:id>
        </ext>
      </extLst>
    </cfRule>
    <cfRule type="dataBar" priority="50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{E79A0A15-8BD0-4583-83C5-7E4E8419B941}</x14:id>
        </ext>
      </extLst>
    </cfRule>
    <cfRule type="dataBar" priority="51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{96326BDD-DA7A-494A-B86B-C62FC2C041DB}</x14:id>
        </ext>
      </extLst>
    </cfRule>
    <cfRule type="dataBar" priority="5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{F8A9CEA5-F294-407D-A613-5EE6D1FB142D}</x14:id>
        </ext>
      </extLst>
    </cfRule>
    <cfRule type="dataBar" priority="51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{99491C2F-4C64-4694-9401-4B854E921845}</x14:id>
        </ext>
      </extLst>
    </cfRule>
    <cfRule type="dataBar" priority="51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{0CAB72EB-2C68-4534-BDB8-C60C80DF7092}</x14:id>
        </ext>
      </extLst>
    </cfRule>
    <cfRule type="dataBar" priority="51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{3956F662-597A-41D2-8BAB-8A91FF2C78F2}</x14:id>
        </ext>
      </extLst>
    </cfRule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{7FEE1FC2-FEAD-4D58-9D42-CB685932A9B1}</x14:id>
        </ext>
      </extLst>
    </cfRule>
    <cfRule type="dataBar" priority="51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{0FFA99FD-B21E-492B-95F2-634F26C8868A}</x14:id>
        </ext>
      </extLst>
    </cfRule>
    <cfRule type="dataBar" priority="5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{915392A4-A3D6-49DD-BA52-85AA6CD778AD}</x14:id>
        </ext>
      </extLst>
    </cfRule>
    <cfRule type="dataBar" priority="5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{26BE0667-526E-449C-8F9F-DCAC70EE818B}</x14:id>
        </ext>
      </extLst>
    </cfRule>
    <cfRule type="dataBar" priority="50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{24DFD908-B078-4F06-864F-72014E528A5C}</x14:id>
        </ext>
      </extLst>
    </cfRule>
    <cfRule type="dataBar" priority="5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{8B3570A1-5EDC-4B7B-8044-26C93E6E8432}</x14:id>
        </ext>
      </extLst>
    </cfRule>
    <cfRule type="dataBar" priority="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{7C9C39F1-A6BB-4965-B5D2-0D5FA4F21549}</x14:id>
        </ext>
      </extLst>
    </cfRule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{CF3944E3-5585-42B3-B78F-D88B2D98DD9C}</x14:id>
        </ext>
      </extLst>
    </cfRule>
    <cfRule type="dataBar" priority="5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{CC314997-23D0-4209-B26B-43436C0977BF}</x14:id>
        </ext>
      </extLst>
    </cfRule>
    <cfRule type="dataBar" priority="5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{9C6D7D7B-8C24-4AED-A6F4-AD620F2D8CB0}</x14:id>
        </ext>
      </extLst>
    </cfRule>
  </conditionalFormatting>
  <conditionalFormatting sqref="AL23:AL24">
    <cfRule type="dataBar" priority="16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{D9FE9853-C4EA-48F5-99C5-141FC62A1474}</x14:id>
        </ext>
      </extLst>
    </cfRule>
    <cfRule type="dataBar" priority="1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{BE2C8F6A-F919-402F-9A85-854074D37D26}</x14:id>
        </ext>
      </extLst>
    </cfRule>
    <cfRule type="dataBar" priority="16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{8B26A8BA-F3B5-47F3-8B7B-BA8ABF6138F5}</x14:id>
        </ext>
      </extLst>
    </cfRule>
    <cfRule type="dataBar" priority="164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{04C37BD0-2A80-49DD-8911-79DFDB2110F8}</x14:id>
        </ext>
      </extLst>
    </cfRule>
    <cfRule type="dataBar" priority="164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{DB3A7C89-1EEC-4797-B55D-DF3156177EC3}</x14:id>
        </ext>
      </extLst>
    </cfRule>
    <cfRule type="dataBar" priority="1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{88F2CFEF-51D1-4E23-A7B0-6FBB1CC2B2DF}</x14:id>
        </ext>
      </extLst>
    </cfRule>
    <cfRule type="dataBar" priority="164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{34865A46-C4A6-468F-B178-F10E41248D5A}</x14:id>
        </ext>
      </extLst>
    </cfRule>
    <cfRule type="dataBar" priority="164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{3F2CFA7D-AF19-4CA6-A2F6-C037ECB64E48}</x14:id>
        </ext>
      </extLst>
    </cfRule>
    <cfRule type="dataBar" priority="16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{F3120694-032B-4FF8-89B5-8FA28F5580D2}</x14:id>
        </ext>
      </extLst>
    </cfRule>
    <cfRule type="dataBar" priority="16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{3E3AF13F-2C6D-4CA9-8E85-200335AE7A53}</x14:id>
        </ext>
      </extLst>
    </cfRule>
    <cfRule type="dataBar" priority="161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{7B0DB81B-8DFF-4E30-AE04-A7D3AB54AC9C}</x14:id>
        </ext>
      </extLst>
    </cfRule>
    <cfRule type="dataBar" priority="1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{05F6BDBE-32AB-4A08-A052-EE2F0E2992BB}</x14:id>
        </ext>
      </extLst>
    </cfRule>
    <cfRule type="dataBar" priority="16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{7F36BFEF-6772-4C8F-8258-BD5A4211A773}</x14:id>
        </ext>
      </extLst>
    </cfRule>
    <cfRule type="dataBar" priority="16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{D2334E2A-66AB-4EE9-B895-2D6E5F534E74}</x14:id>
        </ext>
      </extLst>
    </cfRule>
    <cfRule type="dataBar" priority="16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{E41A6D56-FE6C-42A0-9FAB-9D0466153409}</x14:id>
        </ext>
      </extLst>
    </cfRule>
    <cfRule type="dataBar" priority="1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{E4413CBA-DB21-4A05-978D-73B5E0201873}</x14:id>
        </ext>
      </extLst>
    </cfRule>
    <cfRule type="dataBar" priority="16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{B1258EC0-B4A7-4EFF-82A9-7DE030EE3AF5}</x14:id>
        </ext>
      </extLst>
    </cfRule>
    <cfRule type="dataBar" priority="16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{0B2D7965-E1E9-4E7C-93A8-A200F3BEDFFA}</x14:id>
        </ext>
      </extLst>
    </cfRule>
    <cfRule type="dataBar" priority="16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{7653D291-60D7-4C66-A207-297F32F68880}</x14:id>
        </ext>
      </extLst>
    </cfRule>
    <cfRule type="dataBar" priority="16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{B876FF7B-8576-485E-AC35-D17CFBCF798D}</x14:id>
        </ext>
      </extLst>
    </cfRule>
    <cfRule type="dataBar" priority="16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{19046365-1914-4511-9ECD-73D0FA7BB078}</x14:id>
        </ext>
      </extLst>
    </cfRule>
    <cfRule type="dataBar" priority="16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{F7229816-AC84-4279-BBBF-CD13EEB572E2}</x14:id>
        </ext>
      </extLst>
    </cfRule>
    <cfRule type="dataBar" priority="16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{276F175A-21D2-4572-9EA0-704FA8E55602}</x14:id>
        </ext>
      </extLst>
    </cfRule>
    <cfRule type="dataBar" priority="16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{B4BA4333-1309-4B28-BCCF-DF94CD0DABF1}</x14:id>
        </ext>
      </extLst>
    </cfRule>
    <cfRule type="dataBar" priority="1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{610BB60E-3854-4D2E-AFF9-594290963A17}</x14:id>
        </ext>
      </extLst>
    </cfRule>
    <cfRule type="dataBar" priority="16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{FA837DDF-AA4E-41DE-87E9-2B5B0DAD8CD7}</x14:id>
        </ext>
      </extLst>
    </cfRule>
    <cfRule type="dataBar" priority="16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{B6A0022A-FFD2-4076-89A5-F9644E3370B7}</x14:id>
        </ext>
      </extLst>
    </cfRule>
    <cfRule type="dataBar" priority="1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{311332C6-BCB3-4032-BF75-C679D64BAD7B}</x14:id>
        </ext>
      </extLst>
    </cfRule>
    <cfRule type="dataBar" priority="1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{01DD8F0F-0551-44BA-85AF-175F175F943A}</x14:id>
        </ext>
      </extLst>
    </cfRule>
    <cfRule type="dataBar" priority="16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{58D9C71A-4DC3-47C0-8E7C-84103AE0609E}</x14:id>
        </ext>
      </extLst>
    </cfRule>
  </conditionalFormatting>
  <conditionalFormatting sqref="AL25:AL27">
    <cfRule type="dataBar" priority="1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{43EE53C8-68B0-4AE8-884B-AE33ADA2B903}</x14:id>
        </ext>
      </extLst>
    </cfRule>
    <cfRule type="dataBar" priority="16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{E3E67D7B-9DE7-4777-9F32-2CA48E1470DB}</x14:id>
        </ext>
      </extLst>
    </cfRule>
    <cfRule type="dataBar" priority="1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{580723D2-88CD-4CA3-941B-CC88C0156B22}</x14:id>
        </ext>
      </extLst>
    </cfRule>
    <cfRule type="dataBar" priority="1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{B7E21169-C893-4DA3-94A0-3661C0EFD9D1}</x14:id>
        </ext>
      </extLst>
    </cfRule>
    <cfRule type="dataBar" priority="160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{60EA04E2-1C2C-40EF-A24B-1E64A5703C6E}</x14:id>
        </ext>
      </extLst>
    </cfRule>
    <cfRule type="dataBar" priority="15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{FEEEA25C-8FB1-4DBE-AE27-4C7553D0E950}</x14:id>
        </ext>
      </extLst>
    </cfRule>
    <cfRule type="dataBar" priority="160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{CD0AAA3A-EE26-4334-A9AC-C0615B22B70A}</x14:id>
        </ext>
      </extLst>
    </cfRule>
    <cfRule type="dataBar" priority="160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{355F3D88-0D0D-479A-B2F5-0A35150FCDA8}</x14:id>
        </ext>
      </extLst>
    </cfRule>
    <cfRule type="dataBar" priority="159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{E44D4FFF-B2D9-4C69-9454-C794764B4E39}</x14:id>
        </ext>
      </extLst>
    </cfRule>
    <cfRule type="dataBar" priority="15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{AA49189F-E56D-4500-A112-B0BFF4908BE6}</x14:id>
        </ext>
      </extLst>
    </cfRule>
    <cfRule type="dataBar" priority="16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{8B6D485A-7B32-416C-91A1-F9ACCB339608}</x14:id>
        </ext>
      </extLst>
    </cfRule>
    <cfRule type="dataBar" priority="1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{E8A5CE61-9071-4538-95B2-1D1D6D99DAEB}</x14:id>
        </ext>
      </extLst>
    </cfRule>
    <cfRule type="dataBar" priority="159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{EAE3F0F8-5CD8-4CF0-8983-A5188C36A04C}</x14:id>
        </ext>
      </extLst>
    </cfRule>
    <cfRule type="dataBar" priority="15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{59A997D3-FFE4-4BC9-9353-68A33CA09680}</x14:id>
        </ext>
      </extLst>
    </cfRule>
    <cfRule type="dataBar" priority="159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{3064DE9A-16E8-4560-82D6-D7D1573DB97F}</x14:id>
        </ext>
      </extLst>
    </cfRule>
    <cfRule type="dataBar" priority="1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{FB6DCAC7-DCEF-4FCE-BFD2-9627386DBB2F}</x14:id>
        </ext>
      </extLst>
    </cfRule>
    <cfRule type="dataBar" priority="15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{4B141331-1763-4A68-B82A-7FBC8A8019EF}</x14:id>
        </ext>
      </extLst>
    </cfRule>
    <cfRule type="dataBar" priority="15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{5224928C-80C0-4F09-BF74-7332432FD3C3}</x14:id>
        </ext>
      </extLst>
    </cfRule>
    <cfRule type="dataBar" priority="1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{3F94CD93-3C3C-48CB-8AE5-24478B76F0D5}</x14:id>
        </ext>
      </extLst>
    </cfRule>
    <cfRule type="dataBar" priority="15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{5BCEB653-1341-4D06-B594-A3936EF7E3F6}</x14:id>
        </ext>
      </extLst>
    </cfRule>
    <cfRule type="dataBar" priority="15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{6B0B546C-52B2-4FDE-8807-A4C7AC47EC4E}</x14:id>
        </ext>
      </extLst>
    </cfRule>
    <cfRule type="dataBar" priority="15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{4F2E8120-E9E8-4AAF-9C45-0D4EA67E8A75}</x14:id>
        </ext>
      </extLst>
    </cfRule>
    <cfRule type="dataBar" priority="161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{A3826AFC-0D1D-4C77-956D-F8ADF9954901}</x14:id>
        </ext>
      </extLst>
    </cfRule>
    <cfRule type="dataBar" priority="161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{50D080F7-F24F-4EE7-B9BF-F2C71238149C}</x14:id>
        </ext>
      </extLst>
    </cfRule>
    <cfRule type="dataBar" priority="1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{A7B134A5-488C-424A-AAE8-09055D4C6E3B}</x14:id>
        </ext>
      </extLst>
    </cfRule>
    <cfRule type="dataBar" priority="16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{80D3BE48-819B-48B0-B89C-3F23C67C7768}</x14:id>
        </ext>
      </extLst>
    </cfRule>
    <cfRule type="dataBar" priority="16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{E60D1BC2-13F7-4846-AB13-A28D9B33F13A}</x14:id>
        </ext>
      </extLst>
    </cfRule>
    <cfRule type="dataBar" priority="161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{7A7C2986-48F2-4453-A6ED-452654D6FCFC}</x14:id>
        </ext>
      </extLst>
    </cfRule>
    <cfRule type="dataBar" priority="160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{6733B03A-13B7-4791-A1A8-2FE3467D2345}</x14:id>
        </ext>
      </extLst>
    </cfRule>
    <cfRule type="dataBar" priority="1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{EAA86683-BE9D-4203-B8A6-BC10C179B9BF}</x14:id>
        </ext>
      </extLst>
    </cfRule>
  </conditionalFormatting>
  <conditionalFormatting sqref="AL28">
    <cfRule type="dataBar" priority="4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{1A15BE68-E753-4395-BE1E-C6F0F3756738}</x14:id>
        </ext>
      </extLst>
    </cfRule>
    <cfRule type="dataBar" priority="4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{C404FAE6-9BFE-4B2F-8E80-EDC0BA134EC6}</x14:id>
        </ext>
      </extLst>
    </cfRule>
    <cfRule type="dataBar" priority="4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{F6D763CA-9443-4F72-9F93-596098477E25}</x14:id>
        </ext>
      </extLst>
    </cfRule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{14A68BBB-E816-4702-9E69-07F8D72613B8}</x14:id>
        </ext>
      </extLst>
    </cfRule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{A4F4A4BF-8498-42D0-AE74-FC9CE9646EDF}</x14:id>
        </ext>
      </extLst>
    </cfRule>
    <cfRule type="dataBar" priority="4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{C4AB9F09-5FBC-4564-B801-E2C53DD6E7C9}</x14:id>
        </ext>
      </extLst>
    </cfRule>
    <cfRule type="dataBar" priority="48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{FC2FC806-D7B2-4D94-A205-4AE26F598597}</x14:id>
        </ext>
      </extLst>
    </cfRule>
    <cfRule type="dataBar" priority="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{D055C567-6536-4F1B-9851-C2C8331D4D81}</x14:id>
        </ext>
      </extLst>
    </cfRule>
    <cfRule type="dataBar" priority="4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{90DF4D91-CBB9-43CD-A097-918AA2A6606B}</x14:id>
        </ext>
      </extLst>
    </cfRule>
    <cfRule type="dataBar" priority="47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{A84BD81D-9845-42E0-869A-11104C54D053}</x14:id>
        </ext>
      </extLst>
    </cfRule>
    <cfRule type="dataBar" priority="47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{3D204E87-DA17-41CF-9F54-AC9CA6B16421}</x14:id>
        </ext>
      </extLst>
    </cfRule>
    <cfRule type="dataBar" priority="4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{8A43F8A4-1FB2-4BB3-ABEB-68865F1E047B}</x14:id>
        </ext>
      </extLst>
    </cfRule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{3B33FA19-E155-4969-A998-C5864F0EDE74}</x14:id>
        </ext>
      </extLst>
    </cfRule>
    <cfRule type="dataBar" priority="4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{48B58DEB-BB3C-41ED-AB01-BAE43B0A5610}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{345FDCE1-CEC8-4220-856B-C36A762CEECF}</x14:id>
        </ext>
      </extLst>
    </cfRule>
    <cfRule type="dataBar" priority="4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{AB18ED75-38E6-44E7-BCDC-BFC49514B06F}</x14:id>
        </ext>
      </extLst>
    </cfRule>
    <cfRule type="dataBar" priority="48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{423EB5AD-AC82-4F08-AE5E-ADDB122DDB12}</x14:id>
        </ext>
      </extLst>
    </cfRule>
  </conditionalFormatting>
  <conditionalFormatting sqref="AL29">
    <cfRule type="dataBar" priority="116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{4B7989B2-4394-4428-B95E-BCD2F711E39F}</x14:id>
        </ext>
      </extLst>
    </cfRule>
    <cfRule type="dataBar" priority="11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{ED957D65-3A9B-409D-938C-4CDF6670C4CA}</x14:id>
        </ext>
      </extLst>
    </cfRule>
    <cfRule type="dataBar" priority="11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{5A09405D-63F9-4D9A-9AC0-1AA627FE4631}</x14:id>
        </ext>
      </extLst>
    </cfRule>
    <cfRule type="dataBar" priority="11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{BA5AB2B5-4A5F-46B2-9F34-02180839AC81}</x14:id>
        </ext>
      </extLst>
    </cfRule>
    <cfRule type="dataBar" priority="1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{609F5C97-8936-451F-9467-1D3A725CD7E2}</x14:id>
        </ext>
      </extLst>
    </cfRule>
    <cfRule type="dataBar" priority="11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{99D4AE41-6CCB-48FE-B4C4-7E2FDF8364A1}</x14:id>
        </ext>
      </extLst>
    </cfRule>
    <cfRule type="dataBar" priority="11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{633CA6C2-EF13-46F2-813B-00A17FC4B5C1}</x14:id>
        </ext>
      </extLst>
    </cfRule>
    <cfRule type="dataBar" priority="114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{C80EAB6A-6A0B-4F16-952D-9FCF91158F8B}</x14:id>
        </ext>
      </extLst>
    </cfRule>
    <cfRule type="dataBar" priority="1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{259883C1-DC51-4A45-8C3F-2D810E845CEA}</x14:id>
        </ext>
      </extLst>
    </cfRule>
    <cfRule type="dataBar" priority="11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{09A01773-53AF-4178-81F0-DAC0D61AFB7B}</x14:id>
        </ext>
      </extLst>
    </cfRule>
    <cfRule type="dataBar" priority="11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{DFC8977B-0478-4592-8045-F1E90A4BFD5B}</x14:id>
        </ext>
      </extLst>
    </cfRule>
    <cfRule type="dataBar" priority="11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{3CBB65AF-DD94-4E3F-AA46-3D702945833C}</x14:id>
        </ext>
      </extLst>
    </cfRule>
    <cfRule type="dataBar" priority="1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{32F66F5E-4911-4AE8-ACF1-0E816F4AB5B6}</x14:id>
        </ext>
      </extLst>
    </cfRule>
    <cfRule type="dataBar" priority="11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{2502AFBC-4740-4268-B473-4D68AEA6EC0E}</x14:id>
        </ext>
      </extLst>
    </cfRule>
    <cfRule type="dataBar" priority="114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{AC8CA5F7-AA60-4DA4-B88B-DAC5D3AEAC07}</x14:id>
        </ext>
      </extLst>
    </cfRule>
    <cfRule type="dataBar" priority="115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{10311309-843F-478C-815E-190B5F2B3110}</x14:id>
        </ext>
      </extLst>
    </cfRule>
    <cfRule type="dataBar" priority="115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{B5932759-F329-496B-B277-210868B374E6}</x14:id>
        </ext>
      </extLst>
    </cfRule>
    <cfRule type="dataBar" priority="1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{A67D9A22-5D2F-46B3-A65C-E64013A945AB}</x14:id>
        </ext>
      </extLst>
    </cfRule>
    <cfRule type="dataBar" priority="11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{C3CF6775-3678-4BC1-8AA7-534246FD59B3}</x14:id>
        </ext>
      </extLst>
    </cfRule>
    <cfRule type="dataBar" priority="1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{10884FA4-A22C-4FCA-A4A8-FC311B964F6A}</x14:id>
        </ext>
      </extLst>
    </cfRule>
    <cfRule type="dataBar" priority="1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{F35FB149-B064-466F-9B37-B6FF17E814F8}</x14:id>
        </ext>
      </extLst>
    </cfRule>
    <cfRule type="dataBar" priority="11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{453C6F36-B5D0-47B5-A966-313F1CF03541}</x14:id>
        </ext>
      </extLst>
    </cfRule>
    <cfRule type="dataBar" priority="11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{5FD0882C-9A1E-4908-850D-232912817559}</x14:id>
        </ext>
      </extLst>
    </cfRule>
    <cfRule type="dataBar" priority="1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{AF3DCCBF-AD21-4681-943C-A55680D5C964}</x14:id>
        </ext>
      </extLst>
    </cfRule>
    <cfRule type="dataBar" priority="11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{B569C476-1207-42B1-A474-26CE34835167}</x14:id>
        </ext>
      </extLst>
    </cfRule>
    <cfRule type="dataBar" priority="11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{AEDB8237-3C69-45F2-B1BC-30E820C95FFB}</x14:id>
        </ext>
      </extLst>
    </cfRule>
    <cfRule type="dataBar" priority="11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{9282A2F1-927B-4A60-ADCF-36BD918F92E2}</x14:id>
        </ext>
      </extLst>
    </cfRule>
    <cfRule type="dataBar" priority="11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{360F825A-DEBB-424A-903D-93331D0569A6}</x14:id>
        </ext>
      </extLst>
    </cfRule>
    <cfRule type="dataBar" priority="1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{950E253A-750A-440B-ABA2-31B0D9EF3315}</x14:id>
        </ext>
      </extLst>
    </cfRule>
    <cfRule type="dataBar" priority="11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{7508EB3F-2D84-4C06-B493-3EC541871D3C}</x14:id>
        </ext>
      </extLst>
    </cfRule>
  </conditionalFormatting>
  <conditionalFormatting sqref="AL30">
    <cfRule type="dataBar" priority="4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{E4AF3BE1-76D1-4B4A-9871-3BE611E26EDB}</x14:id>
        </ext>
      </extLst>
    </cfRule>
    <cfRule type="dataBar" priority="47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{936969BE-A343-4687-A94D-13077175E73C}</x14:id>
        </ext>
      </extLst>
    </cfRule>
    <cfRule type="dataBar" priority="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{734E6752-BB38-4242-8C29-4459265F2DBC}</x14:id>
        </ext>
      </extLst>
    </cfRule>
    <cfRule type="dataBar" priority="46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{677B283F-2E23-48FB-BF9E-48C4513237AC}</x14:id>
        </ext>
      </extLst>
    </cfRule>
    <cfRule type="dataBar" priority="46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{3BF9CBA5-EA92-4EE0-A9E8-6B251A155719}</x14:id>
        </ext>
      </extLst>
    </cfRule>
    <cfRule type="dataBar" priority="46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{05D419AC-ED6B-482C-8A3A-3A10ED7C140A}</x14:id>
        </ext>
      </extLst>
    </cfRule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{10167152-1C04-4477-9D19-59A3DD4011AB}</x14:id>
        </ext>
      </extLst>
    </cfRule>
    <cfRule type="dataBar" priority="46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{551DFCB2-71BD-4209-870C-3540E7789A07}</x14:id>
        </ext>
      </extLst>
    </cfRule>
    <cfRule type="dataBar" priority="46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{4838ED7F-7A5F-4A77-8FEE-89DC987D4E69}</x14:id>
        </ext>
      </extLst>
    </cfRule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{243D6D0D-69FB-4531-933F-23018D65D7C2}</x14:id>
        </ext>
      </extLst>
    </cfRule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{29BA0BE8-EEC0-4566-8F89-2316370179E8}</x14:id>
        </ext>
      </extLst>
    </cfRule>
    <cfRule type="dataBar" priority="4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{91991E80-5C1B-47E7-98A4-13153C10E426}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{FA1EB59F-4949-4581-9838-34193A9D49D1}</x14:id>
        </ext>
      </extLst>
    </cfRule>
    <cfRule type="dataBar" priority="4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{72F13897-EA9C-4503-AABD-F2D375B325E6}</x14:id>
        </ext>
      </extLst>
    </cfRule>
    <cfRule type="dataBar" priority="4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{85288096-8550-4E15-9155-8118E48CB3D1}</x14:id>
        </ext>
      </extLst>
    </cfRule>
    <cfRule type="dataBar" priority="4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{B0794697-9E07-493D-B37D-82C9F9FBCA06}</x14:id>
        </ext>
      </extLst>
    </cfRule>
    <cfRule type="dataBar" priority="46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{CA968411-023D-47A2-8E04-80BB856D3E3C}</x14:id>
        </ext>
      </extLst>
    </cfRule>
  </conditionalFormatting>
  <conditionalFormatting sqref="AL31">
    <cfRule type="dataBar" priority="44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{751FC7FA-456A-4180-ACF0-AC665221861A}</x14:id>
        </ext>
      </extLst>
    </cfRule>
    <cfRule type="dataBar" priority="44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{5BF4A6D5-018D-4CAC-8D8E-45B5BA4F9B17}</x14:id>
        </ext>
      </extLst>
    </cfRule>
    <cfRule type="dataBar" priority="4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{2007BC79-FA30-4D1F-8D04-874E9513F05C}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{4D880CA9-6780-4BD0-9963-797491B7D12C}</x14:id>
        </ext>
      </extLst>
    </cfRule>
    <cfRule type="dataBar" priority="4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{EB351A3C-75D3-4D21-B958-7A7590AA3E32}</x14:id>
        </ext>
      </extLst>
    </cfRule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{30626652-D1C4-4B21-BFF5-F7FDB3C8810B}</x14:id>
        </ext>
      </extLst>
    </cfRule>
    <cfRule type="dataBar" priority="4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{0DA0B7FA-512C-4D10-8B9E-D4F2C1EE1144}</x14:id>
        </ext>
      </extLst>
    </cfRule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{86FC670B-5713-40E1-9C62-269EA3DD29D7}</x14:id>
        </ext>
      </extLst>
    </cfRule>
    <cfRule type="dataBar" priority="44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{D47EEF63-66C5-4CB3-A669-C540951CC0CD}</x14:id>
        </ext>
      </extLst>
    </cfRule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{0EE8A6C8-AEEB-4D2F-830A-9A99A08B0093}</x14:id>
        </ext>
      </extLst>
    </cfRule>
    <cfRule type="dataBar" priority="4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{4E9733CB-CE8C-4CF1-8AE7-E293046DF774}</x14:id>
        </ext>
      </extLst>
    </cfRule>
    <cfRule type="dataBar" priority="4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{03A85E81-A412-4F96-9463-410B7EF99143}</x14:id>
        </ext>
      </extLst>
    </cfRule>
    <cfRule type="dataBar" priority="4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{9F36FC23-AB15-42D5-9E3A-D2C32ECBABC5}</x14:id>
        </ext>
      </extLst>
    </cfRule>
    <cfRule type="dataBar" priority="44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{5C7186B7-B890-4D29-8261-235892B88591}</x14:id>
        </ext>
      </extLst>
    </cfRule>
    <cfRule type="dataBar" priority="44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{E65266C8-79AC-4516-8076-5361A6DD5237}</x14:id>
        </ext>
      </extLst>
    </cfRule>
    <cfRule type="dataBar" priority="4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{20BE3D1A-BF58-404D-A13F-64E910C47E1E}</x14:id>
        </ext>
      </extLst>
    </cfRule>
    <cfRule type="dataBar" priority="4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{ADDE8830-CACB-411A-9B63-0E25509267C2}</x14:id>
        </ext>
      </extLst>
    </cfRule>
  </conditionalFormatting>
  <conditionalFormatting sqref="AL32">
    <cfRule type="dataBar" priority="4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{96B6718A-4F94-424E-A00F-6107D917CFA6}</x14:id>
        </ext>
      </extLst>
    </cfRule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{EFD0AEC1-6EAE-49DA-8B84-2C59D14A681D}</x14:id>
        </ext>
      </extLst>
    </cfRule>
    <cfRule type="dataBar" priority="42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{9CDBF8BC-06F5-4BC9-97EB-08DEE3D11BEC}</x14:id>
        </ext>
      </extLst>
    </cfRule>
    <cfRule type="dataBar" priority="42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{CE50014B-2DD9-40E4-A80B-46B3FECB34D8}</x14:id>
        </ext>
      </extLst>
    </cfRule>
    <cfRule type="dataBar" priority="42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{FAC4670B-6ED4-4B4B-BE44-5542C66AFA8C}</x14:id>
        </ext>
      </extLst>
    </cfRule>
    <cfRule type="dataBar" priority="4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{19C56EAA-F568-4CC6-94B1-201DC442E4B4}</x14:id>
        </ext>
      </extLst>
    </cfRule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{94C8C53A-2884-4E67-B1AE-664E554227E4}</x14:id>
        </ext>
      </extLst>
    </cfRule>
    <cfRule type="dataBar" priority="4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{F2DE235B-19A8-488A-82E4-820C60293EC4}</x14:id>
        </ext>
      </extLst>
    </cfRule>
    <cfRule type="dataBar" priority="4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{1970AEC3-15EB-4851-9BE5-5B280E06D7CF}</x14:id>
        </ext>
      </extLst>
    </cfRule>
    <cfRule type="dataBar" priority="4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{2269C1B6-10C0-4217-BA00-FC8CCE8917F3}</x14:id>
        </ext>
      </extLst>
    </cfRule>
    <cfRule type="dataBar" priority="4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{A668D14E-A01B-4ABC-A0F1-3362CF9C6361}</x14:id>
        </ext>
      </extLst>
    </cfRule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{AA032A27-418F-4032-9A0B-5625413E2FC9}</x14:id>
        </ext>
      </extLst>
    </cfRule>
    <cfRule type="dataBar" priority="43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{B447AFB4-AC3B-46EF-8457-53316EA0B248}</x14:id>
        </ext>
      </extLst>
    </cfRule>
    <cfRule type="dataBar" priority="4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{76A742A8-ED3B-4656-9831-0BA25A3C80A6}</x14:id>
        </ext>
      </extLst>
    </cfRule>
    <cfRule type="dataBar" priority="4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{E2EF46C7-C190-408D-B8ED-F4F2626A54F2}</x14:id>
        </ext>
      </extLst>
    </cfRule>
    <cfRule type="dataBar" priority="42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{D4741740-E743-40A1-A8EC-F917598E2194}</x14:id>
        </ext>
      </extLst>
    </cfRule>
    <cfRule type="dataBar" priority="4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{4287F5D8-343C-4F4A-9DC9-DD5EDBB0D89A}</x14:id>
        </ext>
      </extLst>
    </cfRule>
  </conditionalFormatting>
  <conditionalFormatting sqref="AL33:AL34">
    <cfRule type="dataBar" priority="1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{C0E59AA7-DC8A-423D-9595-8E8C375AFFD9}</x14:id>
        </ext>
      </extLst>
    </cfRule>
    <cfRule type="dataBar" priority="1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{7FF9631B-3860-45C3-B194-14E133F9F636}</x14:id>
        </ext>
      </extLst>
    </cfRule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{29DF2A97-4FCC-4E2F-B2AE-1183402295C1}</x14:id>
        </ext>
      </extLst>
    </cfRule>
    <cfRule type="dataBar" priority="1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{EF1ED167-B028-421E-8119-3C466E9987D6}</x14:id>
        </ext>
      </extLst>
    </cfRule>
    <cfRule type="dataBar" priority="1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{CBD364A5-DF16-4BF2-9468-C5E18E547C4D}</x14:id>
        </ext>
      </extLst>
    </cfRule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{25FB2F8A-C209-451F-A616-4907EDFF8AD3}</x14:id>
        </ext>
      </extLst>
    </cfRule>
    <cfRule type="dataBar" priority="1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{644BE3F2-7125-4F5D-BE5E-8AB4C970B5FD}</x14:id>
        </ext>
      </extLst>
    </cfRule>
    <cfRule type="dataBar" priority="1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{4BD3B8E2-6801-4D01-A679-C4D062CC484D}</x14:id>
        </ext>
      </extLst>
    </cfRule>
    <cfRule type="dataBar" priority="1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{0CA18B40-37C4-4BBE-A2ED-128C4D9DAB80}</x14:id>
        </ext>
      </extLst>
    </cfRule>
    <cfRule type="dataBar" priority="1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{355246FA-9CD9-4057-81B3-BE2B1D3F48F6}</x14:id>
        </ext>
      </extLst>
    </cfRule>
    <cfRule type="dataBar" priority="1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{AB74179A-980A-4925-95EA-98977E6152F1}</x14:id>
        </ext>
      </extLst>
    </cfRule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{49E20996-FB4B-406C-95A3-58273D69B758}</x14:id>
        </ext>
      </extLst>
    </cfRule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{60317A39-E103-4447-9488-50690DE07D98}</x14:id>
        </ext>
      </extLst>
    </cfRule>
  </conditionalFormatting>
  <conditionalFormatting sqref="AM5:AM28 AM30 AK5:AK34">
    <cfRule type="dataBar" priority="507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{AB985906-3B65-40B0-A16C-F35AF1B12754}</x14:id>
        </ext>
      </extLst>
    </cfRule>
    <cfRule type="dataBar" priority="50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{388CA9DC-F8C5-40B4-B265-A3C93F149E7D}</x14:id>
        </ext>
      </extLst>
    </cfRule>
    <cfRule type="dataBar" priority="50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{4D638044-8AF4-4555-9D10-72355ECF209D}</x14:id>
        </ext>
      </extLst>
    </cfRule>
  </conditionalFormatting>
  <conditionalFormatting sqref="AM5:AM32 AK5:AK34">
    <cfRule type="dataBar" priority="5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{8E1EEC3C-9586-40DC-92B0-4F7A9A0C50B6}</x14:id>
        </ext>
      </extLst>
    </cfRule>
    <cfRule type="dataBar" priority="50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{C61C43C3-4A40-4863-8342-44E51FBC545F}</x14:id>
        </ext>
      </extLst>
    </cfRule>
  </conditionalFormatting>
  <conditionalFormatting sqref="AM29">
    <cfRule type="dataBar" priority="3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{043F32FB-A002-49C1-ADFF-578FFE0C1676}</x14:id>
        </ext>
      </extLst>
    </cfRule>
    <cfRule type="dataBar" priority="315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{3205E6E7-884A-4177-AAD1-A0948BE417CF}</x14:id>
        </ext>
      </extLst>
    </cfRule>
    <cfRule type="dataBar" priority="31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{323E2E6D-9206-4731-8C13-A6438AB8362D}</x14:id>
        </ext>
      </extLst>
    </cfRule>
  </conditionalFormatting>
  <conditionalFormatting sqref="AM31">
    <cfRule type="dataBar" priority="3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{AF44F872-5B37-4F97-A0F9-A6932DAEFBDC}</x14:id>
        </ext>
      </extLst>
    </cfRule>
    <cfRule type="dataBar" priority="31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{F7F5FC07-15BB-447F-853D-F11953B00D09}</x14:id>
        </ext>
      </extLst>
    </cfRule>
    <cfRule type="dataBar" priority="31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{A0CFF778-2F38-4C76-B568-E6BFF1C6212D}</x14:id>
        </ext>
      </extLst>
    </cfRule>
  </conditionalFormatting>
  <conditionalFormatting sqref="AM32">
    <cfRule type="dataBar" priority="31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{A017A65E-2B6B-46E8-8EE9-58EA12DF6907}</x14:id>
        </ext>
      </extLst>
    </cfRule>
    <cfRule type="dataBar" priority="31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{E06D9D3B-33D3-49FC-A6D8-22DD4B5B673C}</x14:id>
        </ext>
      </extLst>
    </cfRule>
    <cfRule type="dataBar" priority="3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{CDD142D3-0740-498B-B004-5014D7AF79A3}</x14:id>
        </ext>
      </extLst>
    </cfRule>
  </conditionalFormatting>
  <conditionalFormatting sqref="AO6">
    <cfRule type="dataBar" priority="30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{CE69E0AE-6237-45BB-BED8-2FA98BA07E37}</x14:id>
        </ext>
      </extLst>
    </cfRule>
  </conditionalFormatting>
  <conditionalFormatting sqref="AO7">
    <cfRule type="dataBar" priority="30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{C88C0112-C9E3-4777-89FE-AEE2D2B97640}</x14:id>
        </ext>
      </extLst>
    </cfRule>
  </conditionalFormatting>
  <conditionalFormatting sqref="AO8">
    <cfRule type="dataBar" priority="30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{2D3D9263-58A8-4A83-891B-8993F3E439C9}</x14:id>
        </ext>
      </extLst>
    </cfRule>
  </conditionalFormatting>
  <conditionalFormatting sqref="AO22">
    <cfRule type="dataBar" priority="30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{0D551E65-0991-406D-AAAC-C59D57A99984}</x14:id>
        </ext>
      </extLst>
    </cfRule>
  </conditionalFormatting>
  <conditionalFormatting sqref="AO26">
    <cfRule type="dataBar" priority="30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{F3FAB0DF-F28D-4D11-8485-EFA2D67FE21E}</x14:id>
        </ext>
      </extLst>
    </cfRule>
  </conditionalFormatting>
  <conditionalFormatting sqref="AO31">
    <cfRule type="dataBar" priority="291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{9ED39A92-9363-4B54-9B12-68BCC4018118}</x14:id>
        </ext>
      </extLst>
    </cfRule>
  </conditionalFormatting>
  <conditionalFormatting sqref="AO32">
    <cfRule type="dataBar" priority="285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{8B10E03D-6929-4A5F-87B9-EB27AED49791}</x14:id>
        </ext>
      </extLst>
    </cfRule>
  </conditionalFormatting>
  <conditionalFormatting sqref="AO33:AO34">
    <cfRule type="dataBar" priority="42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{F95A266E-2AF8-4103-8F74-9F94F3EA0789}</x14:id>
        </ext>
      </extLst>
    </cfRule>
  </conditionalFormatting>
  <conditionalFormatting sqref="AP5:AP29 AR5:AR33">
    <cfRule type="dataBar" priority="5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{1EBDD153-1DF1-4B16-B2DB-D32594A0AF1B}</x14:id>
        </ext>
      </extLst>
    </cfRule>
    <cfRule type="dataBar" priority="517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{7CD5471A-714A-4AF2-8E13-EE50357670D7}</x14:id>
        </ext>
      </extLst>
    </cfRule>
  </conditionalFormatting>
  <conditionalFormatting sqref="AP5:AP30">
    <cfRule type="dataBar" priority="517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{3987012B-0183-431B-8C96-7991AB2F00BC}</x14:id>
        </ext>
      </extLst>
    </cfRule>
    <cfRule type="dataBar" priority="51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{F2B68996-B6B8-43FD-ADA9-64A4BD9896B7}</x14:id>
        </ext>
      </extLst>
    </cfRule>
  </conditionalFormatting>
  <conditionalFormatting sqref="AP5:AP34">
    <cfRule type="dataBar" priority="51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{E7C52B34-8E28-4484-8AF1-23BA5E52687A}</x14:id>
        </ext>
      </extLst>
    </cfRule>
  </conditionalFormatting>
  <conditionalFormatting sqref="AP5:AP35">
    <cfRule type="dataBar" priority="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{92AEB0C8-2F26-4644-9724-429D8C171735}</x14:id>
        </ext>
      </extLst>
    </cfRule>
    <cfRule type="dataBar" priority="51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{FDFAD0C9-554E-43DA-A519-91FDB3229259}</x14:id>
        </ext>
      </extLst>
    </cfRule>
    <cfRule type="dataBar" priority="51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{9C76ED1E-1B4E-44F0-A4FB-20B57DCB5DAA}</x14:id>
        </ext>
      </extLst>
    </cfRule>
  </conditionalFormatting>
  <conditionalFormatting sqref="AP16:AP27 AP5:AP13 AR5:AR14 AR17:AR31">
    <cfRule type="dataBar" priority="5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{E6A8ED50-1DF1-4B1B-8FAD-C5EB319153F3}</x14:id>
        </ext>
      </extLst>
    </cfRule>
    <cfRule type="dataBar" priority="51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{6E51460D-2C90-45A7-934D-FF5F128C17F0}</x14:id>
        </ext>
      </extLst>
    </cfRule>
    <cfRule type="dataBar" priority="51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{0398E78E-5106-4DAA-AD18-6EEF8E586351}</x14:id>
        </ext>
      </extLst>
    </cfRule>
  </conditionalFormatting>
  <conditionalFormatting sqref="AP16:AP29 AP5:AP14 AR17:AR33 AR5:AR15">
    <cfRule type="dataBar" priority="513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{FCECC4B1-64A2-46EF-9171-3275EB180EC5}</x14:id>
        </ext>
      </extLst>
    </cfRule>
  </conditionalFormatting>
  <conditionalFormatting sqref="AP28 AR32">
    <cfRule type="dataBar" priority="317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{49582595-A84F-4AFE-8AF4-31AFF75AC5ED}</x14:id>
        </ext>
      </extLst>
    </cfRule>
    <cfRule type="dataBar" priority="31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{91AAEF19-0C5B-492D-81B1-94E888464DCE}</x14:id>
        </ext>
      </extLst>
    </cfRule>
    <cfRule type="dataBar" priority="3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{1B51A8F5-5E3E-4546-BE83-59346EBF73B9}</x14:id>
        </ext>
      </extLst>
    </cfRule>
  </conditionalFormatting>
  <conditionalFormatting sqref="AP29 AR33">
    <cfRule type="dataBar" priority="317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{B28F78C2-9DE4-4EF2-A70A-98E45CA7C264}</x14:id>
        </ext>
      </extLst>
    </cfRule>
    <cfRule type="dataBar" priority="31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{2FFCD71B-E9ED-4CF7-A980-ED49DD937DC4}</x14:id>
        </ext>
      </extLst>
    </cfRule>
    <cfRule type="dataBar" priority="3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{1161E442-7B85-4181-819C-2E6F70821DA0}</x14:id>
        </ext>
      </extLst>
    </cfRule>
  </conditionalFormatting>
  <conditionalFormatting sqref="AP30">
    <cfRule type="dataBar" priority="2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{F272D158-13F9-490F-BCC9-854A7F9FEF43}</x14:id>
        </ext>
      </extLst>
    </cfRule>
    <cfRule type="dataBar" priority="29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{1B284F2E-C43F-4065-B01A-23BDA25C6E5D}</x14:id>
        </ext>
      </extLst>
    </cfRule>
    <cfRule type="dataBar" priority="29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{D55EDC9B-451D-4D72-BD6D-890B6DE18EF7}</x14:id>
        </ext>
      </extLst>
    </cfRule>
    <cfRule type="dataBar" priority="29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{32C4F613-C548-4AD0-B69D-FC2D7329A6A4}</x14:id>
        </ext>
      </extLst>
    </cfRule>
    <cfRule type="dataBar" priority="29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{5CF28A39-8DCA-40CA-BA4B-BF087BEB9EF3}</x14:id>
        </ext>
      </extLst>
    </cfRule>
    <cfRule type="dataBar" priority="29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{234B6D97-5CBA-4B73-A3A2-BBB6FD4AAEC8}</x14:id>
        </ext>
      </extLst>
    </cfRule>
  </conditionalFormatting>
  <conditionalFormatting sqref="AP31">
    <cfRule type="dataBar" priority="287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{371A83DC-85A2-4D8C-AAEE-E2E5679DBDA5}</x14:id>
        </ext>
      </extLst>
    </cfRule>
    <cfRule type="dataBar" priority="2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{FF529ACD-D6AA-4D1C-B40D-145DCB00BFFC}</x14:id>
        </ext>
      </extLst>
    </cfRule>
    <cfRule type="dataBar" priority="28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{2AA96B16-1BA2-43D6-8153-54DD4E707B2A}</x14:id>
        </ext>
      </extLst>
    </cfRule>
    <cfRule type="dataBar" priority="287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{E606EC1F-9CE7-4BA4-9CD5-309A131B36C6}</x14:id>
        </ext>
      </extLst>
    </cfRule>
    <cfRule type="dataBar" priority="287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{9BF0D959-29B8-4471-BA31-EAF2B24C9A3E}</x14:id>
        </ext>
      </extLst>
    </cfRule>
    <cfRule type="dataBar" priority="2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{D2496B47-62E2-4E00-B323-D48742852E70}</x14:id>
        </ext>
      </extLst>
    </cfRule>
    <cfRule type="dataBar" priority="28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{A2F49F95-746C-4CDE-9737-49E97066823B}</x14:id>
        </ext>
      </extLst>
    </cfRule>
    <cfRule type="dataBar" priority="28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{DD6E95FF-FC9B-4221-A174-025E863D7986}</x14:id>
        </ext>
      </extLst>
    </cfRule>
  </conditionalFormatting>
  <conditionalFormatting sqref="AP32">
    <cfRule type="dataBar" priority="28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{D0BE46BF-2925-4C9E-98EA-202531752C7E}</x14:id>
        </ext>
      </extLst>
    </cfRule>
    <cfRule type="dataBar" priority="28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{8099A90B-13D9-4E45-94B6-C5BFF4784C95}</x14:id>
        </ext>
      </extLst>
    </cfRule>
    <cfRule type="dataBar" priority="2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{9F1B63AB-C985-457A-B122-442DB63A7EFF}</x14:id>
        </ext>
      </extLst>
    </cfRule>
    <cfRule type="dataBar" priority="281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{4A70471F-18E3-4FE5-83FD-C40A4B619F9D}</x14:id>
        </ext>
      </extLst>
    </cfRule>
    <cfRule type="dataBar" priority="281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{554046DB-5A7E-466A-A3EA-AD84A3AF8057}</x14:id>
        </ext>
      </extLst>
    </cfRule>
    <cfRule type="dataBar" priority="28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{0A64CB0C-C43E-4746-97AC-704C6EE767C6}</x14:id>
        </ext>
      </extLst>
    </cfRule>
    <cfRule type="dataBar" priority="28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{9B1FBF40-10BE-4563-ABC4-5D4EAB02FDA1}</x14:id>
        </ext>
      </extLst>
    </cfRule>
    <cfRule type="dataBar" priority="28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{FF3424FB-FA6C-40D6-ADE3-2C9A3BEA06EA}</x14:id>
        </ext>
      </extLst>
    </cfRule>
  </conditionalFormatting>
  <conditionalFormatting sqref="AP33:AP34">
    <cfRule type="dataBar" priority="41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{07762A11-6D30-42D3-95B7-445F051F5D8B}</x14:id>
        </ext>
      </extLst>
    </cfRule>
    <cfRule type="dataBar" priority="41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{641E379B-4EF7-4052-BECC-70AF811DBDCB}</x14:id>
        </ext>
      </extLst>
    </cfRule>
    <cfRule type="dataBar" priority="41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{41B3034C-C568-4814-8445-D76F5EB19A3A}</x14:id>
        </ext>
      </extLst>
    </cfRule>
    <cfRule type="dataBar" priority="41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{D82FB404-6EF2-4629-B012-113DE7D42358}</x14:id>
        </ext>
      </extLst>
    </cfRule>
    <cfRule type="dataBar" priority="4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{28203C02-E1AB-4BC6-8DA7-2F1CDBB27861}</x14:id>
        </ext>
      </extLst>
    </cfRule>
    <cfRule type="dataBar" priority="419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{4FBD16FC-4937-4F67-B4C7-83DE7193A540}</x14:id>
        </ext>
      </extLst>
    </cfRule>
    <cfRule type="dataBar" priority="420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{CE48F239-3A83-4821-A4C3-258BA5138BBC}</x14:id>
        </ext>
      </extLst>
    </cfRule>
    <cfRule type="dataBar" priority="4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{EEFE97A5-CAA2-425F-B7B0-25E44FF98C58}</x14:id>
        </ext>
      </extLst>
    </cfRule>
  </conditionalFormatting>
  <conditionalFormatting sqref="AP35">
    <cfRule type="dataBar" priority="509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{73B6E3B9-F2B5-42C8-9E61-4596A9CE58BE}</x14:id>
        </ext>
      </extLst>
    </cfRule>
    <cfRule type="dataBar" priority="5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{18CB0364-CF24-48A0-9E82-79281A20F9A8}</x14:id>
        </ext>
      </extLst>
    </cfRule>
    <cfRule type="dataBar" priority="509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{11E8BCCE-9650-42EE-A0A4-174629B91FF9}</x14:id>
        </ext>
      </extLst>
    </cfRule>
    <cfRule type="dataBar" priority="509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{994E975A-60DC-4E9B-BDC7-3E61072BD72C}</x14:id>
        </ext>
      </extLst>
    </cfRule>
    <cfRule type="dataBar" priority="509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{EBCF45DF-8F5F-40CD-9CDE-22EB3C925752}</x14:id>
        </ext>
      </extLst>
    </cfRule>
    <cfRule type="dataBar" priority="50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{7B0AFEA1-D21D-491E-81AA-5EFCBF9BF2AB}</x14:id>
        </ext>
      </extLst>
    </cfRule>
    <cfRule type="dataBar" priority="509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{A4B5CEF2-D8D3-416D-B82B-88FD8EC01328}</x14:id>
        </ext>
      </extLst>
    </cfRule>
    <cfRule type="dataBar" priority="509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{3F3100D4-46BD-4BD6-845D-A26E48F671AE}</x14:id>
        </ext>
      </extLst>
    </cfRule>
    <cfRule type="dataBar" priority="509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{04EFBB60-0553-4E19-9218-7CE849F7057D}</x14:id>
        </ext>
      </extLst>
    </cfRule>
  </conditionalFormatting>
  <conditionalFormatting sqref="AQ5">
    <cfRule type="dataBar" priority="13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{902364EF-F42F-497A-8C74-401DE3D0413E}</x14:id>
        </ext>
      </extLst>
    </cfRule>
    <cfRule type="dataBar" priority="13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{6B801945-2A3C-4C3F-ABA2-71613793C240}</x14:id>
        </ext>
      </extLst>
    </cfRule>
    <cfRule type="dataBar" priority="13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{7D8E5C58-D2C8-4BAC-B8CC-223BE800830E}</x14:id>
        </ext>
      </extLst>
    </cfRule>
    <cfRule type="dataBar" priority="1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{EC031F6E-BC87-4181-8E25-0977512A4DB8}</x14:id>
        </ext>
      </extLst>
    </cfRule>
    <cfRule type="dataBar" priority="129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{90BC97E7-4F43-4FA5-88D3-0E49BE12282F}</x14:id>
        </ext>
      </extLst>
    </cfRule>
    <cfRule type="dataBar" priority="13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{78A53CFA-E787-4F10-9637-795551EAC3DE}</x14:id>
        </ext>
      </extLst>
    </cfRule>
    <cfRule type="dataBar" priority="12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{9B610C24-B55A-4940-AB15-0211605EEACC}</x14:id>
        </ext>
      </extLst>
    </cfRule>
    <cfRule type="dataBar" priority="130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{2086EA79-6DFE-438F-BD12-86D13082A0D9}</x14:id>
        </ext>
      </extLst>
    </cfRule>
    <cfRule type="dataBar" priority="131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{8E961E32-1893-4FBD-8C7A-D06B6F7B1C2B}</x14:id>
        </ext>
      </extLst>
    </cfRule>
    <cfRule type="dataBar" priority="12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{622920EF-D6C2-479F-B8AD-8589EBD16102}</x14:id>
        </ext>
      </extLst>
    </cfRule>
    <cfRule type="dataBar" priority="131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{A2EF16FE-25B4-429F-8636-91CE249DEA3A}</x14:id>
        </ext>
      </extLst>
    </cfRule>
    <cfRule type="dataBar" priority="1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{CC03C4E6-5DDB-425A-AFAB-D6DDEAC538A7}</x14:id>
        </ext>
      </extLst>
    </cfRule>
    <cfRule type="dataBar" priority="13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{FA5957BA-87C4-4981-AE63-BFC8B4CB036B}</x14:id>
        </ext>
      </extLst>
    </cfRule>
    <cfRule type="dataBar" priority="129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{41A8726C-34FC-48BE-B3D4-599205FC0A4D}</x14:id>
        </ext>
      </extLst>
    </cfRule>
    <cfRule type="dataBar" priority="1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{98A99D9C-EDEF-48D7-B4AA-E65A1E0D99C0}</x14:id>
        </ext>
      </extLst>
    </cfRule>
    <cfRule type="dataBar" priority="1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{E370FD5E-81AC-4A8D-A58C-A0C1E5FD2760}</x14:id>
        </ext>
      </extLst>
    </cfRule>
    <cfRule type="dataBar" priority="12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{3A4A6662-2126-4EBF-ABBC-ABFA57A25192}</x14:id>
        </ext>
      </extLst>
    </cfRule>
    <cfRule type="dataBar" priority="129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{CC864818-DFE9-4446-ABD9-BDC67677C0F3}</x14:id>
        </ext>
      </extLst>
    </cfRule>
    <cfRule type="dataBar" priority="130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{2C938C88-FCC5-4262-B58E-17467354BAB4}</x14:id>
        </ext>
      </extLst>
    </cfRule>
    <cfRule type="dataBar" priority="131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{8C580894-E12A-4296-AFBB-EDC92F232AD5}</x14:id>
        </ext>
      </extLst>
    </cfRule>
    <cfRule type="dataBar" priority="130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{9A303903-AAF7-4BB5-813B-BD2E0CF2EDCB}</x14:id>
        </ext>
      </extLst>
    </cfRule>
    <cfRule type="dataBar" priority="1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{9ED04F94-A42A-4C7E-9D86-84499D8CCF3F}</x14:id>
        </ext>
      </extLst>
    </cfRule>
    <cfRule type="dataBar" priority="12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{B75DAA4A-5D77-4E9A-88D1-89A2E367A7B6}</x14:id>
        </ext>
      </extLst>
    </cfRule>
    <cfRule type="dataBar" priority="12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{1C43241B-AF6E-41F2-859F-F38D3A0EAF1E}</x14:id>
        </ext>
      </extLst>
    </cfRule>
    <cfRule type="dataBar" priority="1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{42FB6237-A96D-4EC6-B089-BA92DD4028F6}</x14:id>
        </ext>
      </extLst>
    </cfRule>
    <cfRule type="dataBar" priority="12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{8A990898-AEB8-486E-9163-0401925D8204}</x14:id>
        </ext>
      </extLst>
    </cfRule>
    <cfRule type="dataBar" priority="12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{278C3429-C448-4A09-93E6-8A9DDF4C9383}</x14:id>
        </ext>
      </extLst>
    </cfRule>
    <cfRule type="dataBar" priority="12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{B431986E-5F86-4443-A0E4-7BF4E677F672}</x14:id>
        </ext>
      </extLst>
    </cfRule>
    <cfRule type="dataBar" priority="130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{382E6F1A-9EED-418F-9842-F1195A8A1280}</x14:id>
        </ext>
      </extLst>
    </cfRule>
    <cfRule type="dataBar" priority="1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{B9D4D478-DE92-4FB2-8C83-0A381C8751A9}</x14:id>
        </ext>
      </extLst>
    </cfRule>
  </conditionalFormatting>
  <conditionalFormatting sqref="AQ6:AQ7">
    <cfRule type="dataBar" priority="128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{49B81035-48B9-4AE1-8E40-BF4D24E6CC45}</x14:id>
        </ext>
      </extLst>
    </cfRule>
    <cfRule type="dataBar" priority="12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{5D7DDA83-A587-4C3D-94FD-737C6416B00B}</x14:id>
        </ext>
      </extLst>
    </cfRule>
    <cfRule type="dataBar" priority="12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{10C2A390-EFB8-42C0-8B19-6E5BF828BBF1}</x14:id>
        </ext>
      </extLst>
    </cfRule>
    <cfRule type="dataBar" priority="12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{A079905F-F1E8-48D2-B258-79591DCD817B}</x14:id>
        </ext>
      </extLst>
    </cfRule>
    <cfRule type="dataBar" priority="12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{EC3354DD-A911-4441-94DA-7DC8EA4418EE}</x14:id>
        </ext>
      </extLst>
    </cfRule>
    <cfRule type="dataBar" priority="12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{8C59A2F1-170D-4DFD-BFE2-607E7C0E9174}</x14:id>
        </ext>
      </extLst>
    </cfRule>
    <cfRule type="dataBar" priority="1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{6D0E8B84-D49A-4B27-8584-F654639221F2}</x14:id>
        </ext>
      </extLst>
    </cfRule>
    <cfRule type="dataBar" priority="12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{A0930FD2-CEBA-433D-923B-4BEE6A2C83B1}</x14:id>
        </ext>
      </extLst>
    </cfRule>
    <cfRule type="dataBar" priority="12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{C080CB91-6CE2-4F58-9FAC-E0C4B0341C04}</x14:id>
        </ext>
      </extLst>
    </cfRule>
    <cfRule type="dataBar" priority="12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{B7E155FA-D7EE-41DF-B95B-7469F92D7986}</x14:id>
        </ext>
      </extLst>
    </cfRule>
    <cfRule type="dataBar" priority="12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{9E3B56B9-4CA9-4E2F-B449-8C374C0E8AD2}</x14:id>
        </ext>
      </extLst>
    </cfRule>
    <cfRule type="dataBar" priority="1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{4D9EA4AF-6666-46A7-ACB5-95D1B37E949D}</x14:id>
        </ext>
      </extLst>
    </cfRule>
    <cfRule type="dataBar" priority="12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{36673473-83CF-4C4F-9091-73035B84D072}</x14:id>
        </ext>
      </extLst>
    </cfRule>
    <cfRule type="dataBar" priority="126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{6BCCCCFB-CA53-4931-B94C-C45E994E4AC9}</x14:id>
        </ext>
      </extLst>
    </cfRule>
    <cfRule type="dataBar" priority="1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{FF4BE70A-813D-4B91-B62E-29C80E155D83}</x14:id>
        </ext>
      </extLst>
    </cfRule>
    <cfRule type="dataBar" priority="12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{55D5AA06-93E6-4EF0-B5EE-C419FBF40DF4}</x14:id>
        </ext>
      </extLst>
    </cfRule>
    <cfRule type="dataBar" priority="12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{B7819A5F-CFFA-4CCF-9655-209DAC85994A}</x14:id>
        </ext>
      </extLst>
    </cfRule>
    <cfRule type="dataBar" priority="12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{FCCE0BA8-D0C8-463B-8C1A-18213391C38C}</x14:id>
        </ext>
      </extLst>
    </cfRule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{8927CC03-AD4A-4788-896B-616EA8F67874}</x14:id>
        </ext>
      </extLst>
    </cfRule>
    <cfRule type="dataBar" priority="1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{F9B93AC5-EF06-4442-BF14-40464E61C22E}</x14:id>
        </ext>
      </extLst>
    </cfRule>
    <cfRule type="dataBar" priority="1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{2574278B-2F2B-4D9F-B8FD-ADF68376A648}</x14:id>
        </ext>
      </extLst>
    </cfRule>
    <cfRule type="dataBar" priority="12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{C4DBE151-3E5D-4016-8747-9C18CF667E79}</x14:id>
        </ext>
      </extLst>
    </cfRule>
    <cfRule type="dataBar" priority="12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{E14107DA-3BE9-4CA1-9E73-5D335BF504AC}</x14:id>
        </ext>
      </extLst>
    </cfRule>
    <cfRule type="dataBar" priority="127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{542F9537-106D-4F48-9E9B-F4730F2ECBE6}</x14:id>
        </ext>
      </extLst>
    </cfRule>
    <cfRule type="dataBar" priority="128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{03BE5CFA-1FB1-4632-BF8B-AAF44F64D9C7}</x14:id>
        </ext>
      </extLst>
    </cfRule>
    <cfRule type="dataBar" priority="128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{DF045DDE-5AF7-4BD2-975E-2AEFD2D78EB9}</x14:id>
        </ext>
      </extLst>
    </cfRule>
    <cfRule type="dataBar" priority="128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{B78A9DF1-5FDA-4F72-BD19-98EE06206481}</x14:id>
        </ext>
      </extLst>
    </cfRule>
    <cfRule type="dataBar" priority="1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{FE394C89-88E4-479C-83EA-6FD21B1B3AED}</x14:id>
        </ext>
      </extLst>
    </cfRule>
    <cfRule type="dataBar" priority="12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{60E3A4FA-0C93-46C3-9F84-FA0F2AF56FFA}</x14:id>
        </ext>
      </extLst>
    </cfRule>
    <cfRule type="dataBar" priority="12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{55F617DA-A429-4093-A96C-F41254A95AD2}</x14:id>
        </ext>
      </extLst>
    </cfRule>
  </conditionalFormatting>
  <conditionalFormatting sqref="AQ8">
    <cfRule type="dataBar" priority="74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{84CCD0C2-16A8-4B88-B50A-55628BD7111B}</x14:id>
        </ext>
      </extLst>
    </cfRule>
    <cfRule type="dataBar" priority="74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{D80A4E45-BD1F-45B0-A256-73C8617500B0}</x14:id>
        </ext>
      </extLst>
    </cfRule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{1A236087-A373-4B0F-A80C-4C4590CF34D6}</x14:id>
        </ext>
      </extLst>
    </cfRule>
    <cfRule type="dataBar" priority="7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{82E2322B-331C-4BDE-99B7-9C520358DBA3}</x14:id>
        </ext>
      </extLst>
    </cfRule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{4E7617F4-58E0-462D-AE60-364DECEFD0BC}</x14:id>
        </ext>
      </extLst>
    </cfRule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{056DE274-0616-4FEF-84FC-97FB799E1BA5}</x14:id>
        </ext>
      </extLst>
    </cfRule>
    <cfRule type="dataBar" priority="7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{AB4AD3E0-DFE8-410D-BDE8-0894249ABD71}</x14:id>
        </ext>
      </extLst>
    </cfRule>
    <cfRule type="dataBar" priority="73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{25137213-786C-436C-A90F-A3A7BB01E43B}</x14:id>
        </ext>
      </extLst>
    </cfRule>
    <cfRule type="dataBar" priority="7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{7EBBCFA9-1D78-49E3-A42E-5E8B78B6C7F6}</x14:id>
        </ext>
      </extLst>
    </cfRule>
    <cfRule type="dataBar" priority="7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{411DE9B8-44E4-42EC-91FA-D2C9F89DA91F}</x14:id>
        </ext>
      </extLst>
    </cfRule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{52AEA47D-79AE-4C96-889D-911F32500CBA}</x14:id>
        </ext>
      </extLst>
    </cfRule>
    <cfRule type="dataBar" priority="74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{51276132-5BA5-4920-8CFD-B8121E0BC737}</x14:id>
        </ext>
      </extLst>
    </cfRule>
    <cfRule type="dataBar" priority="74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{E74A5F09-4697-4320-8AE8-459DD996F71C}</x14:id>
        </ext>
      </extLst>
    </cfRule>
  </conditionalFormatting>
  <conditionalFormatting sqref="AQ9:AQ10">
    <cfRule type="dataBar" priority="124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{3CF85BF8-93CE-4AD8-B602-1F967284CE42}</x14:id>
        </ext>
      </extLst>
    </cfRule>
    <cfRule type="dataBar" priority="125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{D9DE1585-36B0-455C-9A97-166E5DDBB4A2}</x14:id>
        </ext>
      </extLst>
    </cfRule>
    <cfRule type="dataBar" priority="124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{62642A5A-05D3-4CF7-B1AA-C0A41B6D4AC4}</x14:id>
        </ext>
      </extLst>
    </cfRule>
    <cfRule type="dataBar" priority="124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{05B4E7DD-7D91-41D4-B44F-FFF654A8BDD1}</x14:id>
        </ext>
      </extLst>
    </cfRule>
    <cfRule type="dataBar" priority="123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{F1B6458A-9065-4042-9D34-B33FF872563D}</x14:id>
        </ext>
      </extLst>
    </cfRule>
    <cfRule type="dataBar" priority="12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{C13DB748-3D9E-431E-AB46-341B52658277}</x14:id>
        </ext>
      </extLst>
    </cfRule>
    <cfRule type="dataBar" priority="1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{06EDCA1B-6117-4BF4-A4C3-2D2C6611B510}</x14:id>
        </ext>
      </extLst>
    </cfRule>
    <cfRule type="dataBar" priority="1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{5D7D85D6-E30A-4833-8786-C264D0A21EBC}</x14:id>
        </ext>
      </extLst>
    </cfRule>
    <cfRule type="dataBar" priority="12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{D423F4DA-E2CC-4DE2-8985-8AA89F66BC7B}</x14:id>
        </ext>
      </extLst>
    </cfRule>
    <cfRule type="dataBar" priority="124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{0013FAB4-C16E-4BD8-8D51-662F887336E4}</x14:id>
        </ext>
      </extLst>
    </cfRule>
    <cfRule type="dataBar" priority="12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{15A26120-69E8-40C6-BB00-A6107193BED2}</x14:id>
        </ext>
      </extLst>
    </cfRule>
    <cfRule type="dataBar" priority="1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{762698FC-D077-42A7-B418-840C86194AAC}</x14:id>
        </ext>
      </extLst>
    </cfRule>
    <cfRule type="dataBar" priority="1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{B464C6E9-23B5-4634-8734-78D7D5DB9E48}</x14:id>
        </ext>
      </extLst>
    </cfRule>
    <cfRule type="dataBar" priority="12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{1A14B679-F48A-4D14-97AE-FC9A4A777C51}</x14:id>
        </ext>
      </extLst>
    </cfRule>
    <cfRule type="dataBar" priority="1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{B2CF35A2-10E9-4DD5-9B37-560CB703AE95}</x14:id>
        </ext>
      </extLst>
    </cfRule>
    <cfRule type="dataBar" priority="125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{D988E2A4-6BAF-42E9-9137-9F8959FC5F9A}</x14:id>
        </ext>
      </extLst>
    </cfRule>
    <cfRule type="dataBar" priority="125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{A7A57D0A-2AD8-49EC-8EB5-14446A82D99E}</x14:id>
        </ext>
      </extLst>
    </cfRule>
    <cfRule type="dataBar" priority="125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{F1DB8A4B-1748-4993-8436-17BC6BD7DB21}</x14:id>
        </ext>
      </extLst>
    </cfRule>
    <cfRule type="dataBar" priority="1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{1BA0EA71-F60C-4282-8E6A-881005068195}</x14:id>
        </ext>
      </extLst>
    </cfRule>
    <cfRule type="dataBar" priority="12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{0FBD16EB-C6AF-458C-801A-7FFBCF648BE5}</x14:id>
        </ext>
      </extLst>
    </cfRule>
    <cfRule type="dataBar" priority="122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{DC53E42B-4E6D-43C4-B05B-4E4269BB8DE7}</x14:id>
        </ext>
      </extLst>
    </cfRule>
    <cfRule type="dataBar" priority="12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{ABE080FA-1C6B-4106-81C1-7597541307B4}</x14:id>
        </ext>
      </extLst>
    </cfRule>
    <cfRule type="dataBar" priority="12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{714E5A2B-4265-41F5-AB5B-779C90683459}</x14:id>
        </ext>
      </extLst>
    </cfRule>
    <cfRule type="dataBar" priority="12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{9FFC0F24-2214-4B0E-A0C8-FDFC9C9A61A8}</x14:id>
        </ext>
      </extLst>
    </cfRule>
    <cfRule type="dataBar" priority="1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{ACE07826-0FCD-4813-95B7-7E9157ACEF3A}</x14:id>
        </ext>
      </extLst>
    </cfRule>
    <cfRule type="dataBar" priority="123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{B13D743D-4DA1-4BF9-B0DC-C66C2B9CB77D}</x14:id>
        </ext>
      </extLst>
    </cfRule>
    <cfRule type="dataBar" priority="12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{FD511747-9956-44D0-9C64-969CFC70620F}</x14:id>
        </ext>
      </extLst>
    </cfRule>
    <cfRule type="dataBar" priority="12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{6CB7E176-3C30-487C-9954-024DAE0FA3AB}</x14:id>
        </ext>
      </extLst>
    </cfRule>
    <cfRule type="dataBar" priority="1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{D3F0BB67-F6D8-439C-97AE-040FD18E31AB}</x14:id>
        </ext>
      </extLst>
    </cfRule>
    <cfRule type="dataBar" priority="122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{041B28C7-6BE2-449D-863E-01C2495ECCAD}</x14:id>
        </ext>
      </extLst>
    </cfRule>
  </conditionalFormatting>
  <conditionalFormatting sqref="AQ11">
    <cfRule type="dataBar" priority="3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{D9FDE040-788E-433F-B960-DE3D524D0713}</x14:id>
        </ext>
      </extLst>
    </cfRule>
    <cfRule type="dataBar" priority="37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{DB117010-4591-489C-B466-41D2210C4910}</x14:id>
        </ext>
      </extLst>
    </cfRule>
    <cfRule type="dataBar" priority="35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{826344D4-C234-4D9C-9625-A94C44068BC9}</x14:id>
        </ext>
      </extLst>
    </cfRule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{D3EC0E2D-F8F7-4E75-AA35-C9634E61EA7A}</x14:id>
        </ext>
      </extLst>
    </cfRule>
    <cfRule type="dataBar" priority="37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{4DF96E8F-FA85-4CC6-B85B-0F4DD18D1008}</x14:id>
        </ext>
      </extLst>
    </cfRule>
    <cfRule type="dataBar" priority="36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{B592B7FA-8A17-4CEA-ACB6-2A21B8DD2F86}</x14:id>
        </ext>
      </extLst>
    </cfRule>
    <cfRule type="dataBar" priority="36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{FA23AA00-EB02-4C7C-94B2-52B7D77C480E}</x14:id>
        </ext>
      </extLst>
    </cfRule>
    <cfRule type="dataBar" priority="3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{F9221619-C582-430B-BDEE-94BE4E677E97}</x14:id>
        </ext>
      </extLst>
    </cfRule>
    <cfRule type="dataBar" priority="36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{B0E9EF42-3DDF-4998-9CAF-F3EAEB93CFD3}</x14:id>
        </ext>
      </extLst>
    </cfRule>
    <cfRule type="dataBar" priority="36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{BA463AC5-C97C-4A7E-A661-8B382E44D22E}</x14:id>
        </ext>
      </extLst>
    </cfRule>
    <cfRule type="dataBar" priority="3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{61A4C7BB-42F6-47C1-94CE-F1558304A6C1}</x14:id>
        </ext>
      </extLst>
    </cfRule>
    <cfRule type="dataBar" priority="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{5726C477-1D7F-468B-A7D8-6FC8DD5C8C0E}</x14:id>
        </ext>
      </extLst>
    </cfRule>
    <cfRule type="dataBar" priority="35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{8DB9ECD5-5590-471F-BB59-2CA4401B9860}</x14:id>
        </ext>
      </extLst>
    </cfRule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{19A12E9A-EB89-4057-BBBF-FDC03F01E667}</x14:id>
        </ext>
      </extLst>
    </cfRule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{8515352E-9C0E-4F0C-861D-9BC68117A482}</x14:id>
        </ext>
      </extLst>
    </cfRule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{9C3B0D76-EE20-4455-98E5-615BD39BD2DB}</x14:id>
        </ext>
      </extLst>
    </cfRule>
    <cfRule type="dataBar" priority="3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{F8174CE8-D1AF-46BE-A882-0036510FF706}</x14:id>
        </ext>
      </extLst>
    </cfRule>
    <cfRule type="dataBar" priority="3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{6C3202B5-20FA-4BD7-A49E-9267C33AA712}</x14:id>
        </ext>
      </extLst>
    </cfRule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{A8513DC4-E202-49D5-805B-1B7AAD894A69}</x14:id>
        </ext>
      </extLst>
    </cfRule>
    <cfRule type="dataBar" priority="3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{CB383DF2-A642-407F-B61E-32EE77EFC9DD}</x14:id>
        </ext>
      </extLst>
    </cfRule>
    <cfRule type="dataBar" priority="3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{C4E17A43-BC95-48D9-B9E0-DB2031B1F1DC}</x14:id>
        </ext>
      </extLst>
    </cfRule>
    <cfRule type="dataBar" priority="35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{7C5F191E-01D5-4613-BD68-8E6D01F24D6B}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{67152BCB-9D7B-4035-810E-15EF052DB14D}</x14:id>
        </ext>
      </extLst>
    </cfRule>
    <cfRule type="dataBar" priority="3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{DDE3DE10-EBEA-4AE9-9145-375008882F1A}</x14:id>
        </ext>
      </extLst>
    </cfRule>
    <cfRule type="dataBar" priority="3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{A26A3734-3435-4A7C-9C11-D0618869476B}</x14:id>
        </ext>
      </extLst>
    </cfRule>
    <cfRule type="dataBar" priority="3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{E4736475-F2A0-436A-AF95-FC770B3CD151}</x14:id>
        </ext>
      </extLst>
    </cfRule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{3F00BAFC-749D-4CA5-AADD-ABBD90DF2E5F}</x14:id>
        </ext>
      </extLst>
    </cfRule>
    <cfRule type="dataBar" priority="35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{30D20957-71CC-4617-8869-3FBFB53CD713}</x14:id>
        </ext>
      </extLst>
    </cfRule>
    <cfRule type="dataBar" priority="35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{8513F175-EB34-4B1C-BBB2-005DAEDF1D87}</x14:id>
        </ext>
      </extLst>
    </cfRule>
    <cfRule type="dataBar" priority="35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{68E8B388-6614-4F4B-817D-00A50EB40122}</x14:id>
        </ext>
      </extLst>
    </cfRule>
  </conditionalFormatting>
  <conditionalFormatting sqref="AQ12:AQ13">
    <cfRule type="dataBar" priority="7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{0CCFBCB9-D566-4121-B563-3A96B21B03FF}</x14:id>
        </ext>
      </extLst>
    </cfRule>
    <cfRule type="dataBar" priority="7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{86AC2EBD-C28B-4EE0-BFA7-72879144EC10}</x14:id>
        </ext>
      </extLst>
    </cfRule>
    <cfRule type="dataBar" priority="7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{326E8F44-540C-4CF2-A4D0-7CF3FADC68B0}</x14:id>
        </ext>
      </extLst>
    </cfRule>
    <cfRule type="dataBar" priority="7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{73F3AD09-2E9E-49DC-BC74-7F524BB84850}</x14:id>
        </ext>
      </extLst>
    </cfRule>
    <cfRule type="dataBar" priority="73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{99CA7B4A-3571-49B3-B175-C935E297446A}</x14:id>
        </ext>
      </extLst>
    </cfRule>
    <cfRule type="dataBar" priority="7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{01235188-47AE-4CE4-91CF-08FCF4E107C0}</x14:id>
        </ext>
      </extLst>
    </cfRule>
    <cfRule type="dataBar" priority="7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{69A1338C-88C9-4DFC-A636-395253BC9BC9}</x14:id>
        </ext>
      </extLst>
    </cfRule>
    <cfRule type="dataBar" priority="7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{60181529-0627-425E-93A7-B9FC3FDCC22E}</x14:id>
        </ext>
      </extLst>
    </cfRule>
    <cfRule type="dataBar" priority="7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{6FC2AF37-344C-404E-9DD3-4FAE812589C4}</x14:id>
        </ext>
      </extLst>
    </cfRule>
    <cfRule type="dataBar" priority="7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{FC22F7A3-6079-434B-8DB4-C8D9B310182A}</x14:id>
        </ext>
      </extLst>
    </cfRule>
    <cfRule type="dataBar" priority="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{E580116E-313F-4AD2-92E0-1A3BF78C4E24}</x14:id>
        </ext>
      </extLst>
    </cfRule>
    <cfRule type="dataBar" priority="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{94864750-B315-4BA1-8BF9-A1A5AB9FDE27}</x14:id>
        </ext>
      </extLst>
    </cfRule>
    <cfRule type="dataBar" priority="7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{FF796586-4F6D-459D-A341-ED216F9F599B}</x14:id>
        </ext>
      </extLst>
    </cfRule>
  </conditionalFormatting>
  <conditionalFormatting sqref="AQ14:AQ19">
    <cfRule type="dataBar" priority="15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{28CFB70A-D793-400D-8A2A-28DA19021039}</x14:id>
        </ext>
      </extLst>
    </cfRule>
    <cfRule type="dataBar" priority="15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{7A881DFC-54CE-4DDF-94EA-264671FC62D3}</x14:id>
        </ext>
      </extLst>
    </cfRule>
    <cfRule type="dataBar" priority="1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{7917A93D-3819-4C03-B13C-ADF250B9C717}</x14:id>
        </ext>
      </extLst>
    </cfRule>
    <cfRule type="dataBar" priority="15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{0536FAF6-2F2E-431D-8DFF-BA9F2D99C5A0}</x14:id>
        </ext>
      </extLst>
    </cfRule>
    <cfRule type="dataBar" priority="15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{7D7D937A-13A5-42F4-A481-199508DB5EFC}</x14:id>
        </ext>
      </extLst>
    </cfRule>
    <cfRule type="dataBar" priority="1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{B00B5049-1151-453C-B3AD-438E2E43F048}</x14:id>
        </ext>
      </extLst>
    </cfRule>
    <cfRule type="dataBar" priority="15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{DDBB7280-91D3-4F51-BD25-5233B9F70699}</x14:id>
        </ext>
      </extLst>
    </cfRule>
    <cfRule type="dataBar" priority="15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{09C059AD-D852-4192-BEC3-81E3BCCF2253}</x14:id>
        </ext>
      </extLst>
    </cfRule>
    <cfRule type="dataBar" priority="15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{D7E5BCC8-3779-4A00-AC08-AFF7668CB205}</x14:id>
        </ext>
      </extLst>
    </cfRule>
    <cfRule type="dataBar" priority="15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{1B99D6F2-8FF6-4759-BCB1-784232E04698}</x14:id>
        </ext>
      </extLst>
    </cfRule>
    <cfRule type="dataBar" priority="15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{A5C20428-5AB6-4AD9-920A-F0436579F2FE}</x14:id>
        </ext>
      </extLst>
    </cfRule>
    <cfRule type="dataBar" priority="15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{DA75CAA9-BFA6-4579-B668-CB24EDF17997}</x14:id>
        </ext>
      </extLst>
    </cfRule>
    <cfRule type="dataBar" priority="15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{AB44B2FF-BB31-4E52-9D06-42D768A26310}</x14:id>
        </ext>
      </extLst>
    </cfRule>
    <cfRule type="dataBar" priority="1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{F6242157-4708-4A53-A87F-BA48F9C5152A}</x14:id>
        </ext>
      </extLst>
    </cfRule>
    <cfRule type="dataBar" priority="15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{0A361151-CBC2-4250-95F2-B1594182CA81}</x14:id>
        </ext>
      </extLst>
    </cfRule>
    <cfRule type="dataBar" priority="157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{95E19100-5DC0-4122-85CE-20C3E1F02FF9}</x14:id>
        </ext>
      </extLst>
    </cfRule>
    <cfRule type="dataBar" priority="1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{491FCD3C-9A14-4A4B-97D0-210B5552B267}</x14:id>
        </ext>
      </extLst>
    </cfRule>
    <cfRule type="dataBar" priority="158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{370968F0-9ED3-400B-B60B-EF4464C5DAAE}</x14:id>
        </ext>
      </extLst>
    </cfRule>
    <cfRule type="dataBar" priority="15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{791B4819-AA6C-4A0C-8142-BAB73AD18FCF}</x14:id>
        </ext>
      </extLst>
    </cfRule>
    <cfRule type="dataBar" priority="15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{896F0FC7-14DE-4A62-931B-547197A56BA0}</x14:id>
        </ext>
      </extLst>
    </cfRule>
    <cfRule type="dataBar" priority="1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{B19A37A6-8713-45AA-B467-C7619EFB758F}</x14:id>
        </ext>
      </extLst>
    </cfRule>
    <cfRule type="dataBar" priority="15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{2AB0936E-9BC3-4D67-8092-386704804780}</x14:id>
        </ext>
      </extLst>
    </cfRule>
    <cfRule type="dataBar" priority="15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{C2F61614-3C4D-4E33-B62F-67B62AD172D2}</x14:id>
        </ext>
      </extLst>
    </cfRule>
    <cfRule type="dataBar" priority="1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{5FABD5C2-0287-459E-9562-E793DA719EE2}</x14:id>
        </ext>
      </extLst>
    </cfRule>
    <cfRule type="dataBar" priority="15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{9413CBCD-8026-4A6F-9010-943804B15749}</x14:id>
        </ext>
      </extLst>
    </cfRule>
    <cfRule type="dataBar" priority="158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{E9DEA355-0C87-40D3-95F1-A6F9EF2C68A9}</x14:id>
        </ext>
      </extLst>
    </cfRule>
    <cfRule type="dataBar" priority="158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{5D7F1CFB-BA85-4806-AB17-3D6E3708409B}</x14:id>
        </ext>
      </extLst>
    </cfRule>
    <cfRule type="dataBar" priority="15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{55E2CB52-2B98-48FC-BBDF-18D80278E4B1}</x14:id>
        </ext>
      </extLst>
    </cfRule>
    <cfRule type="dataBar" priority="158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{0B3C9FC6-1E0C-411A-81F3-E29F6FEB4F33}</x14:id>
        </ext>
      </extLst>
    </cfRule>
    <cfRule type="dataBar" priority="156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{2D86AEEC-31BD-4061-A117-26ACC03864FD}</x14:id>
        </ext>
      </extLst>
    </cfRule>
  </conditionalFormatting>
  <conditionalFormatting sqref="AQ20">
    <cfRule type="dataBar" priority="70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{AC973197-994D-45ED-AC7E-4941A97FCEF0}</x14:id>
        </ext>
      </extLst>
    </cfRule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{207A3248-6632-482E-9D75-0F1140AFCDBB}</x14:id>
        </ext>
      </extLst>
    </cfRule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{F3CF390E-A2AE-49EA-873E-CB4C203A8D64}</x14:id>
        </ext>
      </extLst>
    </cfRule>
    <cfRule type="dataBar" priority="71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{FE461BBF-8F43-4401-A6E3-147B324C1A19}</x14:id>
        </ext>
      </extLst>
    </cfRule>
    <cfRule type="dataBar" priority="71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{ABA64973-1859-4A4C-9BD7-0F310B6838DF}</x14:id>
        </ext>
      </extLst>
    </cfRule>
    <cfRule type="dataBar" priority="7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{F21FE601-EAB5-4ED5-BD2B-3B4E1E7AF52B}</x14:id>
        </ext>
      </extLst>
    </cfRule>
    <cfRule type="dataBar" priority="71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{DD5BBDA9-9CB4-429F-A240-4EC575E60B13}</x14:id>
        </ext>
      </extLst>
    </cfRule>
    <cfRule type="dataBar" priority="71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{05174EFC-CDA4-4EB0-9E7D-E31B8D2F3036}</x14:id>
        </ext>
      </extLst>
    </cfRule>
    <cfRule type="dataBar" priority="71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{B36D303C-7BEA-4BAE-AC18-67B9FD3BCFFC}</x14:id>
        </ext>
      </extLst>
    </cfRule>
    <cfRule type="dataBar" priority="71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{C131064A-D7BB-47FC-A0E8-BA4786A9F532}</x14:id>
        </ext>
      </extLst>
    </cfRule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{8026FBA0-E50C-45B8-B43A-D4B4456C22FA}</x14:id>
        </ext>
      </extLst>
    </cfRule>
    <cfRule type="dataBar" priority="7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{E64D6735-E3E4-4AEB-B7F6-2CDE6869DF01}</x14:id>
        </ext>
      </extLst>
    </cfRule>
    <cfRule type="dataBar" priority="72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{10EF94AC-55C6-409B-BD68-C398C09328ED}</x14:id>
        </ext>
      </extLst>
    </cfRule>
  </conditionalFormatting>
  <conditionalFormatting sqref="AQ21:AQ24">
    <cfRule type="dataBar" priority="51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{99E7775A-0DBF-4C54-A05D-68D14F97FFD4}</x14:id>
        </ext>
      </extLst>
    </cfRule>
    <cfRule type="dataBar" priority="51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{BD803CE7-EEFB-4354-BBC2-EE7D9B5607D5}</x14:id>
        </ext>
      </extLst>
    </cfRule>
    <cfRule type="dataBar" priority="51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{EC198589-9085-4761-A9F4-D85D2E497C2C}</x14:id>
        </ext>
      </extLst>
    </cfRule>
    <cfRule type="dataBar" priority="516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{56ABB32F-0B17-4DF8-BE30-059956F1C0EF}</x14:id>
        </ext>
      </extLst>
    </cfRule>
    <cfRule type="dataBar" priority="5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{79D80441-6C57-45F5-853F-C4D376AFCC12}</x14:id>
        </ext>
      </extLst>
    </cfRule>
    <cfRule type="dataBar" priority="514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{525933B0-1AD0-45F5-891B-1CC7D0F23B8C}</x14:id>
        </ext>
      </extLst>
    </cfRule>
    <cfRule type="dataBar" priority="51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{A2C656FA-7DC3-442A-B6BB-015DC10DA010}</x14:id>
        </ext>
      </extLst>
    </cfRule>
    <cfRule type="dataBar" priority="514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{772DC03E-B944-486C-BB4E-F154496EE2BE}</x14:id>
        </ext>
      </extLst>
    </cfRule>
    <cfRule type="dataBar" priority="51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{F6EC8159-DD52-46AB-84F5-6E4FBE7F3DB3}</x14:id>
        </ext>
      </extLst>
    </cfRule>
    <cfRule type="dataBar" priority="5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{B65F6048-2D39-4F97-923A-533E40DF4A53}</x14:id>
        </ext>
      </extLst>
    </cfRule>
    <cfRule type="dataBar" priority="5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{9B678261-BF44-451F-BF47-2B9647CE0F16}</x14:id>
        </ext>
      </extLst>
    </cfRule>
    <cfRule type="dataBar" priority="5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{9BA7F143-1B3A-4CCC-AFA6-1CAE53EBDBE9}</x14:id>
        </ext>
      </extLst>
    </cfRule>
    <cfRule type="dataBar" priority="514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{BA2B240B-62D0-4B9C-BD01-C1C5DE384496}</x14:id>
        </ext>
      </extLst>
    </cfRule>
    <cfRule type="dataBar" priority="5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{86A63E31-6820-4057-B5E0-A40BE99035B6}</x14:id>
        </ext>
      </extLst>
    </cfRule>
    <cfRule type="dataBar" priority="514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{5F66AC91-A7EB-49CE-9D44-99038665AD8C}</x14:id>
        </ext>
      </extLst>
    </cfRule>
    <cfRule type="dataBar" priority="514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{E58D3547-D46B-4559-A719-A7A05854CF73}</x14:id>
        </ext>
      </extLst>
    </cfRule>
    <cfRule type="dataBar" priority="514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{6594A30F-E5F8-469E-911B-2BB4B3743239}</x14:id>
        </ext>
      </extLst>
    </cfRule>
  </conditionalFormatting>
  <conditionalFormatting sqref="AQ25">
    <cfRule type="dataBar" priority="70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{7B581E62-20CD-4480-A74E-0BB43A792C4F}</x14:id>
        </ext>
      </extLst>
    </cfRule>
    <cfRule type="dataBar" priority="70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{3E848196-765D-4635-9364-9C5E13B1B833}</x14:id>
        </ext>
      </extLst>
    </cfRule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{CE7B0EBC-3324-4457-961B-74735435635B}</x14:id>
        </ext>
      </extLst>
    </cfRule>
    <cfRule type="dataBar" priority="70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{5EBA6382-E9D7-4905-BB91-FF06A05C56D1}</x14:id>
        </ext>
      </extLst>
    </cfRule>
    <cfRule type="dataBar" priority="70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{347AEC44-DC8F-4D8A-B7EC-F0786889096D}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{3C292334-EDAC-48A9-B33A-D05235C69029}</x14:id>
        </ext>
      </extLst>
    </cfRule>
    <cfRule type="dataBar" priority="70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{2B7BDB06-1F3F-43D6-A508-8C77A7F07937}</x14:id>
        </ext>
      </extLst>
    </cfRule>
    <cfRule type="dataBar" priority="7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{FB0D2708-BAF1-4EBE-ACBB-3BFDFD4B9A28}</x14:id>
        </ext>
      </extLst>
    </cfRule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{710D0433-09F1-41B8-836C-347CB88D0C7E}</x14:id>
        </ext>
      </extLst>
    </cfRule>
    <cfRule type="dataBar" priority="6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{F375A0E7-4837-4DCA-974C-23317208A3C9}</x14:id>
        </ext>
      </extLst>
    </cfRule>
    <cfRule type="dataBar" priority="69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{B37C0217-C1B7-488E-A124-6FD4850B8AA9}</x14:id>
        </ext>
      </extLst>
    </cfRule>
    <cfRule type="dataBar" priority="70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{56220318-C1B7-480D-914F-EBF56530CDDD}</x14:id>
        </ext>
      </extLst>
    </cfRule>
    <cfRule type="dataBar" priority="69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{4916D562-365C-4EDD-AFEE-29D6DD5C0203}</x14:id>
        </ext>
      </extLst>
    </cfRule>
  </conditionalFormatting>
  <conditionalFormatting sqref="AQ26:AQ32">
    <cfRule type="dataBar" priority="152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{55699074-A11F-4A14-BEAB-1D80546C9E7C}</x14:id>
        </ext>
      </extLst>
    </cfRule>
    <cfRule type="dataBar" priority="14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{3A1C46D8-9305-48B1-98A8-E200973BB561}</x14:id>
        </ext>
      </extLst>
    </cfRule>
    <cfRule type="dataBar" priority="14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{63848E90-54E2-469F-B834-28A3A95E75D7}</x14:id>
        </ext>
      </extLst>
    </cfRule>
    <cfRule type="dataBar" priority="14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{C850EB5D-1602-4008-992E-1B9F62F24608}</x14:id>
        </ext>
      </extLst>
    </cfRule>
    <cfRule type="dataBar" priority="1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{ABDD685F-4D7D-4D98-A4AA-CD9471C01D29}</x14:id>
        </ext>
      </extLst>
    </cfRule>
    <cfRule type="dataBar" priority="15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{BB92BDD3-63BA-47E0-B295-63F2D689890A}</x14:id>
        </ext>
      </extLst>
    </cfRule>
    <cfRule type="dataBar" priority="1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{243F8D0D-0692-4F4E-9F72-DD8C33625F10}</x14:id>
        </ext>
      </extLst>
    </cfRule>
    <cfRule type="dataBar" priority="15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{227E0D91-D20D-4564-A6D4-4520F9809DBC}</x14:id>
        </ext>
      </extLst>
    </cfRule>
    <cfRule type="dataBar" priority="15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{3106FDBD-401F-45C4-9119-54701B9A116D}</x14:id>
        </ext>
      </extLst>
    </cfRule>
    <cfRule type="dataBar" priority="1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{E779B512-DB73-4D37-B6BE-A9D1EF594C72}</x14:id>
        </ext>
      </extLst>
    </cfRule>
    <cfRule type="dataBar" priority="15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{7D73FC63-C174-4828-88C1-DA930655D8F5}</x14:id>
        </ext>
      </extLst>
    </cfRule>
    <cfRule type="dataBar" priority="1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{119A710B-2B1A-4EFD-9190-0C2CC313E5E5}</x14:id>
        </ext>
      </extLst>
    </cfRule>
    <cfRule type="dataBar" priority="15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{9A392714-1785-4E09-9776-A41C978B232F}</x14:id>
        </ext>
      </extLst>
    </cfRule>
    <cfRule type="dataBar" priority="15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{244DA1C8-6110-47F8-BD37-A4D8F722758B}</x14:id>
        </ext>
      </extLst>
    </cfRule>
    <cfRule type="dataBar" priority="15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{3A36AD92-CBE8-42CD-92FA-D344A671F40B}</x14:id>
        </ext>
      </extLst>
    </cfRule>
    <cfRule type="dataBar" priority="15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{C87083E6-C460-4842-853E-FD3CA14D940D}</x14:id>
        </ext>
      </extLst>
    </cfRule>
    <cfRule type="dataBar" priority="15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{6DFC526C-A924-48B1-B967-936E0C1CE5DA}</x14:id>
        </ext>
      </extLst>
    </cfRule>
    <cfRule type="dataBar" priority="15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{4BE7A286-E219-49A7-9C46-77BE9ABAB634}</x14:id>
        </ext>
      </extLst>
    </cfRule>
    <cfRule type="dataBar" priority="15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{092BC3E1-527D-4AFC-9E35-AD133120F75D}</x14:id>
        </ext>
      </extLst>
    </cfRule>
    <cfRule type="dataBar" priority="1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{08670E49-CB33-476E-8C75-ACF12984C1E9}</x14:id>
        </ext>
      </extLst>
    </cfRule>
    <cfRule type="dataBar" priority="1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{F640D582-BFB8-4A4A-AAE0-B824CAD7E940}</x14:id>
        </ext>
      </extLst>
    </cfRule>
    <cfRule type="dataBar" priority="15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{1E4F10A9-13C0-4C34-A5C5-432316C27379}</x14:id>
        </ext>
      </extLst>
    </cfRule>
    <cfRule type="dataBar" priority="1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{BD3C1AEF-AA67-4757-91A2-D89AC9020FF3}</x14:id>
        </ext>
      </extLst>
    </cfRule>
    <cfRule type="dataBar" priority="15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{6C9507B4-AD77-488F-9F6D-8E249DAD645B}</x14:id>
        </ext>
      </extLst>
    </cfRule>
    <cfRule type="dataBar" priority="15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{77EF79D0-5B40-44DC-A0E5-6873B2721D05}</x14:id>
        </ext>
      </extLst>
    </cfRule>
    <cfRule type="dataBar" priority="15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{C0F9E2A3-E0AD-4F55-B21B-600F400545AC}</x14:id>
        </ext>
      </extLst>
    </cfRule>
    <cfRule type="dataBar" priority="15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{B55B0E47-6D0E-40F1-A395-921077BCBE73}</x14:id>
        </ext>
      </extLst>
    </cfRule>
    <cfRule type="dataBar" priority="15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{8B84DE6B-42BE-4531-BCE2-E0926AC61EFE}</x14:id>
        </ext>
      </extLst>
    </cfRule>
    <cfRule type="dataBar" priority="15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{139C31D3-B788-42EF-9271-DE6A47BC8B07}</x14:id>
        </ext>
      </extLst>
    </cfRule>
    <cfRule type="dataBar" priority="15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{56380E7F-277A-443E-ABC2-896190D12AE9}</x14:id>
        </ext>
      </extLst>
    </cfRule>
  </conditionalFormatting>
  <conditionalFormatting sqref="AQ33">
    <cfRule type="dataBar" priority="6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{13A244DE-B3BA-4266-993C-F35D88246BD6}</x14:id>
        </ext>
      </extLst>
    </cfRule>
    <cfRule type="dataBar" priority="69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{887C6A82-626F-4D8F-A83E-F73832D5ACAD}</x14:id>
        </ext>
      </extLst>
    </cfRule>
    <cfRule type="dataBar" priority="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{C3BD8459-2CA3-45A8-A0B9-9CD60B9926E4}</x14:id>
        </ext>
      </extLst>
    </cfRule>
    <cfRule type="dataBar" priority="6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{222A3CD5-3637-448E-ACCE-A9201D9FF30A}</x14:id>
        </ext>
      </extLst>
    </cfRule>
    <cfRule type="dataBar" priority="69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{4D751FD3-B77C-4A1D-B586-A0ECE18B929D}</x14:id>
        </ext>
      </extLst>
    </cfRule>
    <cfRule type="dataBar" priority="69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{93E74692-7560-48E2-8606-145061096028}</x14:id>
        </ext>
      </extLst>
    </cfRule>
    <cfRule type="dataBar" priority="6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{0A4476B8-EE08-4493-B261-0A41723AC33A}</x14:id>
        </ext>
      </extLst>
    </cfRule>
    <cfRule type="dataBar" priority="68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{935B7B64-F909-42A2-89D8-4D7179745EFE}</x14:id>
        </ext>
      </extLst>
    </cfRule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{0AE9569E-332E-4968-9021-24FACFAAA09B}</x14:id>
        </ext>
      </extLst>
    </cfRule>
    <cfRule type="dataBar" priority="6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{7562025A-9A2B-4D51-930D-AF19F9FE159D}</x14:id>
        </ext>
      </extLst>
    </cfRule>
    <cfRule type="dataBar" priority="6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{B62AC966-D1D5-448B-AC77-964037456EFE}</x14:id>
        </ext>
      </extLst>
    </cfRule>
    <cfRule type="dataBar" priority="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{EDDDEA37-8C8E-4401-8515-0916C369E5FC}</x14:id>
        </ext>
      </extLst>
    </cfRule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{18D0496F-1C7E-4402-9DB5-05ED54EB6B2B}</x14:id>
        </ext>
      </extLst>
    </cfRule>
  </conditionalFormatting>
  <conditionalFormatting sqref="AQ34">
    <cfRule type="dataBar" priority="12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{58F381A2-81E6-4C47-B364-4468F6DF56CC}</x14:id>
        </ext>
      </extLst>
    </cfRule>
    <cfRule type="dataBar" priority="12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{07DE857B-79F7-4EE8-862D-D1E15D334416}</x14:id>
        </ext>
      </extLst>
    </cfRule>
    <cfRule type="dataBar" priority="1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{C8AA113E-1410-4BF7-B041-15F27A3DBAAB}</x14:id>
        </ext>
      </extLst>
    </cfRule>
    <cfRule type="dataBar" priority="12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{8423557B-DD75-44CB-80C6-8C5D9C6D1E29}</x14:id>
        </ext>
      </extLst>
    </cfRule>
    <cfRule type="dataBar" priority="12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{F2CAEA23-E781-4588-AE47-EB46DEABEBF3}</x14:id>
        </ext>
      </extLst>
    </cfRule>
    <cfRule type="dataBar" priority="12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{E44041EE-8A2A-45A8-BE0D-334FABEF5C1E}</x14:id>
        </ext>
      </extLst>
    </cfRule>
    <cfRule type="dataBar" priority="1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{7F860DE4-241B-4B3B-95E9-38A6C8763E6C}</x14:id>
        </ext>
      </extLst>
    </cfRule>
    <cfRule type="dataBar" priority="12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{E96C93B4-30AB-4D4F-8E4A-C8B88592E881}</x14:id>
        </ext>
      </extLst>
    </cfRule>
    <cfRule type="dataBar" priority="12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{2D44C114-6FCD-4712-BF0A-8116730418ED}</x14:id>
        </ext>
      </extLst>
    </cfRule>
    <cfRule type="dataBar" priority="12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{938C4007-D338-47BA-8D02-474576A1CD83}</x14:id>
        </ext>
      </extLst>
    </cfRule>
    <cfRule type="dataBar" priority="1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{DE677D6F-E0EB-4713-AF17-2CB4FFEE5740}</x14:id>
        </ext>
      </extLst>
    </cfRule>
    <cfRule type="dataBar" priority="12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{F533AF31-AD07-4CF1-8825-5351E51A30F8}</x14:id>
        </ext>
      </extLst>
    </cfRule>
    <cfRule type="dataBar" priority="1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{4D8C69F4-7902-4840-9134-6538E942362E}</x14:id>
        </ext>
      </extLst>
    </cfRule>
    <cfRule type="dataBar" priority="1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{6A1F7644-F028-4CD8-9867-CC2513ACD87B}</x14:id>
        </ext>
      </extLst>
    </cfRule>
    <cfRule type="dataBar" priority="12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{7B9F5A2C-A2ED-46A7-9720-3ED936127F64}</x14:id>
        </ext>
      </extLst>
    </cfRule>
    <cfRule type="dataBar" priority="12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{79BCDDAF-B094-4398-8137-CC5B67117912}</x14:id>
        </ext>
      </extLst>
    </cfRule>
    <cfRule type="dataBar" priority="1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{E483EDFD-1100-49DD-8B37-8F1D8F196284}</x14:id>
        </ext>
      </extLst>
    </cfRule>
    <cfRule type="dataBar" priority="12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{CB12F263-0FBF-4B98-8D71-2411C4CA5609}</x14:id>
        </ext>
      </extLst>
    </cfRule>
    <cfRule type="dataBar" priority="12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{9B2DC63C-44A9-43EB-AEC9-3F64B1D9D7D3}</x14:id>
        </ext>
      </extLst>
    </cfRule>
    <cfRule type="dataBar" priority="12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{1044B692-8D57-4947-9E0B-97B3A4B169F3}</x14:id>
        </ext>
      </extLst>
    </cfRule>
    <cfRule type="dataBar" priority="12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{9E1E39FF-44DE-4902-80E7-1443485FF567}</x14:id>
        </ext>
      </extLst>
    </cfRule>
    <cfRule type="dataBar" priority="1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{91F364E7-3008-45CA-9580-AF96BB1BF468}</x14:id>
        </ext>
      </extLst>
    </cfRule>
    <cfRule type="dataBar" priority="12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{E8E674B6-C560-4BB4-B02E-1B7382511B2F}</x14:id>
        </ext>
      </extLst>
    </cfRule>
    <cfRule type="dataBar" priority="122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{64EEB0A8-B3C8-4DE0-814F-6D3F5762B67B}</x14:id>
        </ext>
      </extLst>
    </cfRule>
    <cfRule type="dataBar" priority="12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{801B9031-5A5E-43E4-BE11-C5944F0C4D87}</x14:id>
        </ext>
      </extLst>
    </cfRule>
    <cfRule type="dataBar" priority="11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{E7BF6E25-25C5-47AA-A52D-4DA9A75AE8F7}</x14:id>
        </ext>
      </extLst>
    </cfRule>
    <cfRule type="dataBar" priority="11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{D8725B3C-4AE4-4130-B5B1-76D9CBA804C0}</x14:id>
        </ext>
      </extLst>
    </cfRule>
    <cfRule type="dataBar" priority="11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{30E4530A-91D6-4B06-AD90-04F52D3AC36E}</x14:id>
        </ext>
      </extLst>
    </cfRule>
    <cfRule type="dataBar" priority="1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{55F6031D-1F78-40F6-8985-1278B3E886F1}</x14:id>
        </ext>
      </extLst>
    </cfRule>
    <cfRule type="dataBar" priority="12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{D3FF26C5-D1B2-45A0-BBD9-31C1045FFC94}</x14:id>
        </ext>
      </extLst>
    </cfRule>
  </conditionalFormatting>
  <conditionalFormatting sqref="AQ35">
    <cfRule type="dataBar" priority="5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{B2D8CA8E-E1E7-4E58-AB01-5C83749CEFD4}</x14:id>
        </ext>
      </extLst>
    </cfRule>
    <cfRule type="dataBar" priority="51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{80335C66-D399-4530-9B7D-3FF46A4CBFEA}</x14:id>
        </ext>
      </extLst>
    </cfRule>
    <cfRule type="dataBar" priority="510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{5F15362F-0CD2-471E-9C4A-D9AC3DC0E1D7}</x14:id>
        </ext>
      </extLst>
    </cfRule>
    <cfRule type="dataBar" priority="511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{1E1EDE4D-635A-4DBC-A8FD-0D0502F9ABDA}</x14:id>
        </ext>
      </extLst>
    </cfRule>
    <cfRule type="dataBar" priority="5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{08225C65-670A-4940-A5F2-1C776313CBC6}</x14:id>
        </ext>
      </extLst>
    </cfRule>
    <cfRule type="dataBar" priority="51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{CE57E781-B410-458F-8C3F-69AF66C0482D}</x14:id>
        </ext>
      </extLst>
    </cfRule>
    <cfRule type="dataBar" priority="51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{AB3C8480-74A8-4B74-B33D-9C1B5535BAFB}</x14:id>
        </ext>
      </extLst>
    </cfRule>
    <cfRule type="dataBar" priority="510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{C78249B3-9BEE-4B47-9AFD-881208B45E20}</x14:id>
        </ext>
      </extLst>
    </cfRule>
    <cfRule type="dataBar" priority="510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{7EF680E6-7C23-46CA-A8C7-0C9C9A9B83AB}</x14:id>
        </ext>
      </extLst>
    </cfRule>
    <cfRule type="dataBar" priority="5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{82E812E1-B652-4187-AB6F-E8958D891E7D}</x14:id>
        </ext>
      </extLst>
    </cfRule>
    <cfRule type="dataBar" priority="5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{6A6C2ACA-65AB-478A-860E-377C313AA12B}</x14:id>
        </ext>
      </extLst>
    </cfRule>
    <cfRule type="dataBar" priority="51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{416098AF-3E34-4EA2-9179-BCE1274737A3}</x14:id>
        </ext>
      </extLst>
    </cfRule>
    <cfRule type="dataBar" priority="510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{99854ECD-F8BE-404F-9703-9915F80894D2}</x14:id>
        </ext>
      </extLst>
    </cfRule>
  </conditionalFormatting>
  <conditionalFormatting sqref="AR15 AP14">
    <cfRule type="dataBar" priority="31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{EF3AFB31-3C0B-438C-9AA8-D5205572C548}</x14:id>
        </ext>
      </extLst>
    </cfRule>
    <cfRule type="dataBar" priority="31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{4F06F1D3-C3C5-42A7-AC34-2573833D47CF}</x14:id>
        </ext>
      </extLst>
    </cfRule>
    <cfRule type="dataBar" priority="3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{3BAC9906-8634-468E-BBD5-5B833611E9B2}</x14:id>
        </ext>
      </extLst>
    </cfRule>
  </conditionalFormatting>
  <conditionalFormatting sqref="AR16 AP15">
    <cfRule type="dataBar" priority="309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{5A1C7BB7-F07D-4DE6-8229-3C5E52C08028}</x14:id>
        </ext>
      </extLst>
    </cfRule>
    <cfRule type="dataBar" priority="3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{75CE51B1-2EAF-4002-BFC7-B13C92DD3D8A}</x14:id>
        </ext>
      </extLst>
    </cfRule>
    <cfRule type="dataBar" priority="309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{9F32C5F0-7EF7-4666-8171-3E2D1A84A7AE}</x14:id>
        </ext>
      </extLst>
    </cfRule>
    <cfRule type="dataBar" priority="309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{5EA1A75B-6ECC-4632-875D-083B116EC4B0}</x14:id>
        </ext>
      </extLst>
    </cfRule>
  </conditionalFormatting>
  <conditionalFormatting sqref="AT10">
    <cfRule type="dataBar" priority="30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{ADD069CA-B499-4FC3-B656-3611B837CDDB}</x14:id>
        </ext>
      </extLst>
    </cfRule>
  </conditionalFormatting>
  <conditionalFormatting sqref="AT11">
    <cfRule type="dataBar" priority="30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{84337BFA-1AF8-450C-BD74-61B9A726E49A}</x14:id>
        </ext>
      </extLst>
    </cfRule>
  </conditionalFormatting>
  <conditionalFormatting sqref="AT12">
    <cfRule type="dataBar" priority="27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{1CFFBE92-BB05-45D8-A10A-1D84197F84D3}</x14:id>
        </ext>
      </extLst>
    </cfRule>
  </conditionalFormatting>
  <conditionalFormatting sqref="AT14">
    <cfRule type="dataBar" priority="30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{354C76CE-0454-4333-AAEE-CAB1583012CB}</x14:id>
        </ext>
      </extLst>
    </cfRule>
  </conditionalFormatting>
  <conditionalFormatting sqref="AT15">
    <cfRule type="dataBar" priority="277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{5767F312-6571-499B-BFB9-E2A78F173A8A}</x14:id>
        </ext>
      </extLst>
    </cfRule>
  </conditionalFormatting>
  <conditionalFormatting sqref="AT18">
    <cfRule type="dataBar" priority="30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{C921A2A2-8450-4092-B65B-C8EA0E14ECE8}</x14:id>
        </ext>
      </extLst>
    </cfRule>
  </conditionalFormatting>
  <conditionalFormatting sqref="AT19">
    <cfRule type="dataBar" priority="30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{737F732A-D218-40A9-ABD0-E5058DB78A54}</x14:id>
        </ext>
      </extLst>
    </cfRule>
  </conditionalFormatting>
  <conditionalFormatting sqref="AT20">
    <cfRule type="dataBar" priority="30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{0ADB8123-22D5-474E-A51D-FE3C6A16E538}</x14:id>
        </ext>
      </extLst>
    </cfRule>
  </conditionalFormatting>
  <conditionalFormatting sqref="AT24">
    <cfRule type="dataBar" priority="290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{5C2F3782-C558-4177-A5EB-D9A429B03FF9}</x14:id>
        </ext>
      </extLst>
    </cfRule>
  </conditionalFormatting>
  <conditionalFormatting sqref="AT25:AT26">
    <cfRule type="dataBar" priority="41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{32CC079A-FD64-40E2-BBB4-3199579E99AC}</x14:id>
        </ext>
      </extLst>
    </cfRule>
  </conditionalFormatting>
  <conditionalFormatting sqref="AU5">
    <cfRule type="dataBar" priority="3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{07019B7A-70D7-4B27-895D-C8CB4BE20413}</x14:id>
        </ext>
      </extLst>
    </cfRule>
    <cfRule type="dataBar" priority="31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{98EFF1B1-5657-4E63-8A12-739F940AEEFA}</x14:id>
        </ext>
      </extLst>
    </cfRule>
    <cfRule type="dataBar" priority="31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{A0110998-50D8-4B36-8E39-2039E8AF7789}</x14:id>
        </ext>
      </extLst>
    </cfRule>
    <cfRule type="dataBar" priority="31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{F00D8157-C851-414C-897F-D8F4D9852FAF}</x14:id>
        </ext>
      </extLst>
    </cfRule>
  </conditionalFormatting>
  <conditionalFormatting sqref="AU5:AU22">
    <cfRule type="dataBar" priority="411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{91C7ADBB-568C-46A7-8C7C-280B3CF3631F}</x14:id>
        </ext>
      </extLst>
    </cfRule>
    <cfRule type="dataBar" priority="4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{DF993E85-5639-4547-9DBF-28AC96AD13D1}</x14:id>
        </ext>
      </extLst>
    </cfRule>
  </conditionalFormatting>
  <conditionalFormatting sqref="AU5:AU26">
    <cfRule type="dataBar" priority="52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{46525886-0CC9-4A48-A72D-7725A576566D}</x14:id>
        </ext>
      </extLst>
    </cfRule>
  </conditionalFormatting>
  <conditionalFormatting sqref="AU5:AU28">
    <cfRule type="dataBar" priority="52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{E9F9DBE0-3856-486D-BE36-A367B975027B}</x14:id>
        </ext>
      </extLst>
    </cfRule>
    <cfRule type="dataBar" priority="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{C39A0EF7-1B50-4CD5-8BD7-FB433E3914AF}</x14:id>
        </ext>
      </extLst>
    </cfRule>
    <cfRule type="dataBar" priority="52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{EB26B2A9-E6A5-4B70-BB31-0A732203FA39}</x14:id>
        </ext>
      </extLst>
    </cfRule>
  </conditionalFormatting>
  <conditionalFormatting sqref="AU14">
    <cfRule type="dataBar" priority="31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{4AFCB513-5342-4CDE-8AF6-A3006C71B71B}</x14:id>
        </ext>
      </extLst>
    </cfRule>
    <cfRule type="dataBar" priority="31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{4A9ECFD0-6E13-4FE6-A283-C8A3ED03E243}</x14:id>
        </ext>
      </extLst>
    </cfRule>
    <cfRule type="dataBar" priority="3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{06CE48B8-DFA1-48D8-A6C4-139140E64AD1}</x14:id>
        </ext>
      </extLst>
    </cfRule>
    <cfRule type="dataBar" priority="31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{C9169C4F-A507-41C4-923F-A98FF79B3E45}</x14:id>
        </ext>
      </extLst>
    </cfRule>
    <cfRule type="dataBar" priority="31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{30A5A040-50A3-4833-8542-404A8852A6F3}</x14:id>
        </ext>
      </extLst>
    </cfRule>
    <cfRule type="dataBar" priority="31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{9491F0F6-88AC-4840-BA0C-F2339B042F44}</x14:id>
        </ext>
      </extLst>
    </cfRule>
    <cfRule type="dataBar" priority="31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{A894C38A-F0E5-42AE-A496-9A43F1C5F4EF}</x14:id>
        </ext>
      </extLst>
    </cfRule>
    <cfRule type="dataBar" priority="3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{12D7D809-DFEF-432E-B71C-74E562A5EC57}</x14:id>
        </ext>
      </extLst>
    </cfRule>
    <cfRule type="dataBar" priority="31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{78634617-4DDA-4BC9-B620-2CB39405A9B0}</x14:id>
        </ext>
      </extLst>
    </cfRule>
  </conditionalFormatting>
  <conditionalFormatting sqref="AU15:AU16 AU5:AU13 AU18:AU22">
    <cfRule type="dataBar" priority="406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{EF854612-6C18-4C06-A541-BBE36D3CCD61}</x14:id>
        </ext>
      </extLst>
    </cfRule>
    <cfRule type="dataBar" priority="406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{85354A0F-3DCF-4A3A-B1FA-C535CF14FC3B}</x14:id>
        </ext>
      </extLst>
    </cfRule>
    <cfRule type="dataBar" priority="406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{ECAF0B13-5D8A-4DDF-8541-42AE43A8FDA5}</x14:id>
        </ext>
      </extLst>
    </cfRule>
    <cfRule type="dataBar" priority="40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{314A24F2-305A-4836-B599-39543117ADBD}</x14:id>
        </ext>
      </extLst>
    </cfRule>
    <cfRule type="dataBar" priority="406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{3C968CF0-454A-4513-B7C0-669467CAA390}</x14:id>
        </ext>
      </extLst>
    </cfRule>
  </conditionalFormatting>
  <conditionalFormatting sqref="AU15:AU16 AU6:AU13 AU18:AU22">
    <cfRule type="dataBar" priority="40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{56495753-D026-45B0-8C83-D51F7CFA1DCB}</x14:id>
        </ext>
      </extLst>
    </cfRule>
    <cfRule type="dataBar" priority="405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{84DFE414-C908-4C9F-B4A8-A9C91CA11302}</x14:id>
        </ext>
      </extLst>
    </cfRule>
    <cfRule type="dataBar" priority="40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{85C3569B-6589-420A-9673-CFEF4545D6A5}</x14:id>
        </ext>
      </extLst>
    </cfRule>
    <cfRule type="dataBar" priority="40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{4BB5C706-A5DE-4CB5-861D-CC94409E5C88}</x14:id>
        </ext>
      </extLst>
    </cfRule>
  </conditionalFormatting>
  <conditionalFormatting sqref="AU17">
    <cfRule type="dataBar" priority="308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{032CC8FF-B61B-48A8-8180-6C901D82BBAA}</x14:id>
        </ext>
      </extLst>
    </cfRule>
    <cfRule type="dataBar" priority="30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{DF7F6C3A-9D70-416F-9E2B-47DC7ECE7E7A}</x14:id>
        </ext>
      </extLst>
    </cfRule>
    <cfRule type="dataBar" priority="308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{ABB9F99F-805A-4B20-99F8-581469D82F9E}</x14:id>
        </ext>
      </extLst>
    </cfRule>
    <cfRule type="dataBar" priority="30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{C8D10D93-FE50-42F5-AE2E-EACD9E2F08A8}</x14:id>
        </ext>
      </extLst>
    </cfRule>
    <cfRule type="dataBar" priority="308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{E7CA8F37-5D1B-4CFF-9BE9-EEDA55BBC31E}</x14:id>
        </ext>
      </extLst>
    </cfRule>
    <cfRule type="dataBar" priority="308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{22CCC9FE-D2C6-4748-9836-75B3088AD7DD}</x14:id>
        </ext>
      </extLst>
    </cfRule>
    <cfRule type="dataBar" priority="308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{ABD860DE-95C7-4C15-9B17-D1149BCFF7E4}</x14:id>
        </ext>
      </extLst>
    </cfRule>
    <cfRule type="dataBar" priority="308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{E16ED74A-EFFE-4C34-8405-794B47DC77EF}</x14:id>
        </ext>
      </extLst>
    </cfRule>
    <cfRule type="dataBar" priority="3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{177D0711-7F14-41AE-ADF0-CB61E6397B38}</x14:id>
        </ext>
      </extLst>
    </cfRule>
    <cfRule type="dataBar" priority="309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{78C7D0B2-B99D-4841-8B12-04A7C30E60E5}</x14:id>
        </ext>
      </extLst>
    </cfRule>
  </conditionalFormatting>
  <conditionalFormatting sqref="AU18:AU22 AU5:AU16">
    <cfRule type="dataBar" priority="408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{D58F0DA5-C247-4994-86E0-990E75F07692}</x14:id>
        </ext>
      </extLst>
    </cfRule>
  </conditionalFormatting>
  <conditionalFormatting sqref="AU23">
    <cfRule type="dataBar" priority="2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{31AB8F98-CE8A-4553-9F86-9FAE631DA092}</x14:id>
        </ext>
      </extLst>
    </cfRule>
    <cfRule type="dataBar" priority="299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{F358A1A3-1BB3-4663-8BB3-87E0D9DE907D}</x14:id>
        </ext>
      </extLst>
    </cfRule>
    <cfRule type="dataBar" priority="300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{50A5F1D2-563C-4A9F-ADAA-1F77B782CC0D}</x14:id>
        </ext>
      </extLst>
    </cfRule>
    <cfRule type="dataBar" priority="30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{72C116B6-2480-4F0D-8C88-2BD483907119}</x14:id>
        </ext>
      </extLst>
    </cfRule>
    <cfRule type="dataBar" priority="299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{DA531899-9046-4DFD-824E-ECF4DA751ABA}</x14:id>
        </ext>
      </extLst>
    </cfRule>
    <cfRule type="dataBar" priority="299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{B9E98740-2C54-4C9E-99F7-9A101C8A2F44}</x14:id>
        </ext>
      </extLst>
    </cfRule>
    <cfRule type="dataBar" priority="299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{7A5AE9AD-CF07-45D6-A042-86C75440A46D}</x14:id>
        </ext>
      </extLst>
    </cfRule>
    <cfRule type="dataBar" priority="2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{0A8DFA18-1E7E-4F8D-ACC0-A5F904E11453}</x14:id>
        </ext>
      </extLst>
    </cfRule>
    <cfRule type="dataBar" priority="299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{65A52DF0-894F-4351-94E2-129A2DDD0E28}</x14:id>
        </ext>
      </extLst>
    </cfRule>
    <cfRule type="dataBar" priority="299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{B0905290-E9BF-46E7-ABF5-04BAC9A5B575}</x14:id>
        </ext>
      </extLst>
    </cfRule>
    <cfRule type="dataBar" priority="299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{69C14D8D-8430-4438-9546-0990D2F78064}</x14:id>
        </ext>
      </extLst>
    </cfRule>
    <cfRule type="dataBar" priority="299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{A7EFE399-62B7-40FF-9F8D-084D9824E36F}</x14:id>
        </ext>
      </extLst>
    </cfRule>
  </conditionalFormatting>
  <conditionalFormatting sqref="AU24">
    <cfRule type="dataBar" priority="286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{80F4B54A-CFE1-4CDE-B1E1-14ECCC4B0140}</x14:id>
        </ext>
      </extLst>
    </cfRule>
    <cfRule type="dataBar" priority="286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{1B655A08-D212-425E-9A7E-FD053E2F5DA1}</x14:id>
        </ext>
      </extLst>
    </cfRule>
    <cfRule type="dataBar" priority="285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{BA15ACEB-27FE-4D3F-8C9E-301E30C8413E}</x14:id>
        </ext>
      </extLst>
    </cfRule>
    <cfRule type="dataBar" priority="2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{FAF90DCC-DF20-46D1-AF07-2FFE4CF3B91F}</x14:id>
        </ext>
      </extLst>
    </cfRule>
    <cfRule type="dataBar" priority="28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{79B7E45D-6BB0-4BEA-9D41-DC59A4E766DE}</x14:id>
        </ext>
      </extLst>
    </cfRule>
    <cfRule type="dataBar" priority="286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{67AC3F0A-54E4-4587-A2C2-63CF2020C2BC}</x14:id>
        </ext>
      </extLst>
    </cfRule>
    <cfRule type="dataBar" priority="2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{DB1EE2E1-9C8A-463E-A7DD-A0C072670F64}</x14:id>
        </ext>
      </extLst>
    </cfRule>
    <cfRule type="dataBar" priority="286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{9C1011B8-8655-4AE2-8464-CBA069C76C25}</x14:id>
        </ext>
      </extLst>
    </cfRule>
    <cfRule type="dataBar" priority="286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{09D0BE06-E7FA-400C-B012-D20B0EF5EB29}</x14:id>
        </ext>
      </extLst>
    </cfRule>
    <cfRule type="dataBar" priority="286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{B6D1CCFB-5AA8-4610-8C88-318C83B1C43B}</x14:id>
        </ext>
      </extLst>
    </cfRule>
    <cfRule type="dataBar" priority="2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{BBD0FA39-6D1D-47B0-A968-CEEE719DACA5}</x14:id>
        </ext>
      </extLst>
    </cfRule>
    <cfRule type="dataBar" priority="287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{0646042E-3188-418A-BF34-EA47A0E8835C}</x14:id>
        </ext>
      </extLst>
    </cfRule>
  </conditionalFormatting>
  <conditionalFormatting sqref="AU25:AU26">
    <cfRule type="dataBar" priority="413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{813EA762-DDAF-43AD-880C-1C69F62F5A0F}</x14:id>
        </ext>
      </extLst>
    </cfRule>
    <cfRule type="dataBar" priority="41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{9E71BB37-F6B8-4B1A-A184-B9DA3CA95926}</x14:id>
        </ext>
      </extLst>
    </cfRule>
    <cfRule type="dataBar" priority="41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{D4B3E1CE-1BEC-49D3-8E51-D3D6B5AAF369}</x14:id>
        </ext>
      </extLst>
    </cfRule>
    <cfRule type="dataBar" priority="414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{95434E06-D870-48BC-8F36-B294235EDFF6}</x14:id>
        </ext>
      </extLst>
    </cfRule>
    <cfRule type="dataBar" priority="4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{DF9429B9-AA73-4DC2-9967-2326AC354220}</x14:id>
        </ext>
      </extLst>
    </cfRule>
    <cfRule type="dataBar" priority="413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{B6717572-C600-4C64-8CD9-E1F1BFAC243C}</x14:id>
        </ext>
      </extLst>
    </cfRule>
    <cfRule type="dataBar" priority="413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{3A6F9B6A-07E5-4A85-B982-4077EDE8C91D}</x14:id>
        </ext>
      </extLst>
    </cfRule>
    <cfRule type="dataBar" priority="4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{45076AE9-1B33-4EE4-8D00-34C5BBABC4BF}</x14:id>
        </ext>
      </extLst>
    </cfRule>
    <cfRule type="dataBar" priority="41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{F7C893EE-B458-4866-A5AB-55534FC1B3A4}</x14:id>
        </ext>
      </extLst>
    </cfRule>
    <cfRule type="dataBar" priority="41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{54B1A43A-7378-48F3-9452-7E700F632F19}</x14:id>
        </ext>
      </extLst>
    </cfRule>
    <cfRule type="dataBar" priority="41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{9F9BB94B-A6D9-421A-82D2-59B41EEA4619}</x14:id>
        </ext>
      </extLst>
    </cfRule>
    <cfRule type="dataBar" priority="413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{749914CA-1807-4297-A199-CD19E941673D}</x14:id>
        </ext>
      </extLst>
    </cfRule>
  </conditionalFormatting>
  <conditionalFormatting sqref="AU27:AU28">
    <cfRule type="dataBar" priority="24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{BB222FD5-5343-47D3-B98F-1B2032082717}</x14:id>
        </ext>
      </extLst>
    </cfRule>
    <cfRule type="dataBar" priority="2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{AAF807BE-AC5B-4F5B-A492-88D40375BF09}</x14:id>
        </ext>
      </extLst>
    </cfRule>
    <cfRule type="dataBar" priority="2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{652AA241-F56B-4697-B54D-7359D1E7024F}</x14:id>
        </ext>
      </extLst>
    </cfRule>
    <cfRule type="dataBar" priority="2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{D63463AB-7099-410E-86E9-17610DB36EE5}</x14:id>
        </ext>
      </extLst>
    </cfRule>
    <cfRule type="dataBar" priority="2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{53626AC4-31FA-4677-AF36-0A9A6F8DA612}</x14:id>
        </ext>
      </extLst>
    </cfRule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{10E053C3-982C-4CAB-86AA-EA609383D1CB}</x14:id>
        </ext>
      </extLst>
    </cfRule>
    <cfRule type="dataBar" priority="24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{704B3DCC-0DD1-4402-A3FD-D7E2B4C5F730}</x14:id>
        </ext>
      </extLst>
    </cfRule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{095B1F0D-D511-4BB0-8563-EA070045EB36}</x14:id>
        </ext>
      </extLst>
    </cfRule>
    <cfRule type="dataBar" priority="24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{DD0C0CAD-D769-4531-9F3F-461540A70832}</x14:id>
        </ext>
      </extLst>
    </cfRule>
    <cfRule type="dataBar" priority="24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{201D3336-49BD-4C18-975E-D2E98BA30BA8}</x14:id>
        </ext>
      </extLst>
    </cfRule>
    <cfRule type="dataBar" priority="24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{EA313B20-4073-4EFF-AD70-D979001C7448}</x14:id>
        </ext>
      </extLst>
    </cfRule>
    <cfRule type="dataBar" priority="24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{EA5F728A-9D5F-4AB5-929C-E379CD9E3191}</x14:id>
        </ext>
      </extLst>
    </cfRule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{86903695-5EBD-4D07-A4AA-F617A1CB1131}</x14:id>
        </ext>
      </extLst>
    </cfRule>
  </conditionalFormatting>
  <conditionalFormatting sqref="AV5">
    <cfRule type="dataBar" priority="66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{DB54FDDA-A8A3-4E9D-9090-604204809B76}</x14:id>
        </ext>
      </extLst>
    </cfRule>
    <cfRule type="dataBar" priority="6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{510E391F-8060-4B59-868F-1BE4B581B844}</x14:id>
        </ext>
      </extLst>
    </cfRule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{7E7F517E-9048-42AD-A2D7-6DAD0AF43BD8}</x14:id>
        </ext>
      </extLst>
    </cfRule>
    <cfRule type="dataBar" priority="6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{975AA0F2-C164-4854-A86C-D3EF20E841F5}</x14:id>
        </ext>
      </extLst>
    </cfRule>
    <cfRule type="dataBar" priority="6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{274799BB-C028-4036-A420-A75D4D89481B}</x14:id>
        </ext>
      </extLst>
    </cfRule>
    <cfRule type="dataBar" priority="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{3E2B8A61-3E77-4545-B6EA-7982CBDF21BB}</x14:id>
        </ext>
      </extLst>
    </cfRule>
    <cfRule type="dataBar" priority="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{C241A29A-C279-4D78-A011-C4903AD12EA9}</x14:id>
        </ext>
      </extLst>
    </cfRule>
    <cfRule type="dataBar" priority="6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{69A665B4-B194-4EA9-94A2-7E38B1F49BF3}</x14:id>
        </ext>
      </extLst>
    </cfRule>
    <cfRule type="dataBar" priority="66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{FF9E9BB9-1020-4790-A902-544C05A62BF8}</x14:id>
        </ext>
      </extLst>
    </cfRule>
    <cfRule type="dataBar" priority="66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{65282F48-1A88-4674-954F-A338435BC9A2}</x14:id>
        </ext>
      </extLst>
    </cfRule>
    <cfRule type="dataBar" priority="6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{1B5CC8CF-FDCA-4658-956C-9F668059FE03}</x14:id>
        </ext>
      </extLst>
    </cfRule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{9262F6F0-BBB8-4272-9FF2-9E81AD354B36}</x14:id>
        </ext>
      </extLst>
    </cfRule>
    <cfRule type="dataBar" priority="66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{E6AD7E37-2523-4AD6-A3E9-7EB252022B41}</x14:id>
        </ext>
      </extLst>
    </cfRule>
  </conditionalFormatting>
  <conditionalFormatting sqref="AV6:AV12">
    <cfRule type="dataBar" priority="147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{80287E7F-125D-4614-99BB-932BA00F1695}</x14:id>
        </ext>
      </extLst>
    </cfRule>
    <cfRule type="dataBar" priority="14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{2DBFEF6C-7043-415F-A520-A21AD74036DB}</x14:id>
        </ext>
      </extLst>
    </cfRule>
    <cfRule type="dataBar" priority="1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{7D087370-70FD-49FD-BED6-934C9DEE2735}</x14:id>
        </ext>
      </extLst>
    </cfRule>
    <cfRule type="dataBar" priority="148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{98BA65ED-A328-445C-B01B-27AF186E5F2B}</x14:id>
        </ext>
      </extLst>
    </cfRule>
    <cfRule type="dataBar" priority="149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{C19008BC-858D-4632-95E4-302446BBAEE5}</x14:id>
        </ext>
      </extLst>
    </cfRule>
    <cfRule type="dataBar" priority="149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{CB78C203-7C2C-4523-89F0-E02B3AEA6511}</x14:id>
        </ext>
      </extLst>
    </cfRule>
    <cfRule type="dataBar" priority="149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{6306F8BC-3A62-423D-B851-FCD8A8EA4B4A}</x14:id>
        </ext>
      </extLst>
    </cfRule>
    <cfRule type="dataBar" priority="1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{6F048974-2314-4E6B-99C3-A8220D83497D}</x14:id>
        </ext>
      </extLst>
    </cfRule>
    <cfRule type="dataBar" priority="14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{E3626F1D-185B-4C72-ABC0-8D37A46C45AB}</x14:id>
        </ext>
      </extLst>
    </cfRule>
    <cfRule type="dataBar" priority="14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{8993F91B-789D-4878-ABF0-9A170CD26F1F}</x14:id>
        </ext>
      </extLst>
    </cfRule>
    <cfRule type="dataBar" priority="14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{43DB42D6-1D93-4843-9C5D-A1C9BAC19EB1}</x14:id>
        </ext>
      </extLst>
    </cfRule>
    <cfRule type="dataBar" priority="14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{AB908774-CA76-421B-BC13-0CDA70A9C903}</x14:id>
        </ext>
      </extLst>
    </cfRule>
    <cfRule type="dataBar" priority="14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{7C25A9A3-612E-4083-80C1-C8A42F0A1142}</x14:id>
        </ext>
      </extLst>
    </cfRule>
    <cfRule type="dataBar" priority="14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{5004CC85-E91E-4C4E-AEC8-2E095C464D9B}</x14:id>
        </ext>
      </extLst>
    </cfRule>
    <cfRule type="dataBar" priority="14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{B816FF50-63DC-4790-B771-08B418FDA8AB}</x14:id>
        </ext>
      </extLst>
    </cfRule>
    <cfRule type="dataBar" priority="1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{387AC229-5904-4599-96EB-E8000AD77D1B}</x14:id>
        </ext>
      </extLst>
    </cfRule>
    <cfRule type="dataBar" priority="14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{AD879550-43A0-4F0B-92E3-538399BBD23D}</x14:id>
        </ext>
      </extLst>
    </cfRule>
    <cfRule type="dataBar" priority="14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{D8EE2DB1-A874-457C-963F-32F512B77748}</x14:id>
        </ext>
      </extLst>
    </cfRule>
    <cfRule type="dataBar" priority="1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{10362E9F-DA77-4BDF-AE4D-D7717F39A3F3}</x14:id>
        </ext>
      </extLst>
    </cfRule>
    <cfRule type="dataBar" priority="1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{FE969C14-419E-4CF9-A080-EF5D47A3C670}</x14:id>
        </ext>
      </extLst>
    </cfRule>
    <cfRule type="dataBar" priority="14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{A86312E2-FC1E-4A2A-B625-24F7B7DFDB59}</x14:id>
        </ext>
      </extLst>
    </cfRule>
    <cfRule type="dataBar" priority="14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{9668A27A-1244-4BA0-866F-38FFC235ECA3}</x14:id>
        </ext>
      </extLst>
    </cfRule>
    <cfRule type="dataBar" priority="14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{30FC8D1C-1BE9-40E2-A562-AA81AAF60993}</x14:id>
        </ext>
      </extLst>
    </cfRule>
    <cfRule type="dataBar" priority="14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{F1B4A3F4-C705-42E6-AC8F-39F26631BC49}</x14:id>
        </ext>
      </extLst>
    </cfRule>
    <cfRule type="dataBar" priority="14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{EE2FC54B-310C-4185-BF0A-AE3AACABA06D}</x14:id>
        </ext>
      </extLst>
    </cfRule>
    <cfRule type="dataBar" priority="14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{14810055-909E-47BD-89D1-EA621399EAD4}</x14:id>
        </ext>
      </extLst>
    </cfRule>
    <cfRule type="dataBar" priority="14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{9E5D7861-247A-43B5-8008-4E295CF09BBA}</x14:id>
        </ext>
      </extLst>
    </cfRule>
    <cfRule type="dataBar" priority="1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{58968364-6FD1-4A62-BACD-156F2C40F127}</x14:id>
        </ext>
      </extLst>
    </cfRule>
    <cfRule type="dataBar" priority="14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{5D47553A-1050-4924-9720-BF44BD705423}</x14:id>
        </ext>
      </extLst>
    </cfRule>
    <cfRule type="dataBar" priority="14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{B3C62A64-AD78-497C-9FB6-654A0A127DC4}</x14:id>
        </ext>
      </extLst>
    </cfRule>
  </conditionalFormatting>
  <conditionalFormatting sqref="AV13">
    <cfRule type="dataBar" priority="33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{1675EE2C-3DF4-45EC-B936-B10EE2207075}</x14:id>
        </ext>
      </extLst>
    </cfRule>
    <cfRule type="dataBar" priority="33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{868C2EED-C2DA-4A71-A137-057D93FFF9C2}</x14:id>
        </ext>
      </extLst>
    </cfRule>
    <cfRule type="dataBar" priority="3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{AA203F1A-3F53-472A-9A3E-5F26EC7241AE}</x14:id>
        </ext>
      </extLst>
    </cfRule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{4EADB449-642A-4CFF-8899-98967697F15A}</x14:id>
        </ext>
      </extLst>
    </cfRule>
    <cfRule type="dataBar" priority="3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{9FD4CB87-F2EA-46E6-9E48-294E48AFBBFF}</x14:id>
        </ext>
      </extLst>
    </cfRule>
    <cfRule type="dataBar" priority="3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{1EBCF73B-921F-40B4-AD5F-6F830D97091D}</x14:id>
        </ext>
      </extLst>
    </cfRule>
    <cfRule type="dataBar" priority="3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{23517EA7-F4E5-43E8-97DD-5FB616EE8965}</x14:id>
        </ext>
      </extLst>
    </cfRule>
    <cfRule type="dataBar" priority="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{8DDAE0BF-A811-4FAD-BE77-979112DA9EE3}</x14:id>
        </ext>
      </extLst>
    </cfRule>
    <cfRule type="dataBar" priority="3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{3462FAFA-EA08-4AF8-BCF5-4EB313FA7EAF}</x14:id>
        </ext>
      </extLst>
    </cfRule>
    <cfRule type="dataBar" priority="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{6E2A9A11-DCED-46ED-AF0E-8885DFEA77ED}</x14:id>
        </ext>
      </extLst>
    </cfRule>
    <cfRule type="dataBar" priority="34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{4FCC19DB-2AE2-47F7-AE48-C5E564C013E3}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{CB3DAE8D-C4E8-4737-8FD5-CC62BF914C95}</x14:id>
        </ext>
      </extLst>
    </cfRule>
    <cfRule type="dataBar" priority="34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{B00BDB48-7B10-402F-99C7-DE57DA15EB7A}</x14:id>
        </ext>
      </extLst>
    </cfRule>
  </conditionalFormatting>
  <conditionalFormatting sqref="AV14:AV15">
    <cfRule type="dataBar" priority="14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{07A6AD29-A6A0-4287-AEFD-088C195E809E}</x14:id>
        </ext>
      </extLst>
    </cfRule>
    <cfRule type="dataBar" priority="14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{6025EB72-ED02-49E1-9C8B-C841EE4A29B4}</x14:id>
        </ext>
      </extLst>
    </cfRule>
    <cfRule type="dataBar" priority="1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{D2FB857D-C45B-4632-9184-6DE08543253B}</x14:id>
        </ext>
      </extLst>
    </cfRule>
    <cfRule type="dataBar" priority="14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{07808516-1FBB-47E6-A781-CC1A2BCBAFE8}</x14:id>
        </ext>
      </extLst>
    </cfRule>
    <cfRule type="dataBar" priority="144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{913BE139-6097-4436-97A1-C1AFD07512BA}</x14:id>
        </ext>
      </extLst>
    </cfRule>
    <cfRule type="dataBar" priority="145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{E9F6934E-726C-4D14-8760-67F8B0CA26C2}</x14:id>
        </ext>
      </extLst>
    </cfRule>
    <cfRule type="dataBar" priority="14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{6830700B-54BA-421B-AEEC-8B4B163762AB}</x14:id>
        </ext>
      </extLst>
    </cfRule>
    <cfRule type="dataBar" priority="14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{B04E04CF-6CBA-4028-82A8-2D2FC9D6F938}</x14:id>
        </ext>
      </extLst>
    </cfRule>
    <cfRule type="dataBar" priority="1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{CD5C93D7-8746-41F3-9DB2-90A4401CACEF}</x14:id>
        </ext>
      </extLst>
    </cfRule>
    <cfRule type="dataBar" priority="1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{BC0AAF02-6EB3-4D20-A79E-3E269FCF7982}</x14:id>
        </ext>
      </extLst>
    </cfRule>
    <cfRule type="dataBar" priority="14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{7B5C2C50-D570-45AE-A87B-9F205F775FDF}</x14:id>
        </ext>
      </extLst>
    </cfRule>
    <cfRule type="dataBar" priority="14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{76C8A4B9-FE8B-4366-BE6B-3AA00D1D186C}</x14:id>
        </ext>
      </extLst>
    </cfRule>
    <cfRule type="dataBar" priority="1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{32235F17-BC65-4C62-B569-D204649AD827}</x14:id>
        </ext>
      </extLst>
    </cfRule>
    <cfRule type="dataBar" priority="14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{21367130-91AB-4BB0-AE5E-A4EC0E7F4940}</x14:id>
        </ext>
      </extLst>
    </cfRule>
    <cfRule type="dataBar" priority="14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{82F6DE2B-2D89-423B-A744-4273278B0070}</x14:id>
        </ext>
      </extLst>
    </cfRule>
    <cfRule type="dataBar" priority="14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{8B6FD560-2480-4E9A-842D-1EE79902AAE1}</x14:id>
        </ext>
      </extLst>
    </cfRule>
    <cfRule type="dataBar" priority="14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{9828BA17-0E0B-49AD-A53A-E2C422F6F980}</x14:id>
        </ext>
      </extLst>
    </cfRule>
    <cfRule type="dataBar" priority="1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{B1975EF7-AACF-4C6E-92CD-24FB152E528B}</x14:id>
        </ext>
      </extLst>
    </cfRule>
    <cfRule type="dataBar" priority="14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{990AD8A6-FD72-455C-A6AD-4074209401A6}</x14:id>
        </ext>
      </extLst>
    </cfRule>
    <cfRule type="dataBar" priority="146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{89FC2BF9-3E56-45C7-BDA1-C4CB9C2711F6}</x14:id>
        </ext>
      </extLst>
    </cfRule>
    <cfRule type="dataBar" priority="14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{7E0F9F9F-C83C-448D-9DD4-E8385C183468}</x14:id>
        </ext>
      </extLst>
    </cfRule>
    <cfRule type="dataBar" priority="145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{03C19F4C-0FDD-4BDF-885F-444A11F46D52}</x14:id>
        </ext>
      </extLst>
    </cfRule>
    <cfRule type="dataBar" priority="14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{569A2B5C-4347-4014-863A-03A818B9F9C2}</x14:id>
        </ext>
      </extLst>
    </cfRule>
    <cfRule type="dataBar" priority="14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{A236AE96-E27C-44B1-9B07-8FD5EEBB3FE1}</x14:id>
        </ext>
      </extLst>
    </cfRule>
    <cfRule type="dataBar" priority="1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{98A09604-9627-467E-9CFB-3D15179ACC51}</x14:id>
        </ext>
      </extLst>
    </cfRule>
    <cfRule type="dataBar" priority="14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{841E0AC1-6235-4AA1-A252-6E51758113B6}</x14:id>
        </ext>
      </extLst>
    </cfRule>
    <cfRule type="dataBar" priority="14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{5E92307A-F290-4C11-9430-55F4FD129A4D}</x14:id>
        </ext>
      </extLst>
    </cfRule>
    <cfRule type="dataBar" priority="144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{0D15B9D7-C5F5-4713-86C5-0154A40999B1}</x14:id>
        </ext>
      </extLst>
    </cfRule>
    <cfRule type="dataBar" priority="1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{DB8CDDED-D7F1-4EA2-B6BD-71EF1C2411E8}</x14:id>
        </ext>
      </extLst>
    </cfRule>
    <cfRule type="dataBar" priority="14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{D75B54BF-7401-4293-81A8-DFCE1D2E8AD4}</x14:id>
        </ext>
      </extLst>
    </cfRule>
  </conditionalFormatting>
  <conditionalFormatting sqref="AV16">
    <cfRule type="dataBar" priority="64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{EDEEAF39-78AF-4400-96E1-FD4C06C157D8}</x14:id>
        </ext>
      </extLst>
    </cfRule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{7A723E5C-93F0-4331-8BF2-7B9B415F9992}</x14:id>
        </ext>
      </extLst>
    </cfRule>
    <cfRule type="dataBar" priority="64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{83692DE3-5428-4179-ADE4-C11BCA251456}</x14:id>
        </ext>
      </extLst>
    </cfRule>
    <cfRule type="dataBar" priority="63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{07902F76-65BF-49A3-AB78-E0AAE372C585}</x14:id>
        </ext>
      </extLst>
    </cfRule>
    <cfRule type="dataBar" priority="63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{0CD9B26A-4D5E-4337-A596-96F89562685C}</x14:id>
        </ext>
      </extLst>
    </cfRule>
    <cfRule type="dataBar" priority="6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{24684733-7637-419A-ABB0-8384FD804338}</x14:id>
        </ext>
      </extLst>
    </cfRule>
    <cfRule type="dataBar" priority="6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{40A0474C-D651-48D1-A925-5A8B8DA41062}</x14:id>
        </ext>
      </extLst>
    </cfRule>
    <cfRule type="dataBar" priority="6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{C8FAB1A6-61F6-4AA8-9E5E-1143AA9F6709}</x14:id>
        </ext>
      </extLst>
    </cfRule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{36BCE2B3-9B62-4F2E-B8B4-E85D444117EC}</x14:id>
        </ext>
      </extLst>
    </cfRule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{31EE560D-DB94-487F-9567-8882ECD521F0}</x14:id>
        </ext>
      </extLst>
    </cfRule>
    <cfRule type="dataBar" priority="6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{7064A457-E1C4-41D3-BD90-341B266E5A13}</x14:id>
        </ext>
      </extLst>
    </cfRule>
    <cfRule type="dataBar" priority="6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{BF449187-4071-4DCF-8072-2CAE992EFF57}</x14:id>
        </ext>
      </extLst>
    </cfRule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{2A3338E0-061C-4365-A2C3-4A7513FBF9C7}</x14:id>
        </ext>
      </extLst>
    </cfRule>
  </conditionalFormatting>
  <conditionalFormatting sqref="AV17:AV19">
    <cfRule type="dataBar" priority="14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{404FE5E9-36A8-440E-B989-6A148476A48B}</x14:id>
        </ext>
      </extLst>
    </cfRule>
    <cfRule type="dataBar" priority="142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{6EE33099-1E89-443C-B4F9-61190E95D4B2}</x14:id>
        </ext>
      </extLst>
    </cfRule>
    <cfRule type="dataBar" priority="1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{8E36F97F-4200-46BD-8DFE-C3899BE2B80B}</x14:id>
        </ext>
      </extLst>
    </cfRule>
    <cfRule type="dataBar" priority="14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{6E54E847-A101-48B1-B9E9-C14F9BF12155}</x14:id>
        </ext>
      </extLst>
    </cfRule>
    <cfRule type="dataBar" priority="14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{18883726-AAF1-4244-BD57-1A6C4E7147E5}</x14:id>
        </ext>
      </extLst>
    </cfRule>
    <cfRule type="dataBar" priority="14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{2A7394C0-250B-40C2-9755-1D6FFCC80325}</x14:id>
        </ext>
      </extLst>
    </cfRule>
    <cfRule type="dataBar" priority="14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{C852A2AF-B017-4165-9335-047B780FA125}</x14:id>
        </ext>
      </extLst>
    </cfRule>
    <cfRule type="dataBar" priority="1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{55489C41-8388-464A-BC56-666E8A80C4F4}</x14:id>
        </ext>
      </extLst>
    </cfRule>
    <cfRule type="dataBar" priority="1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{D9E65FCB-16F1-4BF4-99DB-C5AD14391CD1}</x14:id>
        </ext>
      </extLst>
    </cfRule>
    <cfRule type="dataBar" priority="14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{C692D08A-E86B-4C57-8045-D2528E7AAD9E}</x14:id>
        </ext>
      </extLst>
    </cfRule>
    <cfRule type="dataBar" priority="14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{836DA6C3-5F44-40D2-A851-C5C1098032E1}</x14:id>
        </ext>
      </extLst>
    </cfRule>
    <cfRule type="dataBar" priority="14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{6F28C6AB-9ABD-4B38-8F51-E5F3B4CC2E23}</x14:id>
        </ext>
      </extLst>
    </cfRule>
    <cfRule type="dataBar" priority="1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{8B502135-96A3-4E4D-B4C2-5A8D81306250}</x14:id>
        </ext>
      </extLst>
    </cfRule>
    <cfRule type="dataBar" priority="14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{11D6D0EA-A2B1-4A8B-80BF-398C84A2D802}</x14:id>
        </ext>
      </extLst>
    </cfRule>
    <cfRule type="dataBar" priority="14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{416DEEF1-B8D0-4CBF-A920-2C08FCC5257D}</x14:id>
        </ext>
      </extLst>
    </cfRule>
    <cfRule type="dataBar" priority="14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{FEB3F09B-E79A-4ED6-862E-1E1CCE36CED3}</x14:id>
        </ext>
      </extLst>
    </cfRule>
    <cfRule type="dataBar" priority="14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{4A297A10-6DC4-4CAD-BA6C-4217472D9866}</x14:id>
        </ext>
      </extLst>
    </cfRule>
    <cfRule type="dataBar" priority="1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{E06B5C6E-E1DF-4EFB-B03C-8E1A634CA0C6}</x14:id>
        </ext>
      </extLst>
    </cfRule>
    <cfRule type="dataBar" priority="14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{78178C7D-4BB8-49CF-8F5D-F60F2D0BD71E}</x14:id>
        </ext>
      </extLst>
    </cfRule>
    <cfRule type="dataBar" priority="1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{DD55775E-28BA-41B6-ADEA-6754E89D6243}</x14:id>
        </ext>
      </extLst>
    </cfRule>
    <cfRule type="dataBar" priority="1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{7BAA204D-823B-4CB5-848F-AF7D430B69D2}</x14:id>
        </ext>
      </extLst>
    </cfRule>
    <cfRule type="dataBar" priority="14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{BBD945F0-DAD2-4BDF-B93D-A5DF31315750}</x14:id>
        </ext>
      </extLst>
    </cfRule>
    <cfRule type="dataBar" priority="14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{E1083B90-E8DA-4CFF-9969-08153705CBDE}</x14:id>
        </ext>
      </extLst>
    </cfRule>
    <cfRule type="dataBar" priority="14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{3552FD0F-74F6-48B1-9184-B5885DB22AF6}</x14:id>
        </ext>
      </extLst>
    </cfRule>
    <cfRule type="dataBar" priority="14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{FFBC6D4A-0411-4E15-8519-D8610EB6F7E9}</x14:id>
        </ext>
      </extLst>
    </cfRule>
    <cfRule type="dataBar" priority="14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{631DEF42-A995-468E-95D7-35928A1B208E}</x14:id>
        </ext>
      </extLst>
    </cfRule>
    <cfRule type="dataBar" priority="14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{9406B752-8E87-4864-9307-92D04943243A}</x14:id>
        </ext>
      </extLst>
    </cfRule>
    <cfRule type="dataBar" priority="14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{137B0793-FFF8-4269-ADED-85ECDDFA222B}</x14:id>
        </ext>
      </extLst>
    </cfRule>
    <cfRule type="dataBar" priority="141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{29C84DD1-9149-4D97-8D33-D2A692A9F59F}</x14:id>
        </ext>
      </extLst>
    </cfRule>
    <cfRule type="dataBar" priority="14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{7309B6B5-963F-48C9-8E15-DA3CB090B44A}</x14:id>
        </ext>
      </extLst>
    </cfRule>
  </conditionalFormatting>
  <conditionalFormatting sqref="AV20">
    <cfRule type="dataBar" priority="63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{7A5C54AD-428E-4D23-B46A-60AF74CCBA3D}</x14:id>
        </ext>
      </extLst>
    </cfRule>
    <cfRule type="dataBar" priority="6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{21243B8D-86A5-4104-B97B-E9B7FEB74F8A}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{B95D6421-042C-4263-932B-04ED42D5AA1F}</x14:id>
        </ext>
      </extLst>
    </cfRule>
    <cfRule type="dataBar" priority="62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{727A1AA1-8538-4C85-8A7B-C792B1298DD1}</x14:id>
        </ext>
      </extLst>
    </cfRule>
    <cfRule type="dataBar" priority="62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{F869CA6C-546A-417B-86FD-7D8627AA1BB6}</x14:id>
        </ext>
      </extLst>
    </cfRule>
    <cfRule type="dataBar" priority="6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{A1B097C4-8612-400B-9487-5FAD475DFDE1}</x14:id>
        </ext>
      </extLst>
    </cfRule>
    <cfRule type="dataBar" priority="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{6F32E63C-8384-4170-B2D4-E3B346F9069D}</x14:id>
        </ext>
      </extLst>
    </cfRule>
    <cfRule type="dataBar" priority="6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{57FC1DC6-9E3F-4E3E-8776-3EE2F5E4C21C}</x14:id>
        </ext>
      </extLst>
    </cfRule>
    <cfRule type="dataBar" priority="6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{0E00442F-03A2-4A45-8A3B-A32B6A7D79F7}</x14:id>
        </ext>
      </extLst>
    </cfRule>
    <cfRule type="dataBar" priority="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{B376660A-65F3-4C55-A183-ABF62050693C}</x14:id>
        </ext>
      </extLst>
    </cfRule>
    <cfRule type="dataBar" priority="62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{37648A3B-4DDD-47AA-98F5-5B6EED8A7CF7}</x14:id>
        </ext>
      </extLst>
    </cfRule>
    <cfRule type="dataBar" priority="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{E92EAAD1-C0DE-412A-92F4-9CCF425813C9}</x14:id>
        </ext>
      </extLst>
    </cfRule>
    <cfRule type="dataBar" priority="6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{763812FC-18CF-4909-8CC6-BC41F8A886F7}</x14:id>
        </ext>
      </extLst>
    </cfRule>
  </conditionalFormatting>
  <conditionalFormatting sqref="AV21">
    <cfRule type="dataBar" priority="13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{FB435555-01B9-4CDC-83FC-FE1A32A66A3F}</x14:id>
        </ext>
      </extLst>
    </cfRule>
    <cfRule type="dataBar" priority="13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{A4AD7C84-6BF5-47AF-900E-0414CBEA63A6}</x14:id>
        </ext>
      </extLst>
    </cfRule>
    <cfRule type="dataBar" priority="13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{BC2F980F-D75C-470A-8EE3-0390DD61CE12}</x14:id>
        </ext>
      </extLst>
    </cfRule>
    <cfRule type="dataBar" priority="137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{2B5EB83C-1AC7-4BEE-B60B-6E94A89C27E1}</x14:id>
        </ext>
      </extLst>
    </cfRule>
    <cfRule type="dataBar" priority="13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{15BE7879-4E3C-49CE-9643-F7732499A370}</x14:id>
        </ext>
      </extLst>
    </cfRule>
    <cfRule type="dataBar" priority="13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{8C71134D-A783-476D-BC02-65F8C20322DF}</x14:id>
        </ext>
      </extLst>
    </cfRule>
    <cfRule type="dataBar" priority="1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{EB8F99F7-5D2F-48F8-8990-28038EBFB4D2}</x14:id>
        </ext>
      </extLst>
    </cfRule>
    <cfRule type="dataBar" priority="13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{09D0FF42-5D41-4100-B472-7B120410CEC6}</x14:id>
        </ext>
      </extLst>
    </cfRule>
    <cfRule type="dataBar" priority="13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{31501291-ED4B-43D5-9A59-D3FD31AF2C7E}</x14:id>
        </ext>
      </extLst>
    </cfRule>
    <cfRule type="dataBar" priority="13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{1C30B59E-5D7A-43B5-8360-F3CC41F03ECE}</x14:id>
        </ext>
      </extLst>
    </cfRule>
    <cfRule type="dataBar" priority="1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{219C37A3-E8F4-4113-92BE-C9E0C9EB3371}</x14:id>
        </ext>
      </extLst>
    </cfRule>
    <cfRule type="dataBar" priority="138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{F5D6A4FD-4ED9-4523-B563-DCF21D372445}</x14:id>
        </ext>
      </extLst>
    </cfRule>
    <cfRule type="dataBar" priority="13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{A0EA2050-9587-4724-A3FF-F73F1DB3D46C}</x14:id>
        </ext>
      </extLst>
    </cfRule>
    <cfRule type="dataBar" priority="13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{AAD66826-347D-4B85-9020-1240E36BFD25}</x14:id>
        </ext>
      </extLst>
    </cfRule>
    <cfRule type="dataBar" priority="1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{52BE9E6D-BBB2-4113-BAB3-994AEA364AE1}</x14:id>
        </ext>
      </extLst>
    </cfRule>
    <cfRule type="dataBar" priority="13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{973E2656-282E-4498-AF0A-399D08DEF592}</x14:id>
        </ext>
      </extLst>
    </cfRule>
    <cfRule type="dataBar" priority="13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{434D5485-AF7D-43E3-9587-1E625F0C28F7}</x14:id>
        </ext>
      </extLst>
    </cfRule>
    <cfRule type="dataBar" priority="1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{2E613328-3BDC-41C2-AB61-A0B1B26B6025}</x14:id>
        </ext>
      </extLst>
    </cfRule>
    <cfRule type="dataBar" priority="13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{00F18E3A-2479-420D-9C09-91A9C03892BB}</x14:id>
        </ext>
      </extLst>
    </cfRule>
    <cfRule type="dataBar" priority="14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{6C6FDB14-9CA0-4CDB-873D-B6EC0ABED00C}</x14:id>
        </ext>
      </extLst>
    </cfRule>
    <cfRule type="dataBar" priority="14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{6C05E0D9-9316-460F-AF7A-D460B1AA74F3}</x14:id>
        </ext>
      </extLst>
    </cfRule>
    <cfRule type="dataBar" priority="14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{C93AA3DF-F40B-4D70-A451-23FF7DF4838A}</x14:id>
        </ext>
      </extLst>
    </cfRule>
    <cfRule type="dataBar" priority="1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{41EE6B6B-6DDC-4129-BEB7-1AB32EBB5C2B}</x14:id>
        </ext>
      </extLst>
    </cfRule>
    <cfRule type="dataBar" priority="140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{DAC42B46-6B15-4B9C-A1A3-2F3C140EFBBA}</x14:id>
        </ext>
      </extLst>
    </cfRule>
    <cfRule type="dataBar" priority="14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{438659E3-B022-4247-94BB-E51925A80F68}</x14:id>
        </ext>
      </extLst>
    </cfRule>
    <cfRule type="dataBar" priority="13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{26C5D6D3-7F7B-4F2A-A768-D89772581D23}</x14:id>
        </ext>
      </extLst>
    </cfRule>
    <cfRule type="dataBar" priority="13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{E842C677-9DAA-4454-8022-BB278FFA8911}</x14:id>
        </ext>
      </extLst>
    </cfRule>
    <cfRule type="dataBar" priority="1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{F502ED5F-9363-48ED-9065-D758A0601CED}</x14:id>
        </ext>
      </extLst>
    </cfRule>
    <cfRule type="dataBar" priority="139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{9B5E61DB-8E06-454E-B326-F2746BF8F655}</x14:id>
        </ext>
      </extLst>
    </cfRule>
    <cfRule type="dataBar" priority="1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{4C536189-BEA9-4F33-83A5-F788695A5090}</x14:id>
        </ext>
      </extLst>
    </cfRule>
  </conditionalFormatting>
  <conditionalFormatting sqref="AV22">
    <cfRule type="dataBar" priority="519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{8C6AAEDD-6C4D-4AC5-8929-E05B83E7571D}</x14:id>
        </ext>
      </extLst>
    </cfRule>
    <cfRule type="dataBar" priority="519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{6469786D-9534-4C17-A297-18D3131686CD}</x14:id>
        </ext>
      </extLst>
    </cfRule>
    <cfRule type="dataBar" priority="519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{44075541-B71D-4DE4-B992-42DCC0604A77}</x14:id>
        </ext>
      </extLst>
    </cfRule>
    <cfRule type="dataBar" priority="51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{2F559AD5-F212-4780-9E8F-2087105799C4}</x14:id>
        </ext>
      </extLst>
    </cfRule>
    <cfRule type="dataBar" priority="51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{91F8B73B-6F7D-440E-B2B4-7172A97D5C70}</x14:id>
        </ext>
      </extLst>
    </cfRule>
    <cfRule type="dataBar" priority="5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{347DE046-3694-4CB2-9E54-212EE23750E6}</x14:id>
        </ext>
      </extLst>
    </cfRule>
    <cfRule type="dataBar" priority="5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{4D92669B-1B01-4621-8C0E-7F18D8D896FC}</x14:id>
        </ext>
      </extLst>
    </cfRule>
    <cfRule type="dataBar" priority="5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{EAE8661A-CD3B-4758-B803-C8F71A500B4A}</x14:id>
        </ext>
      </extLst>
    </cfRule>
    <cfRule type="dataBar" priority="51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{AFD77578-5CF7-42FA-8391-A9143729B455}</x14:id>
        </ext>
      </extLst>
    </cfRule>
    <cfRule type="dataBar" priority="5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{FDBDDB92-96C6-43C9-8C14-093A10DB11C5}</x14:id>
        </ext>
      </extLst>
    </cfRule>
    <cfRule type="dataBar" priority="519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{EB0E4988-D0F2-4514-9B3E-809FAABFDED9}</x14:id>
        </ext>
      </extLst>
    </cfRule>
    <cfRule type="dataBar" priority="519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{34CE1D8B-7CB5-4BFE-A144-E525584D0047}</x14:id>
        </ext>
      </extLst>
    </cfRule>
    <cfRule type="dataBar" priority="519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{B77BB86A-A578-4FDA-9AA9-646AA3AFDDAA}</x14:id>
        </ext>
      </extLst>
    </cfRule>
  </conditionalFormatting>
  <conditionalFormatting sqref="AV23:AV25">
    <cfRule type="dataBar" priority="5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{2B98FA42-E5C7-4A41-A451-38D73051A9E6}</x14:id>
        </ext>
      </extLst>
    </cfRule>
    <cfRule type="dataBar" priority="52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{EE431843-A39D-4C37-A33B-1C38828AA69F}</x14:id>
        </ext>
      </extLst>
    </cfRule>
    <cfRule type="dataBar" priority="520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{8D717C29-0BFF-47BC-B4EC-20B37EB8A55D}</x14:id>
        </ext>
      </extLst>
    </cfRule>
    <cfRule type="dataBar" priority="520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{E93E1000-8E62-4EF4-9836-5CB42FC2BC55}</x14:id>
        </ext>
      </extLst>
    </cfRule>
    <cfRule type="dataBar" priority="5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{FB9D12BC-425E-4409-9854-14C83235FED8}</x14:id>
        </ext>
      </extLst>
    </cfRule>
    <cfRule type="dataBar" priority="520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{F03C1086-E8F3-4BEB-8659-697421C48BCF}</x14:id>
        </ext>
      </extLst>
    </cfRule>
    <cfRule type="dataBar" priority="521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{A4250D29-141F-45C4-8BBE-2B429D9CB04E}</x14:id>
        </ext>
      </extLst>
    </cfRule>
    <cfRule type="dataBar" priority="521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{38FE1E94-7444-4355-ABE5-86B8179CA3FD}</x14:id>
        </ext>
      </extLst>
    </cfRule>
    <cfRule type="dataBar" priority="521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{F6521AA8-1078-4C53-8D87-623A8B3CE799}</x14:id>
        </ext>
      </extLst>
    </cfRule>
    <cfRule type="dataBar" priority="5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{B217C524-AC14-4ABF-A2D7-5C52EA4CBA54}</x14:id>
        </ext>
      </extLst>
    </cfRule>
    <cfRule type="dataBar" priority="521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{57C3A948-EA6C-4F0B-87DF-2327637F4040}</x14:id>
        </ext>
      </extLst>
    </cfRule>
    <cfRule type="dataBar" priority="5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{2C276D23-2FD3-4AD3-95E5-B73288FB022A}</x14:id>
        </ext>
      </extLst>
    </cfRule>
    <cfRule type="dataBar" priority="52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{6C0F3AE7-E0B7-46D6-8164-77FEF5950EB6}</x14:id>
        </ext>
      </extLst>
    </cfRule>
    <cfRule type="dataBar" priority="52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{7D98702C-34DB-4FEA-9184-ECCF94CF0F4F}</x14:id>
        </ext>
      </extLst>
    </cfRule>
    <cfRule type="dataBar" priority="5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{C24459A2-1010-4568-8C6E-04EA695A63DE}</x14:id>
        </ext>
      </extLst>
    </cfRule>
    <cfRule type="dataBar" priority="524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{153010BF-D8B4-47F3-B162-12A9D29981F0}</x14:id>
        </ext>
      </extLst>
    </cfRule>
    <cfRule type="dataBar" priority="52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{C4986F5B-7803-41EE-8F3A-46EA780FBD8E}</x14:id>
        </ext>
      </extLst>
    </cfRule>
  </conditionalFormatting>
  <conditionalFormatting sqref="AV26">
    <cfRule type="dataBar" priority="1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{55D6A333-8C61-4C31-A51D-E335F860E4AC}</x14:id>
        </ext>
      </extLst>
    </cfRule>
    <cfRule type="dataBar" priority="13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{B1AC6E22-A012-41C2-A2A5-B59BFBE488FB}</x14:id>
        </ext>
      </extLst>
    </cfRule>
    <cfRule type="dataBar" priority="134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{D413D490-AE3A-422C-B381-6E2375E451C1}</x14:id>
        </ext>
      </extLst>
    </cfRule>
    <cfRule type="dataBar" priority="13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{4659A825-7A10-474B-8DC3-E2D570680900}</x14:id>
        </ext>
      </extLst>
    </cfRule>
    <cfRule type="dataBar" priority="13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{E42C0EA6-4656-4F6F-81C8-A352DEFD0A33}</x14:id>
        </ext>
      </extLst>
    </cfRule>
    <cfRule type="dataBar" priority="1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{3843F122-8308-463B-A1A5-8CA180C7636F}</x14:id>
        </ext>
      </extLst>
    </cfRule>
    <cfRule type="dataBar" priority="13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{DE5CD204-DC2A-4E61-ADA3-CBB91D364DCB}</x14:id>
        </ext>
      </extLst>
    </cfRule>
    <cfRule type="dataBar" priority="13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{29EBA5E9-3F09-425B-860B-4C423E212710}</x14:id>
        </ext>
      </extLst>
    </cfRule>
    <cfRule type="dataBar" priority="131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{68E38799-2C54-4DDA-9D3C-5E92D7CB1CBB}</x14:id>
        </ext>
      </extLst>
    </cfRule>
    <cfRule type="dataBar" priority="13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{415A15A7-BACB-4039-A374-65D62C42ED6C}</x14:id>
        </ext>
      </extLst>
    </cfRule>
    <cfRule type="dataBar" priority="13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{A1640A1B-832D-44A3-96AC-5272D2CC2FD5}</x14:id>
        </ext>
      </extLst>
    </cfRule>
    <cfRule type="dataBar" priority="1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{A0D01D63-6DA1-42B0-8808-F5D9A076AB17}</x14:id>
        </ext>
      </extLst>
    </cfRule>
    <cfRule type="dataBar" priority="1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{B4D418F3-EDF9-4A15-AFBE-FAD6E76E286B}</x14:id>
        </ext>
      </extLst>
    </cfRule>
    <cfRule type="dataBar" priority="13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{04C1BEA8-FF51-4CE3-A26E-F1F701F6A306}</x14:id>
        </ext>
      </extLst>
    </cfRule>
    <cfRule type="dataBar" priority="1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{6CCC111F-60A4-49F5-BD06-FF74BF419F9C}</x14:id>
        </ext>
      </extLst>
    </cfRule>
    <cfRule type="dataBar" priority="13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{AFB55E42-40E1-4AD0-9FA0-352C0BFA5787}</x14:id>
        </ext>
      </extLst>
    </cfRule>
    <cfRule type="dataBar" priority="13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{BF679828-5413-4658-A18E-772390F118BD}</x14:id>
        </ext>
      </extLst>
    </cfRule>
    <cfRule type="dataBar" priority="13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{2FC81617-363A-4EC5-9756-5BD7B02AF83F}</x14:id>
        </ext>
      </extLst>
    </cfRule>
    <cfRule type="dataBar" priority="13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{FCF8C876-F77C-4127-B923-33484EEE8068}</x14:id>
        </ext>
      </extLst>
    </cfRule>
    <cfRule type="dataBar" priority="134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{BAFB0E0B-D09C-4DE3-88F0-47A76FCCD0E0}</x14:id>
        </ext>
      </extLst>
    </cfRule>
    <cfRule type="dataBar" priority="13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{1FEEF875-7D1C-4585-81DE-E8B74E3F0607}</x14:id>
        </ext>
      </extLst>
    </cfRule>
    <cfRule type="dataBar" priority="1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{12A783A8-2CE8-4EAE-ACA3-FFD087C5BC92}</x14:id>
        </ext>
      </extLst>
    </cfRule>
    <cfRule type="dataBar" priority="134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{333C7FB3-F756-433F-84A3-3D9C5AB17490}</x14:id>
        </ext>
      </extLst>
    </cfRule>
    <cfRule type="dataBar" priority="134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{B07185A2-FCC1-4B66-B90C-EE42B09D8C43}</x14:id>
        </ext>
      </extLst>
    </cfRule>
    <cfRule type="dataBar" priority="1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{2E97A94D-B9F3-4D4C-888D-960428978A3D}</x14:id>
        </ext>
      </extLst>
    </cfRule>
    <cfRule type="dataBar" priority="13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{78FA924E-8D85-401C-9AD9-AE71D17584FD}</x14:id>
        </ext>
      </extLst>
    </cfRule>
    <cfRule type="dataBar" priority="13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{C13FD515-E154-49B3-AD1F-453574AAEFEF}</x14:id>
        </ext>
      </extLst>
    </cfRule>
    <cfRule type="dataBar" priority="13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{0B9B7163-83C8-480E-A9F5-5453EDFFB353}</x14:id>
        </ext>
      </extLst>
    </cfRule>
    <cfRule type="dataBar" priority="1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{60B1F963-EB7C-4D5F-BC0A-9E11C2C37F08}</x14:id>
        </ext>
      </extLst>
    </cfRule>
    <cfRule type="dataBar" priority="13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{16762CC4-2015-4BDE-90F4-1B08216F3608}</x14:id>
        </ext>
      </extLst>
    </cfRule>
  </conditionalFormatting>
  <conditionalFormatting sqref="AV27:AV28">
    <cfRule type="dataBar" priority="15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{DA69FFC5-1A26-4C3F-97DB-A5ECE005CC83}</x14:id>
        </ext>
      </extLst>
    </cfRule>
    <cfRule type="dataBar" priority="15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{CFE6D29E-9015-4B37-AD63-507D6BE5FB6C}</x14:id>
        </ext>
      </extLst>
    </cfRule>
    <cfRule type="dataBar" priority="1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{F579CD2C-4359-462F-AA57-68C431F120DD}</x14:id>
        </ext>
      </extLst>
    </cfRule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{B0AA1D06-6C9B-419A-9161-6BB3B86C69F8}</x14:id>
        </ext>
      </extLst>
    </cfRule>
    <cfRule type="dataBar" priority="1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{C0D4DE09-9B72-4ECB-9F93-8795376BB026}</x14:id>
        </ext>
      </extLst>
    </cfRule>
    <cfRule type="dataBar" priority="1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{FF9EF633-8BA1-40D1-B4FD-B99717986B9A}</x14:id>
        </ext>
      </extLst>
    </cfRule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{DCFE67E9-305C-4C9A-ACC5-049C4793F36F}</x14:id>
        </ext>
      </extLst>
    </cfRule>
    <cfRule type="dataBar" priority="14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{06FF80FC-CCCF-4997-9594-1C5F117186A2}</x14:id>
        </ext>
      </extLst>
    </cfRule>
    <cfRule type="dataBar" priority="1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{4589A9A3-BE34-4652-90EB-8F7BD132014A}</x14:id>
        </ext>
      </extLst>
    </cfRule>
    <cfRule type="dataBar" priority="16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{F130340A-CC15-4E1C-81EC-A92F70941A6F}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{37AAE45D-F07B-4F93-899E-15BE142846EE}</x14:id>
        </ext>
      </extLst>
    </cfRule>
    <cfRule type="dataBar" priority="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{A4D1F199-B785-4683-BF61-93D49E91A87B}</x14:id>
        </ext>
      </extLst>
    </cfRule>
    <cfRule type="dataBar" priority="15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{83B21C73-1F4D-481E-AC56-8B4CA169FEAB}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1DB43D-662B-416A-A45A-E7D985544E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AB1B0B-519A-440D-816A-49A1382E1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674BEE-28AF-4041-B8AF-01B09ABA10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1F8419-D125-4D8D-A5FF-67A889F7CA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B5:C22</xm:sqref>
        </x14:conditionalFormatting>
        <x14:conditionalFormatting xmlns:xm="http://schemas.microsoft.com/office/excel/2006/main">
          <x14:cfRule type="dataBar" id="{2D030B5C-C15A-449B-9F58-9F5BFF611B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572C4D-10B0-4903-BE50-AAA7B86EF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DF437D-9FBC-41B1-9DE7-CD2607D051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C87119-EDA5-41C7-BEB4-921A677C9A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B23:C24</xm:sqref>
        </x14:conditionalFormatting>
        <x14:conditionalFormatting xmlns:xm="http://schemas.microsoft.com/office/excel/2006/main">
          <x14:cfRule type="dataBar" id="{524BCB79-98A9-4B09-A1D3-93F2FBF53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</xm:sqref>
        </x14:conditionalFormatting>
        <x14:conditionalFormatting xmlns:xm="http://schemas.microsoft.com/office/excel/2006/main">
          <x14:cfRule type="dataBar" id="{4636B2C4-25AC-4ED3-96A8-DF75FAD2BE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</xm:sqref>
        </x14:conditionalFormatting>
        <x14:conditionalFormatting xmlns:xm="http://schemas.microsoft.com/office/excel/2006/main">
          <x14:cfRule type="dataBar" id="{622875DD-9E29-4C97-94EE-F0E0DA9189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E30</xm:sqref>
        </x14:conditionalFormatting>
        <x14:conditionalFormatting xmlns:xm="http://schemas.microsoft.com/office/excel/2006/main">
          <x14:cfRule type="dataBar" id="{DC0E0AD7-F6C8-4985-9833-F27C4CBF8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F5:F25</xm:sqref>
        </x14:conditionalFormatting>
        <x14:conditionalFormatting xmlns:xm="http://schemas.microsoft.com/office/excel/2006/main">
          <x14:cfRule type="dataBar" id="{662C598B-92C0-4AFF-B937-710FC49F1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4F9BDC-AD30-44C8-9278-C30EDD9B3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342FE3-9BA9-4492-A322-D586DC7302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6A70CF-E23A-48BE-A6E2-0A211DEB5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D6E6FA-DDC6-4745-A411-F8608FBA61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9AAC71-4406-4D2C-B8DE-3AC9B3E92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F5:F26</xm:sqref>
        </x14:conditionalFormatting>
        <x14:conditionalFormatting xmlns:xm="http://schemas.microsoft.com/office/excel/2006/main">
          <x14:cfRule type="dataBar" id="{B5F3E126-2618-4370-A419-AEB34BB73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50EA92-1C6C-4944-BC3A-2FA470EBFD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67F624-DFA4-4919-9617-0ABD8114E1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ECBB22-AA20-4927-ABCD-16CC825132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E4F728-6096-47E3-8C66-16BAD8B10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DCF59E-0B2D-41E7-A693-8342588CB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7C7242-ED65-419C-B68D-0E6409F332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B56A0E-9587-4B19-B829-0901B556F8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815147-B80D-4AC1-8BCD-5ACC7E95D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D3CB87-0766-4EEC-8998-589A100AF2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C886CF-0CDA-4B31-AFA6-4A8AC4A52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AEFA2D-E13C-49AC-8DDD-8BA102537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20C8A5-2FB2-4C6D-B168-C730B3753D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5801A7-8265-4AA6-B88E-D658B3F4F3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8A5C9E-451D-4892-AE91-A647951F9C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99E1BB-A7C4-4BA4-BA67-4C5B7C3D39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08350E-62EF-4651-BB4F-2D3CB3A881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F5:F27</xm:sqref>
        </x14:conditionalFormatting>
        <x14:conditionalFormatting xmlns:xm="http://schemas.microsoft.com/office/excel/2006/main">
          <x14:cfRule type="dataBar" id="{8BBDDB08-DFFA-478D-9E71-1C09EA5619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F5:F29</xm:sqref>
        </x14:conditionalFormatting>
        <x14:conditionalFormatting xmlns:xm="http://schemas.microsoft.com/office/excel/2006/main">
          <x14:cfRule type="dataBar" id="{A429A15E-D94B-4D18-8785-CD5A4C8B8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F5:F30</xm:sqref>
        </x14:conditionalFormatting>
        <x14:conditionalFormatting xmlns:xm="http://schemas.microsoft.com/office/excel/2006/main">
          <x14:cfRule type="dataBar" id="{881329D0-2A0F-4240-BBC6-B913D466A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518F46-DB7D-4931-BD84-F513CD4AD3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00F0D7-B106-4838-AD8C-F69AABD539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9E36A2-EDEA-4232-8B1B-8AD9CD9852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931EAE-22DB-41CA-B631-95F8B1084C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9084B2-68A8-4727-866F-F66A13B99D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9547FE-62D7-4E8A-B04D-BB1F86AB2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072A94-B273-434D-B41E-8A0487133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91675F-0CF2-4975-881F-044635BD4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8562D2-CDF7-4051-9BE9-3FB4F8307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E3578F-7DAF-4409-BF85-AC5C1B681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69939D-15BD-41CD-9F3B-B162DCA2E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C179D1-4352-4198-A207-7B9961BEE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ACB35D-D8D8-4E7F-BFEE-8453AA898A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29C260-27C7-420D-A604-B79037686B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E4D71E-A27A-449D-B13C-C402FB0B04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6AB5A8-F318-496B-B19F-D9B5FF0DB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F28</xm:sqref>
        </x14:conditionalFormatting>
        <x14:conditionalFormatting xmlns:xm="http://schemas.microsoft.com/office/excel/2006/main">
          <x14:cfRule type="dataBar" id="{634C4FCB-05BF-4CE0-AAA3-F6633435E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6454FA-3D90-425B-89E6-A3E97B8021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9CCD39-E317-4463-B8E2-6BA4703F6C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A5CC0B-B87B-4E4B-9241-FC7C91CB3A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E8699A-3F49-4526-B098-8FE0F6307C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328567-138F-4A62-B99A-188B12BC29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97F3A0-466B-4DA5-9959-173DAAE6DE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77C729-F822-46CA-A5CA-02B014598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C20CB2-D7F2-4F6E-A8A8-22E00CF23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384933-23C0-43FB-8B3D-F20D5F5D52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8684FB-CC2A-48AA-9ED1-36A0A62225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26BC0B-C9E7-44FE-AF44-E916A31B8C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A2691D-F036-49C2-BB7E-5ABD6CB255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2A5BA1-35A0-4E5F-AD0E-BB70900B2B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EC6374-F60A-4735-A103-F2F3D7AE19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0C0224-9674-4078-9FC6-D9E759A93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C789A2-0822-4CFC-9921-B14973E68B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F29</xm:sqref>
        </x14:conditionalFormatting>
        <x14:conditionalFormatting xmlns:xm="http://schemas.microsoft.com/office/excel/2006/main">
          <x14:cfRule type="dataBar" id="{914D8A87-9684-4617-AD49-A4E7F26728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C8C719-6A6A-41D5-9ACC-B7FD615A7F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B455F1-E3EC-4B0A-8690-FBEB84DCCB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EB2910-3598-4336-B964-2EDA7A561A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190A37-F4BA-4AC4-9E9A-F3D36B974D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2AF29C-5D58-4214-A401-B17A7F5666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DC2B0E-3EDF-4570-8267-9144492BE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508B42-70CA-4D57-9638-B29ABE4A7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7316A1-9E73-4EDC-9B81-28F898020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B949C3-194E-4590-A833-BC178AF087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41FC4B-C218-427A-83F0-C163B5F71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DD4CA0-4055-4D02-8BB0-1E42C55AE4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BB8B27-4046-43D7-81AE-C7729F5608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2D34D0-7C16-4C4F-9A2B-494880C80B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7E8759-C19D-489F-B5D0-674ACB5D87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D5B760-7E97-4816-9978-98235BDBA1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A09476-C2E4-456A-9EB1-5B370C4577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16EE7C-78C6-4679-9BF6-1E8CC6415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F30</xm:sqref>
        </x14:conditionalFormatting>
        <x14:conditionalFormatting xmlns:xm="http://schemas.microsoft.com/office/excel/2006/main">
          <x14:cfRule type="dataBar" id="{3A668DEB-ABB7-4C6A-A23B-FEA9DFDA60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A1622-881E-4DF6-88F7-1DC75C2383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EFB977-3678-42F7-A52A-AAB5B48417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D023B-A299-4287-AAE8-6B20C0625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0B4FD3-6B91-4B98-BDBA-00F23A15D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086330-EDE6-4CA8-AFEC-D483DBC32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BFF886-3858-420B-B1D2-C6F64972FD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7B9257-44D3-47AC-9322-77A176D79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</xm:sqref>
        </x14:conditionalFormatting>
        <x14:conditionalFormatting xmlns:xm="http://schemas.microsoft.com/office/excel/2006/main">
          <x14:cfRule type="dataBar" id="{EA356DC4-AF02-4A67-9565-93730D25F8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90F98F-9B96-4EDA-A41A-313A28928B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0AA47-2F91-4FC5-A9AA-0370F2376C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6D162B-E6A9-4EBD-9EED-12BE9A1DA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17E294-B76C-4C60-A418-76EC1F75C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FB28B8-833D-40D7-9536-BCC4060AB9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69EF3E-1243-4B83-AD4B-406E379FD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B9A9FF-51CA-4254-AE9A-636A3667C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</xm:sqref>
        </x14:conditionalFormatting>
        <x14:conditionalFormatting xmlns:xm="http://schemas.microsoft.com/office/excel/2006/main">
          <x14:cfRule type="dataBar" id="{351D0BCC-0889-4FB2-ACC1-9593B7513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702F8C-B1D6-4276-9749-7C105BE11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45AF24-2FCC-4E77-B3D1-4921288C1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485874-553D-40AB-B919-6D52FB36E5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7B506A-D913-44E6-88A9-378D083571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68E32D-78E8-491F-98E4-EFB40E44D6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300676-BB77-43D2-9316-8E4BF7FEA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3C69B8-4E5F-46F0-BE7C-243B2F5B4D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</xm:sqref>
        </x14:conditionalFormatting>
        <x14:conditionalFormatting xmlns:xm="http://schemas.microsoft.com/office/excel/2006/main">
          <x14:cfRule type="dataBar" id="{33133CE6-889B-4EBC-8032-DFC074B733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0FE431-27A9-46D5-9291-B6055F5E80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0D266E-C9BB-421C-8216-2D72ACF6BB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77BB44-35B8-4D11-B274-00A86B765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5067C4-C18A-44AC-91FF-7F3A30913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A49E0F-1812-4BE0-9A28-E1C4C8506D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46E2F6-C0A8-43C8-850A-BA130975F0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D10251-4AFE-4A40-9CFC-3C2591990C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</xm:sqref>
        </x14:conditionalFormatting>
        <x14:conditionalFormatting xmlns:xm="http://schemas.microsoft.com/office/excel/2006/main">
          <x14:cfRule type="dataBar" id="{8DB6BF0E-0BDE-404A-96E8-FAFE98C449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86150E-C5C0-45ED-A8E6-CBE9309540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48A17D-E9A7-480A-A907-986B959CE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253B6D-EA92-4207-96E5-E59D6C03D5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72A9CB-A8CF-4BA2-82D9-DC00E12CB2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C246FA-D4C3-4C9A-B6E2-62914DE79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6DF7E3-5521-47AD-8509-5054799227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425EE8-E514-4ADC-9E84-53726E2E9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</xm:sqref>
        </x14:conditionalFormatting>
        <x14:conditionalFormatting xmlns:xm="http://schemas.microsoft.com/office/excel/2006/main">
          <x14:cfRule type="dataBar" id="{39DC6832-04AF-4A28-8E07-4DBA8798A7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74BD07-02C2-4450-9F40-904B5A452D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A59CF9-5889-46DD-81FC-2C9C0EE6AD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E37F63-E167-458D-998D-7C5CF45CCA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6CBF31-1C83-412F-B0CD-A86729718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02EAE7-C044-4791-B440-D3DFDD2CE4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129655-B4DE-4607-B6FD-31C7AE078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F53E75-0860-440C-90A9-0C77DD973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562490-630C-48F7-AFE1-0BEAF5D3AF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3B61CA-4571-466F-9EA6-4478D9237C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91ACBD-5D3A-4E84-910D-77551DB054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70FE03-3A8C-4905-A266-8252C78D8E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0F0D10-8931-4896-B59B-9855F6F7A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DFF097-8E2E-429B-9481-4535AD320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C90C5F-227D-4EB1-82AB-904341BE87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1CF268-85D6-4E84-BC35-B6EDD72FF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D7BA6E-A035-459C-9B92-7F5E928305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5CF068-F28F-4857-934F-27BB59F14D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8361CE-0C34-4820-84C0-A59C41E317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884010-8176-4411-9FBE-26C16F34AE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B934769D-188B-4C56-B032-5F045DEF26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9A2115-6D0F-4AE1-ADAE-0748F3894B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9D1FCC-D107-456A-9A98-F6F24C6EBA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126B5B-E960-4BC0-9825-6477EA45A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A839B7-2EBD-47F2-89F8-F4D00333F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11CFF2-C439-414D-B88F-1C07A0B722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931684-D51E-469B-B07A-8B2D5ECDB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950A4A-A2F7-4431-AE22-2871265B7E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</xm:sqref>
        </x14:conditionalFormatting>
        <x14:conditionalFormatting xmlns:xm="http://schemas.microsoft.com/office/excel/2006/main">
          <x14:cfRule type="dataBar" id="{6E83B0E7-BA35-425B-9221-D8CA4B68EF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D7776C-FCEA-4A40-8D2D-A0EFB3215C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427C76-25BE-45F2-9FCD-8BE5752E36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DFB22F-1536-4665-A34A-A3CD7ED1BF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9C0C91-CF77-49FE-BF90-F51387C2D7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24792D-D1B5-4785-9683-39F7F09EFE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A10ED3-0A9D-4705-9D75-2F59C20008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84BA7E-13DB-49F1-A4F7-9A3316FA7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</xm:sqref>
        </x14:conditionalFormatting>
        <x14:conditionalFormatting xmlns:xm="http://schemas.microsoft.com/office/excel/2006/main">
          <x14:cfRule type="dataBar" id="{F7C50CD8-8613-4566-9878-A074A41D2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DA534D-6FAA-4576-BF9C-D4B6755A3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ACAA51-0284-4A13-B46C-875200F52E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28BA30-0031-4117-88A9-45C7807F7F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05A5E6-4B28-4EB8-BBB2-3CCCA4E310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CEEF92-567E-4042-8DF4-CD95FA5BAC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1344A2-1F93-429E-A306-A98AC6056C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2A0019-2D91-42EB-9648-FE3C26C453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836F36-FDB3-4E05-A622-6FA5701ED8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0F4E0A-A500-42F6-BEC8-B1F8031E02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FB9DE0-D111-4442-B2D4-B1D1E0DC45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6FDB99-90CB-4630-9347-134CF3813B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4E555A-6189-4F11-BE68-6961913EC3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F7EEFB-F52B-4309-8D9B-F23B4F8307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BDADD1-16F7-4A84-BF60-48D5B5A33F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188E53-B44C-41A7-BCE1-EA7CABCA3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F97A85-8A8C-46D3-80E9-46B2B00974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60FF8C-EEC1-42BE-950E-D9045D4523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374115-D8DA-44B2-B774-BE1F7A1BE8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5D816D-DF7A-413C-8F1B-70BAE5BC37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433B8D-6D24-4B26-B6EE-B313411C54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023B1F-CB7A-46DD-A1FC-8AF3B91AC3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885591-B479-43CF-85FC-8DE2868E85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4A6E23-A800-4F0A-99E0-DC6DDDF257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679492-D3EE-4D2E-9925-9A54D91C95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4C799C-5ED4-4E8F-BE13-E652E1AC23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8FCEA7-56A7-404A-87C7-98A61225C7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8ABB7F-328E-467F-9B32-D7C8304855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CA25AF-8B04-4803-838B-97D1905F2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315C7D-B284-493A-A8B2-2F4718A171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G22:G28</xm:sqref>
        </x14:conditionalFormatting>
        <x14:conditionalFormatting xmlns:xm="http://schemas.microsoft.com/office/excel/2006/main">
          <x14:cfRule type="dataBar" id="{B762D159-6319-4E9C-965C-20C78055CA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ACCB02-55A1-4A3D-85B6-2D0910FA07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00CFDA-921D-4329-8932-B008FAFB2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F0D61A-B79D-4DB9-BF6A-61FEC20AA4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32AE08-831D-4852-ACF4-B08EA4AE43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F83CAB-7A72-4118-9238-73876999AA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028475-5E73-4C45-B390-882E01668F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2B8D2D-EDB3-4E08-B151-EF3F7C8952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C3C685-58B9-4543-B2D7-259F3B188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883D12-28DB-4401-BCF3-B3C7CE7DB1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1F77BE-69E7-4575-A0B4-BA35576AA5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32AE7F-2E28-41D3-9B88-A205E608AE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4E9C74-57D4-4857-AA3C-4F4ADAE6C8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G29</xm:sqref>
        </x14:conditionalFormatting>
        <x14:conditionalFormatting xmlns:xm="http://schemas.microsoft.com/office/excel/2006/main">
          <x14:cfRule type="dataBar" id="{BCD0AF80-5CDB-42B5-8BE9-0A0C11117F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B9B809-8712-4EE7-A281-67DC4E0018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E6DC14-81BB-495B-B3A0-6A44BA17A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6FC05F-7A4D-42D5-A2A4-3D23562627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766FB9-7AED-4612-85C2-FE7B550C0A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8D30DE-2AD1-4A1C-B3D6-FBF3FE1456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B8E095-2F48-4051-B1AB-35564B43B9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4DA499-6BCB-4DEE-BA80-CCCF680E8D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FC4BF3-5E2D-4602-BE62-5849B5FC43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B7F16B-5668-4CE3-AB3A-A6AED356AF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1AA151-46C3-4C39-A4BB-054397A056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BF8545-BC89-42D5-B76E-9434DA30B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AD8781-572A-47B9-841E-4F47E61444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G30</xm:sqref>
        </x14:conditionalFormatting>
        <x14:conditionalFormatting xmlns:xm="http://schemas.microsoft.com/office/excel/2006/main">
          <x14:cfRule type="dataBar" id="{73149531-0FDF-42F9-9F24-47A61B0219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02F4EC-12DF-4EA0-A266-83655AB26D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EDBA32-CED5-42C9-ABCE-6DA12EFCEC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66FA59-E9C2-4D00-85D3-166F18704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089897-8CB3-4F6B-A7E3-5027D9FF0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42AB5C-0422-423C-9E2F-8051069BA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5552EB-BA51-4187-A4CA-18A95289AB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9C4189-6AED-4B21-9F4F-52068BC636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G5:H5</xm:sqref>
        </x14:conditionalFormatting>
        <x14:conditionalFormatting xmlns:xm="http://schemas.microsoft.com/office/excel/2006/main">
          <x14:cfRule type="dataBar" id="{3FEC4CBD-E1DE-44EA-B550-ADE2D512F5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FD5EF8-5447-454E-92AC-0B03AF1D3B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70D139-D19D-47CA-8DE9-22EF664B4C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663C83-252D-4015-9468-5DFE02299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378AFF-0251-4097-B84C-1FA517EBC6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17CE30-88BC-4DEA-A453-BDA3918123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7C5C91-ACCE-4FC1-8B6F-8BB667F8D8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146B-265A-4C12-A6AB-63E93AE01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6FCED7-E0E5-4BC9-BBE0-9D3E847A44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647A55-312A-4C19-BA61-557AF970E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84B5C0-660C-4182-83A7-D8599DF7DD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05360E-6081-4CF4-BA5B-E9AD829AFF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G5:H12 G14:H21 H22:H27</xm:sqref>
        </x14:conditionalFormatting>
        <x14:conditionalFormatting xmlns:xm="http://schemas.microsoft.com/office/excel/2006/main">
          <x14:cfRule type="dataBar" id="{972A303F-FE8A-47D7-95F1-1C3C8DB245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G5:H21 H22:H27 E5:E24</xm:sqref>
        </x14:conditionalFormatting>
        <x14:conditionalFormatting xmlns:xm="http://schemas.microsoft.com/office/excel/2006/main">
          <x14:cfRule type="dataBar" id="{28834C7E-52E0-4553-BEB7-7B709BEF0B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444187-060A-4EA6-AF6E-4C4CF977B4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23D2F0-4D1F-41B7-93EE-90EC61769B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41540-0F53-41AB-BE94-00AA9645FD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DFC626-32FF-4952-9EFA-F2FEFA6CF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B62DED-CA06-4566-AFDA-78B7ECD073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55A5A1-FFA8-4D2C-B421-16F57AB71C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98932A-68C4-4C31-9D68-CB8F53F2DB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7D6234-37E9-44EE-8D79-2AA42246C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D4DA17-9903-4029-B3F6-8DF58CE1CE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BF84A8-E872-414C-8B62-77B6FCDD29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G12:H12</xm:sqref>
        </x14:conditionalFormatting>
        <x14:conditionalFormatting xmlns:xm="http://schemas.microsoft.com/office/excel/2006/main">
          <x14:cfRule type="dataBar" id="{CA074648-CB08-4821-83D9-6898A95F7E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E078CB-A28D-4D6B-8C6F-B66031A0D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FC449E-5CE6-4013-9C35-85F1E75789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FD07A4-4310-4D0D-A6BC-9647468AA2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8F7E96-B684-4E12-A95F-589B8108EA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73905F-F63F-4623-8AD5-8F4F8D053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824B29-D963-468E-8CD9-11CE38576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4AA37F-4EDF-424C-ACF9-2E86B0852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030661-7DB4-4CB1-9A64-7D99F38CE1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5838A7-F359-4E03-8925-CCF103BC8B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F76D14-0D3A-4E03-887B-9564197B5C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8FB42E-25AB-446E-910D-6441D5A867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28E996-AE4F-4458-8B00-5B04980773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9B97BD-B21B-4133-85D8-F1065679E2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15614D-DADB-4D00-9C8D-6015195A21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F8151F-BC04-413A-930A-5B284E6284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5C3143-8C8B-4735-AFA8-3DD799400A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4F982A-2FE9-4B95-A01B-61C16CA2BA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FF24F4-B3C0-4430-A2DB-E387A6E78C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56B599-3061-4B83-90E6-3AB9C65605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A1C7E5-69DC-4C95-A6FE-A37BF9F55F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C274E5-9C16-4792-AD41-27B5EE29CB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2C351B-56E4-4863-9296-D6C3C348E3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G13:H13</xm:sqref>
        </x14:conditionalFormatting>
        <x14:conditionalFormatting xmlns:xm="http://schemas.microsoft.com/office/excel/2006/main">
          <x14:cfRule type="dataBar" id="{C8109224-EF8B-4A3E-AB3A-EA0B31444D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2FB437-7F30-4D55-922A-A3E6AACA3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736A3D-6020-498C-976A-246291FADE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5C525C-4F0F-4961-BC2D-66E8FAF0A6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7770AB-7569-4EDF-8DB3-4EE0FD5A6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F735AF-656C-4325-866B-6F84A6CF00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A486C6-3BB6-4B27-870D-7975CAF79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411CEC-ECF7-4315-A002-E21953A9DA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A21B6A-AA06-4EF0-9AFF-EAB0FC605E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B27541-2E16-4A91-8027-ADBA1A468B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G14:H14</xm:sqref>
        </x14:conditionalFormatting>
        <x14:conditionalFormatting xmlns:xm="http://schemas.microsoft.com/office/excel/2006/main">
          <x14:cfRule type="dataBar" id="{B6ADFCA4-68CC-4609-8505-8232BC8364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AAA92F-B3EA-4171-A848-F12B8ED8AC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C7D74F-4AB4-4921-B1E6-47D6C3AB7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B2C5C7-DCC0-4783-9994-B8FC113FC7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B1540A-9FC8-40AD-8A42-FE82E3D92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794A7C-0B13-4A81-87F2-306AD4703A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24B7E7-F323-4E08-9A8C-B442A8C39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C7FD7B-DC65-4BA3-9B1B-95EE67B36F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8A510C-A5FC-455C-B82B-3BD9420275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G18:H18</xm:sqref>
        </x14:conditionalFormatting>
        <x14:conditionalFormatting xmlns:xm="http://schemas.microsoft.com/office/excel/2006/main">
          <x14:cfRule type="dataBar" id="{70143059-C66E-487E-BF3C-30D14DF6F6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D0F2E4C6-B73E-46AB-9C78-8B997EB57F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J6:J19 J21:J24</xm:sqref>
        </x14:conditionalFormatting>
        <x14:conditionalFormatting xmlns:xm="http://schemas.microsoft.com/office/excel/2006/main">
          <x14:cfRule type="dataBar" id="{EF391E61-AD23-41D8-B517-3501DCA023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J20</xm:sqref>
        </x14:conditionalFormatting>
        <x14:conditionalFormatting xmlns:xm="http://schemas.microsoft.com/office/excel/2006/main">
          <x14:cfRule type="dataBar" id="{0B66F8FC-6F56-4D5B-B494-04EFBBC30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4E4D0676-3A50-4D6A-8051-D942FEC96F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C4C08AE0-B68A-4310-A9E2-4445572D47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J30</xm:sqref>
        </x14:conditionalFormatting>
        <x14:conditionalFormatting xmlns:xm="http://schemas.microsoft.com/office/excel/2006/main">
          <x14:cfRule type="dataBar" id="{C464150C-301C-487B-9480-085A810FE6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K5:K29</xm:sqref>
        </x14:conditionalFormatting>
        <x14:conditionalFormatting xmlns:xm="http://schemas.microsoft.com/office/excel/2006/main">
          <x14:cfRule type="dataBar" id="{84C7E850-0AE6-4B2B-AE9C-D5B6F894E8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K5:K30</xm:sqref>
        </x14:conditionalFormatting>
        <x14:conditionalFormatting xmlns:xm="http://schemas.microsoft.com/office/excel/2006/main">
          <x14:cfRule type="dataBar" id="{8F0D303D-A15E-46D7-ACF3-E5AFF49BA4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C2F0FC-9D90-4750-B7DA-85A92AC35A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992FF3-8986-4BEC-96ED-2C6F3CE39F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DF003B-22B4-467C-824D-D20C016A99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E3092D-FD06-4F6B-AFC8-E2A106943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0F348A-2716-4634-AD29-5EEC33439E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FE3E23-887E-46AE-B000-D06907C0E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829268-0383-40AE-B6F2-202E0F4F8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0BBE7C-2070-4394-BB9D-C17152E77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FA1062-976B-4584-B7BF-F7B030E7A5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C9F2B4-FA5A-4442-9D65-C912B04C04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6AB463-2EBD-450E-A249-D27B117D77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C441AD-09EF-434D-B49C-CA9841032D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B7DDEC-209F-42D8-AD80-0D8E831DB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AEB090-872A-465A-AF8B-91AA4C355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94274F-26E9-47E9-B745-8A7114E177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2AD6CE-9D4D-47CD-B9C1-213692697B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C50FA8ED-3CD1-4FA7-842C-F1E10952E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7651AA-7B4F-40E7-992F-B4E6ADDD0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9ABAFA-8A0B-4981-9627-B91BD84D2A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5E91CA-0264-4ABF-8009-B9AA447A3B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7A3ED8-B79C-4BD2-99D1-F48023F95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92BFFF-1C97-4902-B7EA-C64AEC5BD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B1AD53-7BE8-40C7-9180-F30D1D9500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476215-3F97-41C5-9978-2EADAD61E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65C13D-BB9E-4213-8665-6D423FBC61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992F71-3192-405F-9639-F574403596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D44976-534B-4CA4-A114-CD140A743D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B3067B-2AE3-4354-B53F-CB87064B23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4EB8EF-320B-4C86-BD1F-736377F46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4D8D2A-CDE2-4876-9A9A-58A23CBB1D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6A6B96-1FDA-41BC-B99F-2BE785FD4E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0AA86C-6411-437F-9F27-452E9CD531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4B9522-4579-417D-B118-A5102C2495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9C857F89-E9E8-42C0-9851-8546E26B6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E8D3F5-B37F-4F3F-B0A2-166A52B891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19AF17-1BC0-4DA2-A9B0-9ED95A3DF1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A58DB1-5F91-4EA2-A92B-6AC2C7BC03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B71E40-0858-48D3-B7C8-D9226156EF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A1D61C-475D-418D-BA2C-F2595E70F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AC5F19-597B-4CCB-BF7B-6708D0419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FF1D57-C505-461D-BB9A-3295BFC113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B67E55-6744-423A-9857-D6DD2A8E52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FD26E0-E949-4D89-9CE6-3111ED9B8D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36F34A-2BBA-4617-9C39-5EB148DD06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89219A-7ED1-4237-91A1-94755856E7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0A08C5-01E0-4512-BC57-3F67A55926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C2941F-9F2B-483C-9645-73D81E422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2CBB6C-C10E-4824-8616-C64B56E72C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09A138-49F2-484A-86C1-F82D7E2A6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8881D4-9111-4AA3-9821-4273966D16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669BCB-19B2-4EF7-834A-6C820B2D34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3FBFDE3F-3C12-4E24-A3F6-4CDFD5F313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F16FA7-22D6-443B-8947-8424AC7C11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CABDD2-B877-4E9C-8412-4F538C4FC7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FD13C6-D277-4D94-8433-44D94D076E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FA74FB-623A-4063-9CB5-59C74692EF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C3E8E9-6DAF-44E1-A800-48BBFD7169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FAE931-4CF7-46A4-97E9-E6A568EF09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598B78-D3BF-42ED-9876-F5E6454B15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17C30D-935C-4524-94FA-931C0A56EA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A5A0B8-9875-46F6-B73C-DDB26C3ADA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3C0301-8EA3-4572-BBBD-562D880AE0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AD75DC-E1CF-4DE7-B749-CD6D127AE5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6B69C-36A3-48F6-A7EE-FC4B9AC6B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480C617-D39D-431D-B166-79473BA70D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87B9F3-0106-4773-BAB4-8FE45A4916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5E178C-70BA-4F52-9CA1-95FC6EB4B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A73651-EBB6-4397-8E98-F98875C003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204A7A-6A55-4232-BEAD-620E5EDA70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4B0710-046B-4364-A555-6D76C4B72D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691749-F41B-4A36-A949-F2A6C4FB43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D75CD6-F3D8-4DCD-9B10-7ED36BEB6C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5B75D1-0268-4F84-BC12-540979C371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1868C3-A7CA-4781-B19F-AFBB9B700F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E0A348-932D-453A-8D16-E0623A6D93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02ABC2-E260-466F-8EA1-596F1A1C9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3A42A4-3084-4F27-ACAA-9927D51F61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DF281B-A62A-4C40-9800-5C8D0DCA1A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761CA6-5BDC-4CFC-B449-97C9BB73E0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8492CF-400A-4799-9203-CBA5DA7795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AB5138-700C-4678-8A38-3E0FEA7349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30FB8F-1781-47B7-957C-3DF4142A8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BD83D6-1A51-4072-BDD9-0E93476CCC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6CD246-EFAC-4C44-A08A-D68FBC1B06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10FC51-EE39-4D97-887C-2E87CD81D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82390A-F688-4BE9-BAD7-571E2503A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C75A8C-1CB7-4187-ABC2-61064E151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5D3D02-D0D2-4967-B55B-C32C0551C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224495-A904-4CC5-B160-0F78DF7DF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BFABD6-340F-42D1-9749-8C31EE824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7AFE08-E39D-42F1-ADEE-B5F42D798E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E0C65B-453E-478E-B3B8-82069461F4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EB5C5E-571B-45B2-9D15-BDE39F45E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885EBD-BB1E-449E-A011-3CAE7CBBA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09EFAA90-AE94-4F7D-9074-86134F6845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046B40-D5A9-4867-9651-B2F2DE68FB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D63DAA-98D4-4584-8F91-5565D6439D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015DE4-E0F9-4A57-9FB6-35D99D6D5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448D2C-4D85-4AE3-8096-1E1B46716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CA06DC-246B-4FE6-AF5E-33C5004BB1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A1D7DD-AE6B-42CD-BD86-D6EE0A8DAC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203B66-7455-4438-82A4-E145B5272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0863B9-B28E-401C-A5A1-C24BE0DECE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DEB19D-09E2-4B24-866D-72B9A747BC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D0ABB8-D9FF-45C7-A4E9-7C89F48EBD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13A54B-96CB-4D38-B9A4-8E352BC22D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139049-CA53-4FFE-B5D8-842B41102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69654C1-0442-49DD-ACDF-4D0981A531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426736-5EA4-4A8E-AB8E-13F0CDDAC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E01F92-510C-4B11-9E5F-E7F38C9923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7039FA-015B-4A42-9338-5750FA500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4DAD2E-E6F5-4984-AA92-DAA96BF4CC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5DF448-9528-4766-889C-63F0C49DA3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BA258B-1F98-4B2A-901A-419865A070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AD9AAB-22DF-46E4-8538-FD774E3CCF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568566-737B-437F-995C-D397C9D49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3D0A7-3D33-4CBF-A7DD-A1D955F842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445017-B231-40E5-A5ED-79223955C4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289FF9-B22F-425D-BCB3-8003F6B1D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18C56B-AD71-4944-97BE-B8003A33E2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BDA411-FFA8-45A1-A3E2-8AD14752FD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8AA579-F0A0-450D-B5C2-6CC5119007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98776B-E7F9-4DC8-9D1D-D8F99EF5B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CBA5E4-0619-4878-A447-17404C2FBE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F43CC2-E10F-448D-A33A-2EEBE16E6E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021432-D029-41D5-AB3C-0910D79951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B49695-7E22-4589-8194-B0F5A53D3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F63673-7169-4B3D-84FD-7ED615115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9150EF-F373-4EDA-BC23-73DACF2AE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4BD37D-7A45-4F15-94E4-5D62B235A8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3FA3D1-68B3-48E4-A2B7-B5876FE118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99163E-DADD-4E5C-BE48-6C3D84AA25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04EE58-A700-4A9C-801D-E8D323EB64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E08CE1-9A88-4CD0-B962-71DF9FCF6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62C253-97B3-430E-8835-66607647CD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FE2586-4D62-4FC0-B896-CA6858EBE9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E45F0D-3380-4812-9D90-49D9445790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3E3EEE1-24B7-41F9-B6E1-6D77068E2B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5522CA-DE41-4ECF-8D34-6D2B4A1EA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321AD5-C800-4356-AE09-E7ECE0010B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D277BF-395F-4808-97D8-966BF3F070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25B3EF-0221-4519-9638-9DD5025920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DC33BC-AA82-4B10-8BEA-548BB67FF9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CEC374-2241-483D-9648-84F6173FD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FE77EB-3E01-4021-AD92-036DB45409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248498-8025-4DDF-8816-65BF7EAD8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9B6E14-8439-4668-A156-7D23DF10B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945C05-0C9E-42A5-B670-EFC1280EA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200096-D4B7-4327-97FF-EA4A1132E7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06CA53-1F75-45EF-8BD8-DC9B21049A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CE9496-F35D-4BC5-B9D7-9ACE13B578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FE031A-077C-4B1B-919E-C478300A0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5BCD31-4776-4854-9922-265321ED3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DCF557-D964-4232-8E8C-E9E215E416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EE2049-E05E-4757-A809-78B534BD51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26FE94-EF10-4632-AF4F-018F3FF214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1A3BD4-DB1D-47C4-B787-619524769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B77ABC-14FD-46DA-9163-2DD230CABE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D31C97-F7F6-4794-B2C6-FA1792E4F9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79C06B-2EA6-49EE-9F02-A80097871D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1AA31F-0B91-44D6-9ABC-EE21FDCE6A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BBB1FD-BFAA-431D-8689-8C837A37B5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90C0FB-26B8-4F60-ACD5-AE899A1A5E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119EE3-C7C6-4281-AF0D-0D5E6A7AD3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946A59-C4E9-48E2-9476-A903E6C8C4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FB7384-E1AC-43FD-9B5A-3336ECE380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4D02DD-5DD8-4E96-A5C1-664CCF7F67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9899EBC7-C6B0-4691-99A5-9C5020F5D1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64F5DF-8F6A-4880-85A1-8C4E662D04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13B030-B916-4527-9089-5C9103E5A2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20E001-891F-47D7-8F4A-E22B7D480D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0EC23A-8F50-4112-BCA8-E0262867FA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B2E06F-7323-41C3-920A-8157966F52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631F95-BB83-4813-B79E-FF2826CF8D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EEE8F7-69D6-496A-925D-CEDA5BF3CD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DEE689-42EF-475A-A430-95CB306448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045090-5F7F-43F0-9F04-D5CD7B8C5E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591B70-5B9D-409C-B552-51B439116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EDAEC9-A2DF-41D6-96A4-6408CED74D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C7FB27-CDC7-4F8F-B6FB-B77F40541B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423D3E4-3233-45CD-A387-0ACC1B0E83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56C7D2-0298-4D42-BF67-7E577F4BD4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C313B6-574B-441D-BC96-9F7D824C50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2161EB-8950-44A8-B01F-9E5E70C05D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549430-F795-452A-B386-3846BF848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8A2B78-E7A6-40D2-9AB7-EC228EBD22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2F4B6C-62A5-4D4D-8725-373DC8E3C5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50999F-E5B3-4010-9BD5-CEE2AECFE0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7DD1CF-2194-4274-A6DB-545A7CF1CB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B53FCE-BE77-4667-AF50-E8C0EAAF43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B14BC0-8915-42DE-969C-0E8D276078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357B8F-9800-404F-9BA6-6559A7F79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8562B9-AFA2-4CE9-9D2B-97BD7651CB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F069F2-27E0-43F6-B55B-87A1E32C0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56060D-B0F2-4174-AA66-B24C67E1AF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D060AB-C90B-4046-A1AC-B67CAD34B1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C6B9F1-E97A-4867-8D99-BEE4D76A45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B26948-B52A-4CE5-9148-1311D38A5A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44C85C-DFCF-45C4-8896-5CF2EEB7C0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C3A46B-2CE5-4598-A201-F51C7B1E35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35650A-7BD4-40E3-85AD-7C2F6728A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C91643-E95B-4E56-B2B3-B7AFA2FE0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F0688A-3F62-4E28-9C47-0D692DC3F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2DC725-4FFD-4591-913B-D303E0B0A6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553796-6DF4-493A-810B-260CAE411A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37E591-1E9F-4BB1-8EEC-3930C33D73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B0B3B3-8997-4A3C-8CFE-ACAC5E1BDA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D67542-221A-47DD-B791-5493D76A5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58AC15-5D25-4B89-8EB8-57A64B59D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C6A545-1693-41B0-BFC2-6F3CEACA8E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64A3FEF-D0F6-4AE6-9A9F-E696708AE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D6A877-2BA2-4AAE-AE44-9E6961C987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D7B74A-3C43-474A-BC6D-90FBE5A295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7DF6A6-872D-4856-867F-57F17A5BF0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1E9FE5-D315-4E05-A346-A9188CC6D9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6C231C-50C5-46A1-A585-8916854CBE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E880F8-F6B2-4317-B045-22D3666C8D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B00CE5-163B-45B2-A869-77ACD3CDD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53CC61-31F9-4DE3-B968-5590C4247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80BEC6-0BCF-4ED4-940F-6A52AC66C4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134C58-B47E-4D45-ABF2-45E21A6B2F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1216A9-4D3A-434B-99AB-3DC5A78A75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FA2F35-9C25-41F0-9CA8-CEFAA2E67E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1797A5-0CB5-473A-AC74-9C76F92253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A4C5C9-8D3C-43E5-9D9D-6DEE26EA7D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5118EF-FEAF-43D3-82BE-AE653FC593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2A49C6-D722-473E-99AD-4C3A290CA6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7825E1-2EF9-49D1-ADEA-4DAFB451A5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65B4CA-585C-4E3B-BAF2-FE6AAECF0E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60CE52-686F-4314-8B9B-4F8FE2419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92AACB-94C2-482C-BF29-D2577FC8A9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AB71A6-D655-4F9C-809B-B9188B2A0D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918D82-DD29-47B4-9343-D9AF2313C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55F9D6-5103-4560-8C1D-D0E7CE4CFE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36C990-BDAC-412D-BE9C-4F3147AD8C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33D5FC-026F-4F98-9DDD-577EB9E764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12747C-42EA-4D50-878F-5A3073573E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0A5CBC-4B98-4E61-A59E-766D801A0D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474906-4DA8-4E1C-9650-5E39DFA72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8C1EAF-78F4-414A-9503-426BF063E0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BB2218A-ABC9-4F86-B8F9-F81BF64313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D81376-1908-448E-B5AC-129DB972B0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27E1EB-2478-427E-B290-B3282EC0FC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C9BFA4-744D-4EE5-89A0-A0BF7C5E4B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874BCC-F039-4B26-960A-A7252FDEEA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5CF284-6963-4CBF-B38A-00FD33B6A9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4A9EE1-EF9B-4E21-B62A-3B8C13326A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20FAD3-56E9-46FD-B768-01E626E643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C78040-61EF-48E9-96CA-2D8D4C9BEE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413888-3D20-4825-A7B1-0D1AB8F684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2EAC0C-93F1-47A0-9463-5B872A453A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AEA87E-1467-414D-99A8-88089946DA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E8688F-6609-4620-8B94-D30B70790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L13:L15</xm:sqref>
        </x14:conditionalFormatting>
        <x14:conditionalFormatting xmlns:xm="http://schemas.microsoft.com/office/excel/2006/main">
          <x14:cfRule type="dataBar" id="{C0CE27FD-09E7-4977-AEA2-A7EAF5346D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65566D-2C6A-49F9-A3F7-A0077CE7F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3AB233-BB29-4BA4-B196-04F0FEF935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B66CC2-80C8-4256-B7CF-61131C95A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1D8F8B-71EC-4A6B-87C7-BDB83FE7D8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3249BA-CB5B-4A97-A156-FF3E3558C2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9FD0C5-6C22-4592-9FE8-240D523A9D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DF6E0C-BCF6-425C-AFDF-512B496E7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E95EF1-48A7-4B84-B51D-B50D2D1D2E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BF933D-3225-427E-BA9D-CB12BFD487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D04251-F431-40DF-BDF3-8AAF85C5B1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561A9D-5E09-4EAC-86E9-8EFD348740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732C18-62EC-4651-8414-EC1A8A82C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84476B-101F-4CE6-8E35-AC2357B7F0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86370C-2460-4BFD-9A44-95B8D05BDB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2777BA-1E9E-4B09-B115-CA98A31FC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258089-E92A-46C9-9A8C-7D7426AE8E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02BC79-1B62-4CF0-A9B2-F5C7D3B4C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9C1291-7BCD-4665-A777-861A2E8D25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B2B0B2-D533-4B95-8F36-75806C4D2D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B7A8D6-3A9B-43B6-AE36-591B3C50C9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198A89-C13C-465C-8F0C-9A1371A7B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E9793C-5077-42CE-9FD0-3D0C6B2FE1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BCB5ED-362E-42A7-A84E-DDFD7D244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E80D12-2166-4A63-B773-36E38FE8CF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6AA63D-835E-4DCC-99D6-496706CC16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A426CF-FD8E-493D-B086-2428BB375A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C87225-60C5-40EC-A965-B39EBA80C1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4EDDD0-F96A-4CE9-B223-59A1ECD32F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DCBC1E-C10E-4DFF-8976-F2C466972A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3D641E7-C512-4CC4-85F9-0385DBA22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3F0F7F-9296-49BA-9C5C-C1CFC21030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B4C015-94D9-4820-B03B-AF3CBBBDC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582876-A2E1-4302-A4F0-AA7164A2E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FB3A80-005A-4E45-96CD-0185E3D8E1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26A25D-9C10-4240-90F7-865D53EC16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2EEE3E-9C52-4EC4-BEE7-D2A5EE7C09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C8CFAB-188A-410B-9CB6-7BE67311AA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55A87E-03D8-4B32-B49A-F28053ADEE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423E01-545C-4ED8-91B9-8965E6DDF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767191-31F1-497C-8C17-89E48A6A27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7C960B-574B-448A-A936-FCC7F0FFDF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0353AC-CE9E-495C-870A-0E3E5DA8C8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7CC76F-61E4-4FD4-B7F8-2BD370207B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28BE4A-1DB9-4627-96B5-376C09014E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54297A-752A-4223-9C0B-83248119E5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699226-48C3-4673-9ECB-FCBC571A9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C3E71F-2E2D-4529-B751-326CAD92C4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F3860C-49B2-4485-9E25-BD4A4392C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01C817-F49B-4659-8CCC-59F2BA3707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E9D59C-185E-471F-B780-056E688BB0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25BDD7-26EE-42F5-B7A9-FEDC48DB17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06FA3C-67BC-4D98-980D-6B95B82138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4A7ADF-0672-4BCF-BB5A-546F4DF9E5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E985C5-CC0D-4B49-B129-7D77C4540B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A5E89E-3418-4449-9330-221862A30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857186-8E87-4E5C-BBED-97B3496D8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1E9A05-381E-4BFE-A1EE-2BCE3F292E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CC5F7C-759B-4E81-B469-5879D17EAE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4E50AB-ECC4-433D-A891-2078A34EE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19E3319-430B-4353-BEE3-EB6E3ADAD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DFC786-9F70-457A-B7E7-CF5C156F7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92876A-2756-4444-9B01-41385FFE3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072CE8-D172-492C-8C23-11194B406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D3D22B-E571-4AEE-9010-1BF41FCD6A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A6A640-75A9-44AB-9DAB-6901BB7AF1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DD8E2-670E-4C22-AA87-B7D38CE7EE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E8CF9D-0B48-4B7E-BA46-1A630E8E60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9234B1-172D-4F8F-AA1D-2DFBBC118F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7EF3DE-3A45-425A-875E-9849875FE0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78567A-E6BA-4E6A-898A-BE8F3D35E6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9EBB12-562A-4C36-9213-0599190EAF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8C27E7-C88E-48FD-ADD7-D5EF6F6DC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ABB157-4783-4C14-937A-A381F0F391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F17222-4B47-462A-B7BC-291FF2378E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0C1B38-EB79-49DF-B867-3BB41CBA2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1586CA-AF74-40C1-B98B-4D0401CC77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7D2CAF-F74D-4405-BEDE-5341ADEF9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A2A4BA-A999-4355-B414-87AFEF9B4B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5F24F9-2956-4EE7-99ED-341C70525D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2AB0CE-FA1C-4BA9-AED4-782C37FBA0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28BB67-5E01-4AB2-83BC-A9FDC56051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A46E9E-BB03-4872-8603-A0433F52DE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A523BA-A9B5-4E52-BD67-440A2361D5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2DC7EE-8FEB-4C7E-9BF0-401E06E32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097DFF-746B-47AC-83DA-5DBBD1A0EE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D2B52B-7D6D-4D3A-A522-CDA3702A4B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EA2381-862E-4D30-B820-E6813E4B80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CDD304-B4B3-46C6-BB3A-8E89562AB6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C25C8B-A24F-450E-BE66-DFE26D83D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54A02C6-03A7-416E-B0ED-2C7CF866B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BAB774-31C9-4AAF-84E8-FA1888D26C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FC08F0-0289-4457-99B5-B005F1398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248450-38DD-4A53-8B11-54F57CC52F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7C666C-1ED4-4048-81D7-38815C7608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9CB327-FA24-43F9-8868-746CB8F31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16A761-6D26-4E2B-B5F4-3D05A6DD3E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8C728D-9897-4751-B71F-965ABD0269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E98090-295E-4A82-A838-A07BEA55DB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F574A9-4283-4648-A635-9636BC85A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C26E6D-EF81-442B-BB78-9FE8F9AB38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7B3ACC-87C3-44A8-9135-03B8D9290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09B4C5-ACE3-4768-9EF4-9F371CD89D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69BBCA-2048-4431-88E7-9763DDA67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F24778-91F2-4C15-8B57-355595F3D5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DCD459-3CFB-457F-A5EA-A704EE7ED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9496E7-5CFA-493A-8918-2AD2A54EF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6E99B1-69F7-4B86-A4FD-96B50EF897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3D318C-0652-4540-B5CC-74F30B79CA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34DF5B-5F9C-4486-8F9E-5B07EFB9A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CDFFCD-54CC-4473-B417-06AE55BEBF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E4CFFF-808C-497E-8504-55AB6D2E06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EDDF0F-4BC9-480F-BD07-AF45D61FD5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9ECB22-5671-4CA7-A5FD-13379625B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E6B7CB-FBC7-4D6F-80ED-1D53872A4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B28D95-4361-4C1C-B8F9-66E5274F53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387639-1D11-4FF3-92A8-1DB0AB9974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030108-8D5A-4E48-BFD3-C2AC2AF183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D1CCE2-572C-403C-88AE-483B9E56A6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BA900A-4018-490D-A525-1EC91955F8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1788D91-5C85-4C2F-A4F1-623AC936D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863427-08E6-4643-BA74-98A144A946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05FD36-8CF4-4688-A535-BCFF362229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00504D-D9F7-4F0F-B62B-7B39E578F3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96EE23-ECA1-4813-9E4E-16B855925F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F0B0AE-08FA-4C03-81AA-831363092D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6A5766-E298-453A-BE50-B6AA2EE4EA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73424A-74DE-41E9-8182-E319306EDE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973CBB-4485-4ADF-A48B-8BC8D5974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4623B7-DE28-433B-9B0E-9EB737F082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8E9DCF-668E-4638-A384-9AECF0B10D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08E87D-C179-48E4-8D89-7BFA35C365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89F133-D988-4022-BD1F-69C4E50D2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517FCFA-07D3-42F6-9D2D-67DC7B11FA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E7F0FF-9C38-448B-8C34-D061C7FC20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35033F-90C5-450D-8A9C-06AD57319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8555B9-998F-4AEE-A89E-B4EE8790A2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1E06E1-8FAF-4636-9B6A-4CCDD244A0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004B5E-A8F2-4BBF-BD9C-42AB3EDA05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D906B3-EAC3-4C7F-8E76-D364B1E7A0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E76F0-BA6C-4E8B-80A4-31A0C52A29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2B93F7-6738-4DA4-AD5D-02082F9C58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95AE71-0094-4385-A45F-1868B0EADA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7F9E98-FD71-4A2A-A71F-66F4922573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786274-0A3D-4503-83F5-068E396386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A58D76-4845-4EE3-8409-F9D6DE0134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6CE86F-D3AE-4DF8-8EA0-B41461A44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FFA86-76F8-4C8A-A85B-903CCF87E6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7A2412-5A6B-4C86-87D7-E5C1C07EEC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D84A41-032E-4763-B155-613F2D6E15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L21:L28</xm:sqref>
        </x14:conditionalFormatting>
        <x14:conditionalFormatting xmlns:xm="http://schemas.microsoft.com/office/excel/2006/main">
          <x14:cfRule type="dataBar" id="{9D9C000F-A58C-47E6-853B-21E04AA4B8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8B72A7-3BE6-4411-B04A-D2D9338AB3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934EF0-D1D1-49D2-B743-57470F57DE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F3FD7E-2C7F-4E47-8EBC-EC78AC666D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7AB342-5476-4FA2-92F4-20A8A945F1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090097-F659-4E58-8FAD-E8179CA375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4E43BD-AD67-4603-B603-F700E41636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C43434-5E4F-4418-8C63-D79DF46C83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AD9419-EFB5-4E43-B4CD-4049F3513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4A6812-FC9F-41B4-83E3-109B334F74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53CB22-3DCF-4C2B-810A-DB23FBB64C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7BA72B-372F-4523-BCE6-4B3BF970D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D3D4A1-6029-4707-8D92-86DDF8DD6D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D0F51716-A2F9-4144-ADF1-3F3676351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F76D8C-75B8-43C3-BC3D-976E5C8A9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E8415D-D67B-4525-AD13-4DC3C97CE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3FCB56-FE26-43F0-97B0-CD8638D80C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951721-BD2B-4D54-8921-429494EE0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F90650-EB80-43D2-88DE-6F63FE3928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D2CF70-2F96-48B4-B140-D8A08C286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DEBF6D-1DB0-4AAB-B648-B5D9CA333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125EA4-89E1-4C07-B298-811152D9FF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6695FD-6C58-4DE0-8FB9-8F729B326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9BD7EB-65BE-4BCE-93C8-CA185BD56B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E3CE78-71A6-4645-9453-8433810E40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1E9DB8-B53F-44CF-ADBA-7944580B2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7CAE5FA0-0F5D-4BA7-AD6A-7C7BD5954D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5368C1-7D30-449F-914C-19A5CA65E2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F19839-E5FE-4D36-AEB7-F78BF191B1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65052A-C0B5-4462-B347-567055D5E6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306039-3934-4616-9CBD-3A701543EA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B04894-D796-4F6B-A4DA-CA6B8063AA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F1B89C-0683-47ED-AFEF-C7C529826D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AE4ECA-A268-434E-A2EB-F64B79E81B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D6153F-E9F4-466F-9121-153935F800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8404A0-BC41-40EA-B12E-D118230EA6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5D4512-61CF-4468-B17B-6B7FBFABB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0DF237-A905-4AD4-A8FF-B2CFBD60E2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6CDBD8-1E8E-4BA5-A572-2EA084C0C3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F53D0F-CB93-4840-B27F-2FC9D8821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F753C6-8849-414C-AB46-DFF8723319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80E462-2599-44FD-863E-CAE82FDFDA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97C91E-3E05-472C-BFE5-49194574B2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M22:N23 M21 N24:N26 K5:K27 M5:N20 M24:M28</xm:sqref>
        </x14:conditionalFormatting>
        <x14:conditionalFormatting xmlns:xm="http://schemas.microsoft.com/office/excel/2006/main">
          <x14:cfRule type="dataBar" id="{C3F2CFE3-5BF3-45E3-9A71-15356F7FCD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E7ED2F09-96E2-4CFA-8F0B-D6E6CC2B83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O7:O14 O5 O16:O18 O20:O22</xm:sqref>
        </x14:conditionalFormatting>
        <x14:conditionalFormatting xmlns:xm="http://schemas.microsoft.com/office/excel/2006/main">
          <x14:cfRule type="dataBar" id="{FAFE9C79-4D45-47D6-8253-7C79C5E45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0BC9725-B1A1-4C4D-9361-249C098517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BB73FA50-F068-4624-A8D9-4030FC9D63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93976E0-C885-4FF7-9A43-EC956F29A9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D494CB9-F0EE-440E-89B6-CDFCE9C8B0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6D629D2-107E-4EDC-95DD-3C9A9B063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9C43E98-E2B6-4542-84CE-D79FD7CE6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9FF98D-E178-4DC0-8EE0-5E45ED4DC5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A578F0-8910-49D4-9E4F-83072929C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413B3-0160-45E4-8D8A-65AFC6AFFA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49A4E6-CAC0-416D-9DE9-531EEBF3F6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2CDE76-77B0-4253-BE74-E212E94498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P5:P22</xm:sqref>
        </x14:conditionalFormatting>
        <x14:conditionalFormatting xmlns:xm="http://schemas.microsoft.com/office/excel/2006/main">
          <x14:cfRule type="dataBar" id="{B7414B7E-6424-4434-83EB-A02FF25191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475A83-801D-4AB3-A373-458244B1ED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P5:P23</xm:sqref>
        </x14:conditionalFormatting>
        <x14:conditionalFormatting xmlns:xm="http://schemas.microsoft.com/office/excel/2006/main">
          <x14:cfRule type="dataBar" id="{6E8AA8E0-037F-45AA-86AE-2AB0851753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DB1338-B179-4F98-807B-E1DBBA128E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P5:P26</xm:sqref>
        </x14:conditionalFormatting>
        <x14:conditionalFormatting xmlns:xm="http://schemas.microsoft.com/office/excel/2006/main">
          <x14:cfRule type="dataBar" id="{6815F53B-4B62-4D4D-A522-26D1FE2938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84A15C-3971-4E21-A5DC-42B714647D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21E375-B90A-49A7-B627-00BBE10861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E00858-91AB-41CF-B2D4-230473E49F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FB786E-03CE-4E54-9553-5AF9704E35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1C5F49-9E7F-46DC-85CB-F22F1F77E9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55C68418-B8BD-4983-A9DD-5CB6396B4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21A555-4145-4ABD-A13F-2F1F8FF46D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811605-8F57-4286-B165-DB73D89A2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4598AC-E6E5-461F-8D29-8DA9E312D0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FAF9DA-0E30-4F55-806A-C4D7B470EF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C8B6B5-EB1B-4B8A-9FC4-DD06F88000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294595-35A9-4650-84E5-678E336C28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F15433-1AF2-4B35-8989-60A0E19A2F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B470FE5A-60E8-49E4-85B0-03351857C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7783FB-BD26-4556-889B-B732AEAC31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59D84D-D39E-42E0-8877-AC2CE02559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A572C2-B580-4611-B749-6DD48536E4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030D58-EC29-4CB1-A622-1ED507709A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D42A8C-D01F-42B4-9D79-97DD8F43EB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A81004-A069-4FC7-9A12-F62532A4DD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4CC733-BDC2-4B8E-8E31-D664FFF783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P25</xm:sqref>
        </x14:conditionalFormatting>
        <x14:conditionalFormatting xmlns:xm="http://schemas.microsoft.com/office/excel/2006/main">
          <x14:cfRule type="dataBar" id="{3D20F006-6375-492A-B5D1-8EE7A7043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95D410-9216-417A-AC1E-32C50ACC8A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968E19-F47B-4362-B971-0CBC16BE82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BCAF9D-6975-4B02-A48D-8404E57BB4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012976-11C8-4E69-9CAD-0BF54FDE43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F5FAC7-0AD1-4940-8B3B-35051E915A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EEB475-5A11-485E-810D-C0CC841CEF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27468F-1525-4DFA-9AEB-2CDCF4A2A5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P26</xm:sqref>
        </x14:conditionalFormatting>
        <x14:conditionalFormatting xmlns:xm="http://schemas.microsoft.com/office/excel/2006/main">
          <x14:cfRule type="dataBar" id="{B8F37E4E-A718-498B-A352-441AA00FBE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696C29-ECEF-4ADF-8C50-BE4D35B470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E0E0E8-E422-45B4-8E7F-8493E480EB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E8F190-280D-47F8-A57E-63DC3F777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A73E61-FF4C-4BB9-938C-AD64C7E65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6052E5-2C1A-42DE-9513-697664080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F9686C-FD6A-422E-8A2C-596C9302E1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D6827B-83D9-49CC-9A4B-75468A3C8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257918-98E7-4481-BA46-7DB280911E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94B313-6614-4C8F-ACA5-988102385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FAEF47-BD29-4B00-AE75-E1404B9342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11BAAD-6009-4055-9C41-DB03972F0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5A89A1-BC6C-457F-B54B-06B6F5B89B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C6CBAC-A767-4554-81C7-9BEADEBBC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A6B944-1498-4B86-AE11-D25AEA1DF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3F8CF9-3F48-41E1-9507-1A93170EE2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D9DF77-14D8-469F-9C6D-D108736604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E4ED5F9-53D6-4BBD-8A6E-098EEEA0BA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9AA4EF-4254-4EF8-8FF8-A9EDB790D5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2F19A9-C3D9-429A-99F7-3CFF95FE9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6BBFE7-BFF8-4F9C-AA43-1D8119FAF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447636-2D47-49B8-A0C8-71FDCC8F41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2B5C45-D663-4317-A509-1B1454D562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775641-2A2F-4F6A-ABA5-7C6A67B455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2D4943-3D24-4E48-9805-9AD3B53187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43FC4F-9A61-4BF8-AE7B-6B2E1AA2AD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C779BF-439C-43D8-B639-995CD615BC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DFB98B-D317-4F86-B269-B095ACB357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725314-9542-4025-9D13-A37ED64BA4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DE62B2-F9EC-49E0-A9D2-2FAFFA5B86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79A61A1-91BA-439B-847E-4C4CD75129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71D107-7CBB-4149-8F5C-4B28624620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C09C20-91E0-454F-BBBE-0BAE3498BD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6C2C49-2430-4A7B-ABAD-E42C504C5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E36B5A-C64E-444B-994F-90884B07B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F17141-ACE2-42F5-9142-1A6299AE92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DD7D70-00A7-4281-8E7F-15EA21889B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FA5DBE-0ED9-46C9-B6C4-76B5724562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86F4D2-831F-44ED-8956-BF2F36CA7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4E5ABC-7461-4926-A00F-0B2C400C98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EBDD4B-EB06-4A1A-90BB-8390352EE9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BA59C0-BECF-4535-9BA2-39CAEF8A46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446BD9-6729-4F48-BD97-D1220E4DFC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3F5732-D8E8-49B7-9BB9-3C096B3D6B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224732-F535-46F7-B788-56E91D2195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88F329-20C6-48A8-8C9C-133985E16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7ABBC4-4009-4F0D-88DF-0B4571711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F32531-9BA6-4ED7-B66F-0EAFF2AF7D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173A6B-0BAB-4A9C-A031-4FFDE99F3E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9C5828-2A5E-4ED4-AD2B-7996D3E9D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A011CF-A686-4F06-BAC2-C0D1906A9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A3D48C-1EC5-4C6A-8033-F4CABDCDBB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D08B2C-1234-4955-B28E-6336DA4A89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7E7192-51E4-4BCC-A5AA-525465C47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5FF9C8-898E-4DE4-B11D-11550F0BDD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9AF322-EFF8-479F-AE8A-456D337F08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2208F5-8E50-4665-A37C-FC005CDF33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0D0956-F57B-4CF9-9D05-B2AB8E8CB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9581E9-2578-4F77-9C07-4522425166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DB7027-5A7C-429D-9A7E-529C108CE4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Q7:Q14</xm:sqref>
        </x14:conditionalFormatting>
        <x14:conditionalFormatting xmlns:xm="http://schemas.microsoft.com/office/excel/2006/main">
          <x14:cfRule type="dataBar" id="{16879997-0465-4239-A775-C6082E3D2F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A32756-976A-40ED-9C25-4918C71F6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CBD495-8175-44AC-94A3-6B310E229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6506C6-1D62-4BE5-A2D4-27BF9AC90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70A09A-84A0-471F-9952-554240909C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4EF1CC-D850-44A4-A4B1-1ACD28D7BE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B6C583-3778-41B9-9DA3-9BAA97D630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BC92EC-B90C-487E-9F08-4DAE837D1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2E0FFD-4493-4AFC-AC2C-70C0C24E30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13CFBF-F150-46F6-A8D6-655E083C78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7C99C7-01EC-4E4C-A494-0413927931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D36065-1421-462A-97DC-D58575760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250EA1-8D3C-409B-8A2C-DB3C98D85E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5EE7246-078D-4C78-BBEC-3868E11F2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EF1F0F-0A2E-445D-BA33-0DB273B700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3600FB-02D1-4744-8157-C516CEAFC9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855786-0C9C-47A2-8AC6-23E44CE35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6C1964-3D65-4E46-B4F6-23F0BAC0F2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F08A1F-5BB0-4260-835F-DA7DCDEAE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EB20AF-AD91-4AA3-9342-FC4256F30D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1B5F7C-97AA-40DB-B6DD-54BB0740E8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4402FD-C1B5-4DAA-97FB-4557768BC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3A209D-09E2-47D1-AEC4-0022E14011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0D3530-3E76-43D9-8A5A-98E02D6446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F98191-334A-4F5B-80BA-CC8B230B30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8F9722-B6A1-4AB5-BCD6-EA024F00A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5A03E8-04E9-43FB-8963-75C7FDC066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C85631-0774-4406-B6A1-3CDF762C38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463A52-89E1-4ACB-82D7-26903BE25A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0EAD85-6ABF-4B05-812D-8655BD1BF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4B25B2-DCC3-43FD-80A6-08499E830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B01B25-7B1C-4310-9A89-34ACE657CF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2EA064-AFDC-4E05-BD66-F552150676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F02068-7F30-4D2D-84C2-BB188D1FD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BD6A4D-0FFD-42C6-A760-78D375A5FF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173E5A-11BE-4439-B613-616D3DF79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0F2914-0174-4BA0-8CF2-CE2CCBA05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DA0B42-983F-4633-AA09-CE5BD3FA1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26C7C1-7458-488D-917D-BE6EEAB9EC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4CB80F-A840-416F-9FA2-31842C1464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13BF3B-97F3-4BA9-97C9-C2B9CDE1F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32F88E-79AF-4F72-B5BC-9D43E125C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2643FC-CE1B-47C2-87B2-8A4A2105F6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Q16:Q23</xm:sqref>
        </x14:conditionalFormatting>
        <x14:conditionalFormatting xmlns:xm="http://schemas.microsoft.com/office/excel/2006/main">
          <x14:cfRule type="dataBar" id="{324D7C22-736E-43AF-8FE9-4ED7F4483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66DC28-7A9B-4A35-BE9D-55F5DE99D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DE5DDC-2222-4EB6-9413-B2DC0DBA41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BF89B5-B713-48E2-A95E-EC3A0BE2B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132D80-B1E6-4916-9075-2F6DEAAAC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88BAB3-DCA0-40F7-88F3-8C2DD2C967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3811E8-CC36-4DF8-94F9-A920744D2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D23D5A-3336-4A87-BDEA-CF8AA4F100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E399DE-D30F-4467-BD78-7C0A7C0A06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8CE05A-C91C-4474-B817-A40620CE66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147D89-5239-49C8-AAC1-D90308D1A7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C4B28E-659A-4E4D-856A-59F53D4ED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D0505F-C025-4CDE-8A8A-46A46BF227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1498639-B277-485A-BF2A-D953B2CF75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363248-2417-4781-BAC2-250A0A4B52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B96F7F-AF11-4717-BE31-E52082376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F308B9-A4E6-4B3C-9585-9580343B2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D61BF8-30A0-43FE-9595-8656446DB6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219D3D-1FEB-4B63-9289-E372955972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278B9E-22E4-420D-A6AA-60817C3E9A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D2E1DC-7158-45FE-955C-50E6DDBB9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386028-A050-4A6D-A80F-8B025B153A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FF41E4-DBD0-4A5C-BB56-43300D2741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CCE0BB-542F-4B91-A598-2FA9A7DB7D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2C4A93-AB7B-4726-BA03-CF21349DB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6F86B9-34A3-4CF4-B582-B2BAD1BB20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7E4078-9EB1-4C70-846E-1A483FCC9A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4213E7-F7A8-4692-9680-5C6754F006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16F13B-1C3E-47DF-9677-367BC5D2BD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E30639-E2A6-4AC9-8C37-75B82C115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400A11-197D-4E12-A70A-9928087056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CE76C3-8A18-4022-B40A-CBC197232C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1AFEED-F60E-4B3D-B241-D02450814A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A07155-E8E6-40D2-878F-F13DD9F815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DA95F1-A3DF-4225-93B8-4E1428B80F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2B72A1-0202-4A11-9CA4-C2D829B585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CE4B25-4A79-4FF2-8026-A19D41FC9E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46FDB7-5447-40C6-80D5-8C2BDD67D6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B7547A-6B0D-419E-89EF-934CA390D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21388A-9978-4371-88B0-780AADAD2A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1F2317-78EA-49D0-A809-2B582F3FFD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A2D016-03BA-42C4-A14B-B3CF71A2F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A38EE0-70EF-4A07-9D44-91E0D851B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Q25:Q26</xm:sqref>
        </x14:conditionalFormatting>
        <x14:conditionalFormatting xmlns:xm="http://schemas.microsoft.com/office/excel/2006/main">
          <x14:cfRule type="dataBar" id="{95C7CD31-B70B-44D1-AF4E-411A9AA6A9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008D0C-A1CE-422B-8EE1-694D51954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D6BC31-DBE7-4DC7-8E5D-DB8B9BCC09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0E5EA0-991D-4E0E-92A9-35E84B174D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2C446E-3E0B-44BE-A463-7C5EAC99F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08AF09-F749-41BB-8ED1-286DF49C13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3D8167-8987-4EBA-AD4F-C12396DC7C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9126A9-5791-4BA1-A939-B662516DD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21BB2A-B0D6-4AC8-97CF-FEB2B384A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4C8512-7DF9-4179-88FA-6C763751B0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DA98E8-C20D-43B7-A534-C7C9E63D53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735F2E-C695-47ED-851A-E5CE0BA339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77C1DD-C582-408E-9DA9-BB40364441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37DDFD9-82BC-4129-8843-7DDEEF4DA6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7B6C17-310B-490F-86BA-D595C4ACF4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B5497B-72FB-434C-95F0-87F96BA021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EDCBE6-D048-4DE0-89E3-43704AA00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C133B1-047A-4DA0-ADE4-09BBF9C1E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B17457-317C-487E-ACFD-E2ECE05DB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0A7153-100F-4EC2-A1C0-968BB4CA23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003244-A666-4C0C-AC8B-375DEDC9CB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E5C9AC-4F97-4EF8-AE53-5B328027B2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EEB9A7-30A8-4CE1-A492-2C351D583D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4AFE6B-2835-4C82-A097-D8CB99CF0D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D1E4CB-12BB-4969-9C7C-06B55CBD7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11A363-DE20-457B-BC66-EFC87A58D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8118C997-070F-4A28-9D43-6E27ED004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92389B28-59D0-4078-A6CE-89B4D3AE69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342C9A14-0B3A-4123-9505-95DB2CA6A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6B5EECA3-E02F-4EB3-BB3B-4C24B05B5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8ABE9CE5-98F5-4C20-B73B-8EDB2A34FC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40E79313-912A-4A2C-8DEB-0C4BEC0A24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T22</xm:sqref>
        </x14:conditionalFormatting>
        <x14:conditionalFormatting xmlns:xm="http://schemas.microsoft.com/office/excel/2006/main">
          <x14:cfRule type="dataBar" id="{8645A963-F638-42CC-8A7B-59E50FC3F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T23</xm:sqref>
        </x14:conditionalFormatting>
        <x14:conditionalFormatting xmlns:xm="http://schemas.microsoft.com/office/excel/2006/main">
          <x14:cfRule type="dataBar" id="{290115BF-B3B2-40F1-9392-041F19F97A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T24</xm:sqref>
        </x14:conditionalFormatting>
        <x14:conditionalFormatting xmlns:xm="http://schemas.microsoft.com/office/excel/2006/main">
          <x14:cfRule type="dataBar" id="{C299FC68-97CD-4A54-A9BA-AE4890828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T25</xm:sqref>
        </x14:conditionalFormatting>
        <x14:conditionalFormatting xmlns:xm="http://schemas.microsoft.com/office/excel/2006/main">
          <x14:cfRule type="dataBar" id="{09B8CEF6-85A4-4681-A751-D2B1B5DB31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088028-61EC-4FD5-A870-51F12FF24E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419C4B-0C1E-4275-B316-F86D91C28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F3A84B-823A-4B20-A55F-A546607C4C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FDD74D-0347-404B-B37A-3627A70BA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055A91-4F20-474E-9C3E-21631E73BA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CAFDFB-C820-4DC3-8F4E-3081F48BF2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21DFB4A2-89A8-4D00-999F-0717EF2AA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CC1314-1787-4C5C-B611-6C3E4BE6B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U5:U26</xm:sqref>
        </x14:conditionalFormatting>
        <x14:conditionalFormatting xmlns:xm="http://schemas.microsoft.com/office/excel/2006/main">
          <x14:cfRule type="dataBar" id="{2F5F0E7E-22DE-453E-805A-3F8698A4D8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2D912A-71FF-458B-9629-E0F8F3E28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EEED21-6883-46E5-83AC-E4A47122D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9CB896-2147-401C-960F-5EE79FD5F7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2D796A-E4A4-4F30-A0FF-C5D483A12F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F5B264-A22B-4882-A0B9-AFBE45610E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502B21-E2E9-44A7-BF22-4A74D97202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U23</xm:sqref>
        </x14:conditionalFormatting>
        <x14:conditionalFormatting xmlns:xm="http://schemas.microsoft.com/office/excel/2006/main">
          <x14:cfRule type="dataBar" id="{C02C2E30-E9E1-48AD-BD7C-FA246B5FCD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95B7E6-DA79-409A-9CD4-BC22229FB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4A1673-25D1-4056-B45B-E3A0610898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3DA756-7F10-4DBE-AFAD-92743EF053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4F5551-EAC4-440E-8E2F-7584F2FA9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22F36E-EA89-4116-8A81-D8E387E39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9DF1E6-4BF4-42D3-8C7B-32E3659CF0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U24</xm:sqref>
        </x14:conditionalFormatting>
        <x14:conditionalFormatting xmlns:xm="http://schemas.microsoft.com/office/excel/2006/main">
          <x14:cfRule type="dataBar" id="{140B9357-60E6-4738-B6E0-A42BBEA550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442268-31B3-41F3-B703-4187DDC03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DBAADD-2532-4F9E-B9FE-404ACC789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382F99-70BE-43B0-AF05-C731B678C5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F6F1C6-2B45-4C5C-B5B9-75AD545A8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177A77-77E2-40A6-B438-1251911379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4730C2-5384-4A9E-A48D-7351F3E26C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U25</xm:sqref>
        </x14:conditionalFormatting>
        <x14:conditionalFormatting xmlns:xm="http://schemas.microsoft.com/office/excel/2006/main">
          <x14:cfRule type="dataBar" id="{3D52CD7A-1B5F-4D38-87F5-662BA50EF9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8F3422-8288-4726-886E-FF89B44A2F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8082DB-7291-4A0F-A584-779F976E94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FADC12-3206-4A9F-AEA1-499FDCC88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7E9725-F39F-4F3B-83F3-7E68DD4A4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02CE54-5A9A-4FD8-91F7-F5B72DB5D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1A780D-B256-4465-BBB5-BBA8ACD42E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U26</xm:sqref>
        </x14:conditionalFormatting>
        <x14:conditionalFormatting xmlns:xm="http://schemas.microsoft.com/office/excel/2006/main">
          <x14:cfRule type="dataBar" id="{A8AFE2D2-1F08-4D30-9408-100F14B99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A1AFFD-D4CD-45C2-9E12-B96067104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F223B0-0EF0-41B8-A290-FAAB94B53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B05B9C-72D2-453E-8FCE-4D3761607F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3B31F2-350A-4FC6-990F-06C6811A5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EA4327-9D28-4A8E-BF3F-FE4C9E597A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1105F3-1ABD-4144-ACF4-5AAFAA1A5C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985C33-EDA8-4E17-BC7F-9086418298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E9C27B-C550-4176-A7D0-02E06E3E4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F2CD81-DB4A-4521-AF6E-66CDF0322C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50F460-C8FF-477A-A9D3-FDA21C3281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1C0866-0A03-470A-BF94-894108FA20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82625F-4E4D-4406-BB04-9ED3D43CEB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8CC459-1052-4A9A-B28D-9B966D7A8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934C0D-8ED2-4824-998F-F2707164E9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757B84-4579-4062-B2F3-5B967E4EDD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493CCF-61B1-4E49-970A-C113BC03BB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981734-9F98-40EE-BD27-4C709ED1C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F6A16A-0F9E-4F63-BC07-0D4B1C3DD1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02F5EC-39B1-4DF9-A8AB-7EE91D406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9ECAA7-21B5-4A62-B81B-5E908BD83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C39D6-CA77-48F9-B337-83DCBA7D3B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4C46FA-BE5A-4145-B6FD-98128CC3B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C19615-00E6-4561-9771-470579EE4D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EF9A9F-D27B-4F62-9721-22FD1FBD07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9AA3D3-FEE8-49BE-86CA-FEE4319C9E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E4A44E-5323-45ED-9489-EC2A6602D0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A68180-0D21-4B1F-8EF4-F91C127C03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F6F9E0-A305-4B5C-8885-CA5F90030A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6F40D7-F08C-4C75-B4E2-F59EEE22F4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V5:V11</xm:sqref>
        </x14:conditionalFormatting>
        <x14:conditionalFormatting xmlns:xm="http://schemas.microsoft.com/office/excel/2006/main">
          <x14:cfRule type="dataBar" id="{3C10E07C-B664-4A13-841B-212F3AC221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D7BC22-DB04-4903-A513-621C941E4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5F7F8A-984E-4F0B-A681-F34D479655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0368C1-088B-4ADC-8FC3-3342121BC0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0032A4-78ED-4DAE-96E4-D3CC4D4A47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122AB7-A9FD-4F7E-AE44-23E4DB0DD0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308111-0B0F-4CB5-90D7-15609AB91C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BED2CE-5458-43E7-8340-A826EA35D7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E932FB-370A-4940-AF70-3D26AFE865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503496-8ACE-4DE5-9B03-D61182848C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0720A8-EB80-4DED-A1C7-B763F41052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2F00A5-B5AA-4439-B0AF-CF24EFC7F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2D397A-E4D3-474A-A02A-04D22BBE2A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V12</xm:sqref>
        </x14:conditionalFormatting>
        <x14:conditionalFormatting xmlns:xm="http://schemas.microsoft.com/office/excel/2006/main">
          <x14:cfRule type="dataBar" id="{A4F3E406-F827-4E4B-A8FB-952F70488D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D36F10-156B-40A9-8F42-F9E2D3F68D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8817E3-058D-48B5-A999-81E6F23C4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F4472F-0F8D-4890-AA8B-E22F5B0DDC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0F2748-0A1E-4A86-AEF6-39C2343EA0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8EB471-91EB-4B6C-A2A5-4967A91DC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D8A4B8-FE7C-4FF9-824B-0D134D2D64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7E505-C395-4B0B-BEB2-FF1A487449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F4A90F-3019-45E9-894C-7F2418198D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92F111-37DA-4B03-80F7-2B56A8362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4791DB-0DB4-4773-970A-07EAA2BDA5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3027D7-DEA8-49E1-B6B1-2841AC104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861ED5-1AC6-4A4D-9D0C-5EE1D70FD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V13</xm:sqref>
        </x14:conditionalFormatting>
        <x14:conditionalFormatting xmlns:xm="http://schemas.microsoft.com/office/excel/2006/main">
          <x14:cfRule type="dataBar" id="{1023F111-6F8F-44E6-A84A-E1FFD45AA3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09DC8B-D1DD-4524-B81D-59EA10510D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A3F4AB-AE28-4315-9AC8-E241B5A3AA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B58D60-00CF-4349-9806-F35C03D433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E211AC-73B2-4D57-895D-C8BD76F517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DFA31E-A163-40BD-8E4F-FCD363A37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25F812-7DFA-4685-ADA8-E60F821B28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4F7494-BAEF-4FE7-AD5D-538A36C8FF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D52E08-E6B8-455B-8368-7084A7EFEC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E702D9-E8E8-4E21-83FC-37A7920C3E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660AAE-0B9B-48BE-B49D-B499208647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D17584-E3AC-4F3F-B249-D3AB120B8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CB5C5B-7701-4363-8C85-33010AAF45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F517A1-ABBF-40E8-AB8E-185D58B355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8362D1-0411-4F01-9C06-EBFA42D5BE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A23111-1CE6-46A3-ACEA-4ECADDD064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B3856-E6CE-4612-88BF-7ABAB406E4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D2601C-EB36-4D6E-B751-58E333C008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4391EE-72AB-4139-A1C2-9B4EEBC415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A1DFD1-432A-4B7A-B6E8-5659624C75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52DC2B-FB83-4A06-A32F-BF86D9B1F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0352A4-28D7-4545-A3B7-A199216D4D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AE01AF-6CA3-40E9-BE09-BB95942054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E228A8-F62E-48D6-AE85-B2EED30F9B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BBE716-D65F-47F6-A691-C4B5C2080E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5FDA7E-398D-4C4D-90DD-D999CDF09E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CB2ACE-471F-47D8-A51F-9FF64B8650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2E950A-D6EA-4930-B19B-921EA9A9C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33BAEF-1398-4133-BCCF-C6EA58FDD4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F3C291-2516-4E28-BF37-EC7AA57F57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2B084FE6-3750-4335-8AB9-45E2117524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19F40B-55AA-4D43-98DE-682EC189B6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65737E-4739-4665-A8F2-0CE3701E3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A38E24-7410-4244-BF7D-F280A95A23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824801-351B-4CE8-957E-C1864A6E73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B00F23-7C92-4BBA-B3D1-C0D083A1C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2993D3-7302-4829-B2CD-F4201CAF21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197F5E-EDD8-47C7-8C0C-E7E029434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062DAB-D7B3-45E8-B31A-6C3742E37C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3467A2-50B2-489B-B895-C45B7D1479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C1AE87-557F-495F-B02E-B7C239213D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BC51EB-CC0D-4327-9F51-21A175829A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0E2CCB-F7D6-481F-80B3-05EF2A7FC5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5F1DF9-B8AD-46E3-A098-A7C465A1E3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DCD62B-ED61-4167-AE9E-36214B65A5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7A2D01-2F56-4C4B-BED8-304E0E49C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1C83EA-D456-495B-827C-5F7AA2369F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V15:V23</xm:sqref>
        </x14:conditionalFormatting>
        <x14:conditionalFormatting xmlns:xm="http://schemas.microsoft.com/office/excel/2006/main">
          <x14:cfRule type="dataBar" id="{3E4DB237-CAB6-40A9-B402-6C619F4AB8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F3A6C6-830A-4B3E-9BD9-1EF762056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A447F6-DEF1-4DD6-8973-49EFFB807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8346B3-BC45-4775-BF53-7BED85333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10EF92-B7F5-403A-89D6-0B8E98EC55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F40C24-68BA-476F-98F4-EB101C5168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CA7E07-E06B-4DDC-9ED4-3527FA53FE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DD5464-CB78-4D83-8C30-F65A068CA7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A5ACEF-0C85-4289-91F4-090AD0C1E7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5544A0-616D-4656-8367-0A7FEA8D0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0668EF-95D4-45F3-A4A1-F8A2864361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6728F2-3C0B-4AD9-B8F0-06C5E2CAE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3BDB60-9947-4D65-AA11-B312AF573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V24</xm:sqref>
        </x14:conditionalFormatting>
        <x14:conditionalFormatting xmlns:xm="http://schemas.microsoft.com/office/excel/2006/main">
          <x14:cfRule type="dataBar" id="{C908E28D-5D97-41B2-9E8F-42D3BDADF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EEC4F2-FADD-4A44-9E7F-BF0B099CE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EDD6B6-C1E9-4D3D-B5DB-B4E9BC3782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26B978-C669-4C2E-AD6E-8FB31898A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4FBDC9-4F0C-46AC-B6E9-88438CAD0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B1DD4C-9F1B-4CF5-9AC1-D34F0E2A58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B4D08E-6088-4080-8095-8AB1CBF46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C87838-8333-43B6-AA3E-4657E8225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D949A4-B316-4F9F-B11E-B9B143BAF2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40E573-679C-4B99-9A9A-8671F62088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645DF0-57B7-4FF4-A182-1BB302C966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D9863C-3A20-4056-BDC0-1AAEBDEB3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57E69D-AE44-484C-8EB4-48CE7AF385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2914AE-2A1A-4110-AB40-1BCAA8B11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BAAE6B-129D-4745-B008-EA88351818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B8C706-C385-4DA9-86EC-3F9EDDB121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C60057-C7CE-47DC-A7C4-5F4EEC6FC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99B8F1-C3E0-4E70-826D-424EFE302E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DD6204-B8CB-4E65-BFD1-93FEC2D385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274400-A526-4565-BB71-B9C05A4406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37CE13-08B3-41D1-9628-6ACF885F33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8360AE-E5E4-49D1-8ABA-D397BF48E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10F4AB-2C53-4C2D-A395-606ED135D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F75BD4-E308-44AA-B18E-96F5354C3C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BCD2DD-0A8F-4E52-BD5F-F165503BDF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76A77C-23DC-4907-9E1A-4F42686808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2848E6-7A15-45C3-9B80-0AAED8B1F5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6D329D-2DF9-435A-8786-4AD288C11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9F9F76-D6E7-4182-AD7B-16287B18EC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5034B4-51CD-4E7F-816A-70526AC95C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V25</xm:sqref>
        </x14:conditionalFormatting>
        <x14:conditionalFormatting xmlns:xm="http://schemas.microsoft.com/office/excel/2006/main">
          <x14:cfRule type="dataBar" id="{EBF4F712-DE15-4521-A1AD-4B4F14D4C2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B85284-8361-4E50-AC3C-C2180BF26A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89DEBC-26BE-4D1E-BA8B-A0CEA4D07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0238B8-86EB-41BD-A62D-382F8E79B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839B20-E70A-4370-9510-2BD56B95B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93C20D-4BA9-4A0F-AA0C-1D9A8C57F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B4F69E-4AD5-42EF-8431-E22A5085B4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608DE4-4504-4D4D-B4E5-D47249722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D1F519-E637-4302-84E2-4836D6248A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499887-F975-422C-8D53-535B0E893F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AA433B-6438-42C6-8E42-B08C7FD99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05619F-19CD-4A39-BA9B-6C7B44A7A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00C8C1-3F39-4CDA-B607-99BB73E2D3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V26</xm:sqref>
        </x14:conditionalFormatting>
        <x14:conditionalFormatting xmlns:xm="http://schemas.microsoft.com/office/excel/2006/main">
          <x14:cfRule type="dataBar" id="{52368C09-74CD-438A-8EDE-7416F95495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Y33</xm:sqref>
        </x14:conditionalFormatting>
        <x14:conditionalFormatting xmlns:xm="http://schemas.microsoft.com/office/excel/2006/main">
          <x14:cfRule type="dataBar" id="{FD0AEFDF-31A5-4602-8057-22BE688E1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Y34</xm:sqref>
        </x14:conditionalFormatting>
        <x14:conditionalFormatting xmlns:xm="http://schemas.microsoft.com/office/excel/2006/main">
          <x14:cfRule type="dataBar" id="{D28097F9-BE84-4B1E-AF3B-8912C9A7BE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Y35:Y36</xm:sqref>
        </x14:conditionalFormatting>
        <x14:conditionalFormatting xmlns:xm="http://schemas.microsoft.com/office/excel/2006/main">
          <x14:cfRule type="dataBar" id="{CD7E04A0-3F62-46BC-8FEB-6340B18EE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86C6B9-C330-4462-B6E2-9FC15A0B25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43D563-D814-4E75-9443-1CB90245C3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FF4C55-0B2D-4D9A-9904-2FD5AB4F7C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8E6742-A702-4BFC-BE40-6FDCC33F1E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D53D06-BEFF-4AD0-825E-3FEA828E7B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B93774-FF5C-4204-B8E5-032F92F383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3953AE-DD79-469E-8815-80504C56A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Z5:Z36</xm:sqref>
        </x14:conditionalFormatting>
        <x14:conditionalFormatting xmlns:xm="http://schemas.microsoft.com/office/excel/2006/main">
          <x14:cfRule type="dataBar" id="{D3D18790-7FB1-49E5-8F61-F6FA7CD9F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F43C32-B5B0-4310-8EA0-BAFBBE4779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Z5:Z37</xm:sqref>
        </x14:conditionalFormatting>
        <x14:conditionalFormatting xmlns:xm="http://schemas.microsoft.com/office/excel/2006/main">
          <x14:cfRule type="dataBar" id="{9AF5C3FC-D01C-4014-9856-2A6172C6F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161D3B-20FC-4EF6-97E9-5CC80F5549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ED0AF5-4533-4149-BEBD-21A651FF0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80A5C6-783A-4FA2-A85D-9E42E20967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38A9C2-0E6E-4837-8A66-76D0C96AA5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9E1D9F-5C20-43C0-9AB9-3FB54A9912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3D7653-0341-43F8-8BD1-E9A1EBD6DC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5ACF05-7B08-4D35-9794-EDBB02D27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Z37</xm:sqref>
        </x14:conditionalFormatting>
        <x14:conditionalFormatting xmlns:xm="http://schemas.microsoft.com/office/excel/2006/main">
          <x14:cfRule type="dataBar" id="{08F558DE-C138-4BEA-8F9D-BE11CC2064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FC0AAA-B276-4D10-B2FA-A31E3E5E3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2189E8-8116-403B-917A-11EF26B403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C0E84D-45A2-4A9E-81F1-EDC5748E1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A9223F-7D2A-44F4-95F7-3C941C9D1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EC8478-DEA6-4005-BC73-B11E9BD60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82035D-C917-4F8C-85A5-703F33B9BB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67591E-B13F-4750-A2AB-D887D11B2E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AA475A-0D3F-4CF7-9CA1-36D245135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B62A03-F5EB-4CDF-A5F2-5321DEFDAB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491CFC-134A-4C80-B686-2C4AFAEA1E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BEC5A4-E3DD-4B39-A903-3B2205AF78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DAFD53-39A3-47F2-8CC6-ED87B7FD4D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9B51BE-3565-4EFD-83AF-67D8D215BE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C7F855-9BE5-4D93-ADE1-2E96017BC8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6FD6A2-E61C-4885-83EE-24A52E1E73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068843-4A39-4A5E-B1F0-6C91B2810A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AEFCA4-585D-499C-9561-C621484390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136A56-F8FF-425E-8DA5-7AF8B597F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DB8A33-28B7-4677-B502-8A9941D1C0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90DE01-D3D2-46A9-907B-CE570C189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F533A2-AAEE-47CA-84C9-E9097D1DB0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179131-23A8-4126-89F2-7A16B46F95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86F991-8189-4607-81B6-FCD2ABD17A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A8FB77-9724-4391-A3A3-525AF49DC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9CC8A0-91DD-4D9B-A58C-599F6F3E3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52D8F8-0284-4FF2-8AEF-6A18103775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A69091-FD25-4E06-9B62-9CE8FEA673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2A8B9E-A6C6-42CB-B148-2295ACB84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57788F-397F-44AB-ADF2-A66FA8F16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</xm:sqref>
        </x14:conditionalFormatting>
        <x14:conditionalFormatting xmlns:xm="http://schemas.microsoft.com/office/excel/2006/main">
          <x14:cfRule type="dataBar" id="{B1F5D1DF-7AB9-441F-9891-1DF3148571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F217D8-F2CA-4115-A094-2F0069A0C4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BD9C67-E480-48F1-98AE-22AD81B51D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8DE172-847B-4135-AC08-2A783CC350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B33721-17AB-42D3-BE07-63D8EF35DF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DEE03F-A581-487F-B9EA-509F95938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8E1FF7-2C1D-4A5C-994D-2D7D7155CB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1E202C-954F-49EC-8D56-DF98F02AB0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1DB10-0690-49DF-A3D7-4DE354EA4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55A1AD-47EA-40CE-B925-3D50BF5BE6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A13B9D-9177-4B87-930F-2DBFB7E9F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0EE200-93FE-4880-8E63-3C8F6B2A16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A4D27E-58B6-4A47-B522-F64F530BD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</xm:sqref>
        </x14:conditionalFormatting>
        <x14:conditionalFormatting xmlns:xm="http://schemas.microsoft.com/office/excel/2006/main">
          <x14:cfRule type="dataBar" id="{05402343-7547-4D89-99C0-DFA5EE36CD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D18723-DEDD-4DB8-8C35-8B600E2DCC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488B29-24A1-4D47-9829-199BAB6294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CCAF31-22F8-492D-AB54-A0F77DBD20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E63500-1C40-4B74-9C0E-0857004424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12E1D0-C5F4-4EB4-A4B9-4D488EF826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4B573F-4873-4BDD-B5EA-336CA80B1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D73A9-04C3-4E5E-8FAA-DFC53296C0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72953E-BDD6-4CE7-BC58-92637A2A3A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D58A28-79AB-4AD3-A283-1A727D5B64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F7B65D-6D43-4657-848C-C386C08B8B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4D1B81-40B8-465A-B028-DF80381531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D141DA-857D-473F-829E-258F371BAA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0F8419-7E54-4856-AE9C-9C05D0666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4DC414-F362-4623-B338-10E19F9E1B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6B1A97-25CD-4425-A7C1-47D4FC3585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A862AA-9262-4F2B-98F6-B80901E3E1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B2D9EE-7FED-46E3-83BB-18F1AE3EA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D5A76E-B397-4082-B8F2-71D0096763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6FCE6D-028D-46D4-A027-3AE3BCB7B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9D9726-79E6-4502-88BC-1F7C138864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2D331A-F8C5-445A-9BA1-119C17D34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56CB6D-7A40-4107-B6C7-25820E021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1DC1A-2061-4BAC-85FD-47C08A434D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D09A3C-618E-4538-A2AF-CADA2FCE34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C8BB1D-75B0-48DA-957C-55413088AD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544A28-FB51-4AF4-AF89-7B585B3BF7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8D8CCD-193A-4988-90A1-8ECC7BAAE6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B71D56-507E-4210-930F-FABC7B8026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05480E-9919-4DFA-9121-0332939DB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</xm:sqref>
        </x14:conditionalFormatting>
        <x14:conditionalFormatting xmlns:xm="http://schemas.microsoft.com/office/excel/2006/main">
          <x14:cfRule type="dataBar" id="{4781827D-AA7C-4124-8D22-1EC1CBA4A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C13844-DDAE-4722-B92A-0C82B5204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9BBF9F-8481-4DE7-8D2D-FA0C41924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8B4135-D193-4179-BF8C-69E4ADB90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8D28C7-0BB6-435C-9A2E-384C7D96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1E4ABA-2132-45F0-8FBD-08868A0D0A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EEA316-C018-4512-A176-6B42CE753C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2C5ED8-0149-4644-B3B7-E06CCF4C3F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DCB6DF-501C-4D3E-8C48-3256A5AA66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9F87CE-2B75-48D4-8C1C-0668E24F72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EBD797-FA3F-46CB-89AA-4C91E7ABE8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DFAE7B-3937-4C66-9D8C-20D568B3A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1E2511-7778-4665-95BC-8973D9AC93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80C812-257E-4D06-AF04-DA38206C68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1A4FFC-B363-4CEE-8093-D317F55022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657F4F-8BE0-4E7D-9723-1B5906D21D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A74854-2795-4DE7-BD62-D889AB157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</xm:sqref>
        </x14:conditionalFormatting>
        <x14:conditionalFormatting xmlns:xm="http://schemas.microsoft.com/office/excel/2006/main">
          <x14:cfRule type="dataBar" id="{77F4060A-F3BA-463E-AFD2-259D97ED6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B8A3C7-719B-4465-B0F1-524992B6AF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B98E9B-1E12-4639-AAC8-34DDD89101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4BEA01-E1D6-4EE7-8D78-4F17A97E21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F3E169-2D5E-4C87-AB03-8CF47655B2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04B4FE-1131-4995-96D8-74834F6A7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AE5AC9-92A2-405F-AF96-7071D42C8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B6CCED-49A8-42C0-9DBF-10035DE2E6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734392-EAA5-4C92-B5BA-07875B80E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8F34A0-2DDB-40A6-8502-81ABFE23F3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7FA22B-CA5B-4123-9475-9279474CC3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EBAB2A-797B-4649-B912-DD76E9EA5A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A8F1EE-EFD1-4E8D-989B-5D435521D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AA9</xm:sqref>
        </x14:conditionalFormatting>
        <x14:conditionalFormatting xmlns:xm="http://schemas.microsoft.com/office/excel/2006/main">
          <x14:cfRule type="dataBar" id="{6659FCDE-9338-4F1E-A417-5632F953A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F1E1DC-3DB1-497D-A27B-67F65C92A9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2ED968-D089-487C-91BD-D89CA145C2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917C23-8BFF-44B8-8E49-F627627522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565297-F98E-477A-BD05-CB59255443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FB9838-3BE8-4356-808C-8C2226238C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468EBD-4649-4050-882F-8B47142C79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74F585-1B4C-42A1-902B-4B77C5E113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B48A19-BAC2-47DD-9C47-290B62875C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DE0361-077F-41A8-8F6C-68EA05884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87E3B6-9087-4936-9265-2873D14C7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CD963C-064B-4353-903E-9D2DBA9BE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21451F-DFA5-4D12-BF0E-D1E78D96E6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E5762B-858C-4862-8C38-B993A98455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9C9864-8482-4A17-87E5-69B5B3CD3E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6005B9-2838-4E7E-A2C0-EEB5CD0C7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5C9A0A-F197-42F4-868C-29619F20AB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42C7F5-B2E3-46DB-BACC-2BF9D66F58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E2B917-0EB9-4C1F-B79C-D445E29FB9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5E5278-9BE7-4D23-AB99-F96686E962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ADC988-775D-4927-9764-F5BDBED0A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2B2730-8101-4573-AB1D-967B2DB51E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AA8E3F-9155-4D4C-AF16-B62642D2FE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1152CB-D34A-40C2-B868-9A95D7451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634483-70AD-4910-8960-62ABCCEA90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58C0C3-BC26-4166-BA90-EA7BECE944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992F3B-D398-4C56-BD54-8AACA6B12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4767EE-558C-4E15-9446-2DA86DBAB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9F376E-26D0-4D39-A331-D81C6AD41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0498D1-CBC4-4A76-BC24-ACE2DB4B2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AA10</xm:sqref>
        </x14:conditionalFormatting>
        <x14:conditionalFormatting xmlns:xm="http://schemas.microsoft.com/office/excel/2006/main">
          <x14:cfRule type="dataBar" id="{596F6CC2-65CA-4670-A7AD-0896220DAC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B3DB32-ECBF-4AF4-91B6-0637F1690C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E415D9-72D5-4119-AF16-007AFB5C26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E51929-41CB-41F2-B93F-4F091B9A8C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6A344B-91FF-478F-8D1D-AA0395A25E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A5ED07-DD35-49ED-9ABC-520405E22F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0E17B0-A28E-4551-AD7C-FB99747F6D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6EE977-3C4B-4442-9A39-3D8906B219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A12FE3-8B3C-43FF-8E65-6A9D1EDFBC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C03431-2E87-4F14-BA7B-CA2255CE1C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11FDAF-BD58-4800-8B37-C54321D4E9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87EDA1-0B8B-4559-BB37-AF8D1B9E2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7A7D88-DA8D-4164-89CA-9F6390ACC0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AA11</xm:sqref>
        </x14:conditionalFormatting>
        <x14:conditionalFormatting xmlns:xm="http://schemas.microsoft.com/office/excel/2006/main">
          <x14:cfRule type="dataBar" id="{83D1139F-BEF5-4497-8ECC-E05A795468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30ABF0-C9ED-431C-B108-E4B63FFE2B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6481FF-3575-42C4-A97D-39A768866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E16EC0-0C9E-4335-B91B-DFBBC70845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A5393F-B5FE-4D39-B64A-E36B2B0EB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A6F2B6-83A5-4699-A5BE-3A03BC307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740389-C384-4325-9533-F5C065EE77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3721C2-C405-4F76-A5D9-8FDC6A65DC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82A108-EBEB-4F97-B81E-A29CC5D1F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1B6693-64F6-4461-88CC-61024B7770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119CF2-B357-4738-8460-830F2EBE32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F37154-4D17-4953-8D9E-42C489A21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25B620-1365-49E2-BCC6-2D7384CE7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0E4FFB-1612-4E62-B642-14D3B82B41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B5C928-199E-405B-8EC1-776F8E532E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415A14-9179-422F-AF91-86239F68DC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481A5D-3D67-4A4F-A746-FCE1B07AC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CECDBE-D768-487E-B156-018E44A325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8F3F16-1E56-4803-A538-A1D29AA9A7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4DEEAE-FCD1-42A1-8842-E451E7791E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D71A43-2ED5-4779-B979-FCB31EFAED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9A436E-3D96-4733-934A-3FABA5F9F3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6A41D6-185B-4E87-90D2-479716B35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C75AC-16A7-434F-A971-0E704271E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BAF025-39D2-4B43-90C5-F50D4C6F4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AD7663-6494-41BC-9C7A-230B0DAF1B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6EA053-D9D0-448F-A5DC-55353E953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71E23B-2E07-4D22-804C-12F07DF4A4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518188-448F-47E9-8327-BDD7D61771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BC2F56-2A88-4EC6-8067-EB0BB3F99D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AA12:AA16</xm:sqref>
        </x14:conditionalFormatting>
        <x14:conditionalFormatting xmlns:xm="http://schemas.microsoft.com/office/excel/2006/main">
          <x14:cfRule type="dataBar" id="{39BD384D-2C69-4C3B-A69B-4F9F2A6BBB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5867F6-78E0-4CD2-B264-7F062DC93C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405D58-B93F-46CF-A803-81F556A06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02C911-FE95-4420-B700-B884A2BB2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2D4CC3-045C-448D-A11D-3A7218AA50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D352BB-E8BB-44ED-BB96-F967424CE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18F574-6745-434B-86B2-EFD36E0C64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051194-2774-4807-9990-2865D45E45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DEB6F5-B697-4CAA-A010-77FB620EDE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A41D44-0F63-4A71-80AA-EBC518C32C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FDF225-B15A-42AF-B225-42A0F1F748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F7BA2F-8764-447C-8994-A8145CA9B6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AA70E9-9BB6-4CC6-A8F1-FB48FF2E64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AA17:AA18</xm:sqref>
        </x14:conditionalFormatting>
        <x14:conditionalFormatting xmlns:xm="http://schemas.microsoft.com/office/excel/2006/main">
          <x14:cfRule type="dataBar" id="{C713E799-63C1-4632-A500-A0F0C053E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0B4A30-BC8F-4D96-A6EF-48EA82E7F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546FD-EF27-48C4-B0C9-10B63F7C6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16823A-4BDC-4E10-828F-565673A00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1680EF-425D-483F-9490-CC673770BB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17C501-1100-4C0C-A004-A143CD0B2F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6C7987-14F2-4C14-A0D9-33FB92F8CA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BE856A-F95E-4A84-87A6-07C611A408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98CAE0-5421-4522-A9F4-CAB87ED2D3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303370-CC99-4575-9B79-157A16F6EB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35FA77-13EA-4705-8891-76F6E4FA2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D97180-4A03-4914-85E4-001CCB8855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A01621-F585-4546-9185-9537DEB164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883D62-E910-4AAB-B01D-553E719A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08F83F-481F-4646-AEF9-DA6FFDCF4D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63C94-C4DC-48AB-9A2F-D5E877447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0B1BF7-134C-4A87-B76A-68D240D599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AA19:AA22</xm:sqref>
        </x14:conditionalFormatting>
        <x14:conditionalFormatting xmlns:xm="http://schemas.microsoft.com/office/excel/2006/main">
          <x14:cfRule type="dataBar" id="{04CEE9BE-E4A8-4C1C-8768-AB7BA101D8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D91803-FAC3-42F6-A71C-3CA3FB6B0D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B55281-81F1-41A2-83C0-A8782E21FA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21883D-1110-4A17-BA3A-484693011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35A90B-C519-461C-B294-16F8FD70D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8C3BE5-595E-4579-967C-1A9221C8A6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C4786D-CDA8-4A25-9164-0EBD3DA990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CCFBBE-2DFC-48F9-8F24-A2F2F8A22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DC1D1B-B595-438B-951C-501524E43A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EAA3E8-2DD4-4178-A341-8F9FBF7D6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CEB293-31C7-4F5B-9975-9DD8807061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43FE2E-F0B7-4FF8-B2ED-A92F1842E6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38A764-5D31-4B55-869E-A05DC61ED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AA23</xm:sqref>
        </x14:conditionalFormatting>
        <x14:conditionalFormatting xmlns:xm="http://schemas.microsoft.com/office/excel/2006/main">
          <x14:cfRule type="dataBar" id="{B3A01724-F2A7-4C6F-AB6F-6CF4586AF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117F03-4D54-47F6-B305-B4BDCC0E20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EF9352-A3B7-4258-8EE9-4984591E6F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BAE049-522E-4F3A-90E0-260DCFB25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BDDEB1-FAE4-43B0-A37D-1875EB0E8F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B8D84E-6BB8-44B5-BD8B-34AC12333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A510C4-916F-4072-BD81-15307BB97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60FF2C-3AC4-4958-A44B-0EADF68A8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5E3ABF-90D7-4B89-8CA8-E80C969B93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10BD1D-059F-4565-A85E-158B4B057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174E5D-D881-440C-BD19-E5C4F4E633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0A073D-8A04-4E50-8CFA-117250043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F6CA47-F12B-4EE3-9079-F46A53D22B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67F0A9-D61C-4387-A753-C1B8AC3101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FD9A76-F9B4-4652-9DFF-B1F2D5AD16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00044C-0450-416A-A38F-9D85E4602E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D7754E-33CF-4AFA-A835-621362CFB0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CA9743-4D40-482C-A742-1840300632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6EC1C4-CE61-4787-A696-98E7BDF29D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904881-D349-47E3-852A-CF24E5C809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C56961-6AD6-4929-882A-A39E6AEE87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0F460E-FF35-4FA2-B4B6-769D4B6221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BA4980-FAC5-4CD9-BBF5-5112D0401C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35EE16-476E-4FAB-ABF4-0B18EA5C22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7E39C4-F50C-4F0E-8E8B-6C6D219FF7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5285CD-EE59-4F0D-9FCE-80702009D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19817F-3A00-4A0E-A325-1083A423E0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8E8E9F-73A6-4722-B573-DD1E9D8BE0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A1F587-1056-4166-94E8-A6961D7B1A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BE7824-9FE3-479A-984F-76ED4B2B9A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AA24:AA36</xm:sqref>
        </x14:conditionalFormatting>
        <x14:conditionalFormatting xmlns:xm="http://schemas.microsoft.com/office/excel/2006/main">
          <x14:cfRule type="dataBar" id="{A3C36262-6655-4C48-BB8C-F3E1279A48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FFB38A-D914-4710-9073-A758EE6E9C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2FB0AB-0B62-41A1-909B-3106166FD5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787BA8-867E-4014-B907-B278207F0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AFF12D-308C-413B-BB8B-7097666EBE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A72CE0-AB19-4839-B3D0-2B7C1BD888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1E1B80-3C1E-488A-B561-E7462FC576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46117D-54B8-403D-A545-FE3F9CDA7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4C28E0-1D72-4B4F-8F97-5141CCFE1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68C586-16B8-4812-8DAB-BEB46C0BBE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E01617-50CF-4005-BD5B-20DE8A0CA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292B8E-147B-4C02-A56C-59B6A1998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E67A2D-061D-4D9D-AF8F-C0920A8E08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AA37</xm:sqref>
        </x14:conditionalFormatting>
        <x14:conditionalFormatting xmlns:xm="http://schemas.microsoft.com/office/excel/2006/main">
          <x14:cfRule type="dataBar" id="{AE82669F-58CC-4661-B34A-A2AAA975DF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B640C0-6840-4577-B795-257E47762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AB5:AB35</xm:sqref>
        </x14:conditionalFormatting>
        <x14:conditionalFormatting xmlns:xm="http://schemas.microsoft.com/office/excel/2006/main">
          <x14:cfRule type="dataBar" id="{855050B3-0440-4416-94E5-8F408E4422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E923F9-69D9-4414-8F70-6C305D5046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5E4F7C-88E5-4E15-9DD7-C91216C48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AB9:AB10</xm:sqref>
        </x14:conditionalFormatting>
        <x14:conditionalFormatting xmlns:xm="http://schemas.microsoft.com/office/excel/2006/main">
          <x14:cfRule type="dataBar" id="{EE352CB5-A68B-4C49-8F60-A59900E373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A5128F-5663-4D5B-9DBD-B54BEE461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F1EB2A-2A22-462E-8C90-3745E0612E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AB11:AB33 AB5:AB8</xm:sqref>
        </x14:conditionalFormatting>
        <x14:conditionalFormatting xmlns:xm="http://schemas.microsoft.com/office/excel/2006/main">
          <x14:cfRule type="dataBar" id="{CE64A719-A4BE-4675-8312-E5B0CD630D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CA3A89-D85B-403F-A97E-6E90B6E379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285F5B-914E-4430-93D7-F12AABBF84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AB34:AB35</xm:sqref>
        </x14:conditionalFormatting>
        <x14:conditionalFormatting xmlns:xm="http://schemas.microsoft.com/office/excel/2006/main">
          <x14:cfRule type="dataBar" id="{91757DD4-3345-4BD1-B4E2-293DFC97EB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AD32</xm:sqref>
        </x14:conditionalFormatting>
        <x14:conditionalFormatting xmlns:xm="http://schemas.microsoft.com/office/excel/2006/main">
          <x14:cfRule type="dataBar" id="{CF795650-B9CE-466F-B08D-3EFF7CFB93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AD33</xm:sqref>
        </x14:conditionalFormatting>
        <x14:conditionalFormatting xmlns:xm="http://schemas.microsoft.com/office/excel/2006/main">
          <x14:cfRule type="dataBar" id="{5A6C7622-1B19-41A6-AD46-A0DD36401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AD34:AD35</xm:sqref>
        </x14:conditionalFormatting>
        <x14:conditionalFormatting xmlns:xm="http://schemas.microsoft.com/office/excel/2006/main">
          <x14:cfRule type="dataBar" id="{6271EB56-0954-48C0-A6F2-0056D8BAD2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1255C0-0393-4320-81A0-4AE109E50E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AE5:AE30 AG5:AG34</xm:sqref>
        </x14:conditionalFormatting>
        <x14:conditionalFormatting xmlns:xm="http://schemas.microsoft.com/office/excel/2006/main">
          <x14:cfRule type="dataBar" id="{75CBF667-0695-44A0-8DAE-D2D74B38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AE5:AE31</xm:sqref>
        </x14:conditionalFormatting>
        <x14:conditionalFormatting xmlns:xm="http://schemas.microsoft.com/office/excel/2006/main">
          <x14:cfRule type="dataBar" id="{0E08286A-9629-4CF5-A55C-E0CE4B1162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AE5:AE35</xm:sqref>
        </x14:conditionalFormatting>
        <x14:conditionalFormatting xmlns:xm="http://schemas.microsoft.com/office/excel/2006/main">
          <x14:cfRule type="dataBar" id="{58B7204B-935F-43CA-BFA1-F6ACE718F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FB3EF6-6405-4819-8117-A1D54559EF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49FCDE-BB80-46C4-A109-D30CB806B8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AE5:AE36</xm:sqref>
        </x14:conditionalFormatting>
        <x14:conditionalFormatting xmlns:xm="http://schemas.microsoft.com/office/excel/2006/main">
          <x14:cfRule type="dataBar" id="{4AB8CD17-D7BF-4E4D-9478-B4412546A8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E93AAC-4BB7-40A5-A1E6-67160A523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FCB61B-7270-4884-B34A-B06B4039D6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AE18 AG20</xm:sqref>
        </x14:conditionalFormatting>
        <x14:conditionalFormatting xmlns:xm="http://schemas.microsoft.com/office/excel/2006/main">
          <x14:cfRule type="dataBar" id="{9690285A-AD32-4060-AE4B-21AD92A685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DA5192-5E5D-4E3C-B7B4-35AFCEC9D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80A4CD-08D9-41B1-B63D-B4FE483B28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AE19:AE26 AE28 AE5:AE17 AG21:AG30 AG32 AG5:AG19</xm:sqref>
        </x14:conditionalFormatting>
        <x14:conditionalFormatting xmlns:xm="http://schemas.microsoft.com/office/excel/2006/main">
          <x14:cfRule type="dataBar" id="{977419E1-27D0-42B5-9A8D-56803C143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C86DCC-026D-494E-B823-AB9DA49FD7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669E4F-DA50-476E-BF12-FF178DE8EC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173C9A-9477-4411-AE17-DB576CCCDE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AE27 AG31</xm:sqref>
        </x14:conditionalFormatting>
        <x14:conditionalFormatting xmlns:xm="http://schemas.microsoft.com/office/excel/2006/main">
          <x14:cfRule type="dataBar" id="{86A59E7E-F07C-4001-BFC9-F9FCC2F735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AE28:AE30 AE5:AE26 AG32:AG34 AG5:AG30</xm:sqref>
        </x14:conditionalFormatting>
        <x14:conditionalFormatting xmlns:xm="http://schemas.microsoft.com/office/excel/2006/main">
          <x14:cfRule type="dataBar" id="{8AEBCA9B-3AF8-43DD-BC48-3D31AC77EA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1C1C74-90EB-42B9-9688-1292A641EF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B6713B-25C6-42A8-8E15-546226CD3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AE29:AE30 AG33:AG34</xm:sqref>
        </x14:conditionalFormatting>
        <x14:conditionalFormatting xmlns:xm="http://schemas.microsoft.com/office/excel/2006/main">
          <x14:cfRule type="dataBar" id="{80401390-1B5B-46B5-9E26-C369521D6B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B81D45-0C3D-4AF1-B4EF-853FA9910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7974D5-B3D7-42B5-9FD6-6038892937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C5BE7A-A3A7-47FB-8834-0927EA4DDE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7972E1-74DB-4654-A0B9-08E6BE5940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5C0F70-A10A-4988-AD4A-252CF4AA55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AE31</xm:sqref>
        </x14:conditionalFormatting>
        <x14:conditionalFormatting xmlns:xm="http://schemas.microsoft.com/office/excel/2006/main">
          <x14:cfRule type="dataBar" id="{18858B0B-CBCF-4AAB-AD3A-0EF2D4D4A8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33341-5364-495E-AC1D-8609DD074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759033-3C60-458B-BF9D-7DE453CB4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7C6198-483B-47BE-9681-9DC0D86ABD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48B885-FA94-4772-9527-9EFA463CD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811501-27BC-4966-AD85-900B3BF046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CD7910-B0AE-4513-9F12-A3F25F753B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AE32</xm:sqref>
        </x14:conditionalFormatting>
        <x14:conditionalFormatting xmlns:xm="http://schemas.microsoft.com/office/excel/2006/main">
          <x14:cfRule type="dataBar" id="{C3999B21-63F9-4D91-A0EF-AE9F24BEF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6592E0-B4EF-4DC9-8872-A8541FF7D9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2154A5-8F1B-4462-84EF-8280E49217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E37D38-77C1-43B1-84F5-A41AAC3347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DF3A88-4D03-469E-9BFF-74384F6232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610893-7AF4-4068-8264-B10F58D18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D9B6FA-A7BF-406C-B8CD-F9D974B1A2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AE33</xm:sqref>
        </x14:conditionalFormatting>
        <x14:conditionalFormatting xmlns:xm="http://schemas.microsoft.com/office/excel/2006/main">
          <x14:cfRule type="dataBar" id="{E26690D8-72E5-4A9F-B0D8-85F9B9A4A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34A36F-C5CF-46DF-9C12-45A1460238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F9FC59-A74E-46DE-B995-5DD7404AD5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6C0711-DBA5-47D1-8911-5E2AC581EA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BC91A6-CBA8-4F3D-BA85-2FC426A3B7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DC0A1E-586F-4765-9F45-48DF70CB22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95B70A-EA4F-4A1E-940D-13EA4A6643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AE34:AE36</xm:sqref>
        </x14:conditionalFormatting>
        <x14:conditionalFormatting xmlns:xm="http://schemas.microsoft.com/office/excel/2006/main">
          <x14:cfRule type="dataBar" id="{0B221085-F7B2-4B9A-8275-EADC5BA0A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DFB59B-8F6D-4851-BCE5-4AE9E7B5E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EDFDB2-764A-4FBC-8F10-9ED9123A3B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7B749C-93FB-4275-96A6-A222622CF3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655E8B-FE92-4170-A1B0-4960E9971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FBF847-87A7-42FF-9C53-4E3EAC1AD3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0D7139-71F1-4A76-8A8F-47EC8E71D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AE37</xm:sqref>
        </x14:conditionalFormatting>
        <x14:conditionalFormatting xmlns:xm="http://schemas.microsoft.com/office/excel/2006/main">
          <x14:cfRule type="dataBar" id="{023E9727-BE08-4D7C-AD9C-679824EB9E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BD3F23-08C1-4465-88BC-41127E3552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23EBA8-3E32-4A22-A99D-9F2B66545E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98683F-783F-47D9-A971-A36716ACC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81A385-DE32-408A-867E-B2E64E6DA4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C07452-ECCA-4600-BD3D-49B907776D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CDC644-4566-43E1-84B1-415A6B1423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802030-85D6-4FD5-B0F2-E6FAC8644D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A8211C-7843-4D4B-BE98-5CED0A338C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AFE31F-4900-4819-8DE9-EB85E7C4CB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009105-3C95-4043-8FF2-3732A2EE4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3C014F-EF8A-4C64-A34D-F2B0F18AD4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F93052-AB84-4ED6-A078-7AFA336D9F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5D6B10-DE83-4AD2-AA43-DC4938555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F0A376-8104-4DD0-9E55-0E6A40F7D2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1B534C-2F9B-4C39-9EDC-5E9920A67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ADDDB5-9B9B-496D-ABAB-E85C24466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C3FAA1-2C73-4DF1-B571-837F96A21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EEFD58-847F-4C94-8B1C-4A4D76EE77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9DB52C-E7BA-42D6-85BC-56F327CCF8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ED55C8-84BF-4112-B016-047A504F5B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40382C-2E22-40C2-9F42-0AD5BA174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0C691E-F3D7-4C0F-9A58-18F61CE955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18F8FF-5C1B-454C-88B4-852E6597F6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4A120F-EB27-43ED-ABA3-F2E17C63F7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BD3115-AC4A-46EE-8169-92632832B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0D72BE-A64C-4485-AEF8-B25159AB2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F4D191-9D60-4ABC-9E55-B183D03A73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F6AE41-FE0B-4134-AC4C-5F3471A18E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65F485-4EFB-4BF3-8F1D-60311C4036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8DA7AD90-C0AF-4DA6-BDE4-73DD80248C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317249-5C72-45DF-B6B9-7884434B3B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A7AE86-B905-49F5-9EEB-7A45D4847B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153BBD-17A9-44F8-89BA-3E13383CB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7B5342-987B-4031-B50E-D8DB68C3A8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D1A8FF-8A65-41B7-8A45-91CCCDFC4E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AA6C2E-16A8-48B0-B16A-0F56D64610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350E34-8672-4992-BAF1-9D578799D3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44C2C9-7E9B-4F36-AE10-7EBAF4A5D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13F27E-1D0A-4110-AD51-61274FED00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383258-E833-4281-9FF3-2C2912041F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65D5AA-CD52-4CD9-ADCD-5425A6EBF3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649868-E65C-4B9F-994A-3B5D93C472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A04243-B47A-4343-95CF-21A5557119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B932AD-1B4C-41B6-96D4-0090DC519A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9B077A-B8DF-49D4-B6BD-107419A41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04515C-5944-47BC-8329-1644D6B0CF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AF8:AF26 AF5:AF6</xm:sqref>
        </x14:conditionalFormatting>
        <x14:conditionalFormatting xmlns:xm="http://schemas.microsoft.com/office/excel/2006/main">
          <x14:cfRule type="dataBar" id="{C7627495-F199-4357-AA5A-2937FFC026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A09C26-6118-437E-80BF-E1FFD02FDC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F0A67F-B350-43CE-9B96-6FE02D22E5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FA6C3E-B38D-4D6E-88DB-2DD7752A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B1D017-7E64-4583-B2C4-DED8AA671E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59AE24-ACC3-42F3-B638-F228C05ECC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6BA540-3971-40E9-9BB3-E765C9F3B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38F91C-F34E-4B8C-899D-76D73B3B50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0BC7FF-10A2-4503-B74F-C7D1D4606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052B07-23F6-4155-BEEA-2C15B6C756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6DDE1A-FE75-43CC-BDE1-875533E067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4A552C-DF41-4B39-AAC7-4BC84EFF5F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F15FCA-EBB8-4C33-B037-A4B61BA601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8427C9-083B-4D30-B5A7-D56540157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E057D3-8A92-4D71-AB70-1DB2025352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68CEAA-EC25-4800-BC84-02540963C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19EB03-05A6-4037-8778-4A53587214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AF27</xm:sqref>
        </x14:conditionalFormatting>
        <x14:conditionalFormatting xmlns:xm="http://schemas.microsoft.com/office/excel/2006/main">
          <x14:cfRule type="dataBar" id="{B4E43A20-9EEC-4828-BC51-CDADF5D6A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7E2D9A-B7A9-4EC0-91EC-ED4078B527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D6D95A-AD0D-461F-B552-E9B99C3F94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5D726B-1557-4F93-B5A4-5987F89136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1F664B-4D4C-46D7-A7E8-63E74E8D4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93634A-5B08-4433-B934-6CC52C35A8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730384-94C9-498A-8663-50FB84F4DD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5F5D93-8175-4AAB-B399-4C82C9110A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E66DD2-1094-4FD1-9733-C5A8B10132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5186FF-B081-4AE7-9A90-D2C3383186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EDC24E-5EB2-406A-9148-05B156822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B77067-AA5C-4960-96EF-FB423C8CCA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6319EC-2A04-4A9A-BCF1-70E984B18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682B93-A97C-4CF9-91C4-FA10743682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48E2E7-9AEB-42D9-BC72-1DAE18D3F6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4AE594-835F-47FC-9A8E-636D66AFAB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362E7A-B569-40B0-BCF0-7368CBEB03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AF28</xm:sqref>
        </x14:conditionalFormatting>
        <x14:conditionalFormatting xmlns:xm="http://schemas.microsoft.com/office/excel/2006/main">
          <x14:cfRule type="dataBar" id="{4416D021-26C5-4B83-8A20-7FB11DEF8F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C8216A-C35C-493D-89D2-AC0C66CA7A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6BBAD5-4302-4C18-A33C-EB5A0103FE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FC3012-3F14-407F-94DF-00912DFF0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D34822-52C8-408C-A9E3-63C4225989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A8B8DD-6C54-48CF-A77B-CD69FF24AC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179011-C235-47B8-9607-C0349E5148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2EC00B-3F3A-4173-9B4E-163ED8DFE1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FF5159-7CCD-45A0-9700-D65F147476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7E9C29-2EC1-43E3-9C26-406C83E15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51A1DB-D3F3-422C-A60F-60564022F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F1BC7E-0D29-4899-89DA-190E119AE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3DDF09-A340-4BF5-AE25-1DAEEC07C0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D1CA0C-1373-46DB-B9A4-3220003AC5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6A4E7F-16E4-4176-99EE-CAB6827C1F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308384-7450-46F2-83D9-03C0609AC8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4C3EA3-A54D-4104-99E8-9A92392A9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AF29</xm:sqref>
        </x14:conditionalFormatting>
        <x14:conditionalFormatting xmlns:xm="http://schemas.microsoft.com/office/excel/2006/main">
          <x14:cfRule type="dataBar" id="{63E98A92-ECAC-425E-A52D-BCC4C98DA5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89E5AD-1BD6-4611-937C-C04D354612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2B37CE-D53F-4580-A9B2-9969D408D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12BB2B-438B-486F-96EA-A44D54497C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49F47B-5D3B-4A11-AF3B-06576DF1A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3F5AEF-3EB6-4781-A4F2-46C5EA9934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2E5383-D210-4E36-8A41-B1FD64219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0868EE-A9BA-4C72-9101-6F3D1A623C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91E48C-1990-42E2-BDDA-C898911FA4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5000AE-7827-46CD-8289-CEFEEC4247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D36B18-7BFD-428C-AD18-A13E4E408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5A9CA6-047B-4DF9-950C-018DDDEF25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F205B4-DF62-4C06-BA20-0F8E086795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44447D-2026-4C9C-807A-D531F453F3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C25167-9506-4103-946F-0301E9D4B6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E0A4F9-0453-4B6C-B769-2384F9859D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15590E-FE67-418F-9BF0-BFF47AB7FE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AF30</xm:sqref>
        </x14:conditionalFormatting>
        <x14:conditionalFormatting xmlns:xm="http://schemas.microsoft.com/office/excel/2006/main">
          <x14:cfRule type="dataBar" id="{722B2A30-B26E-4F98-9657-86640BCCCA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91DC8B-4AE7-4C11-BBE9-B9BF12A011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4F6D18-0CA9-4C35-BCEB-20EFD592EC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553509-A4CA-4A8F-B44B-8E5D22CC31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316A6F-642F-4604-A050-3AC9713FC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26B804-3901-4730-A393-5C5DD02347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9402E5-A8F2-4250-BD41-915776C1C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89D7E2-59E4-44E1-8151-E031F25AE2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02B0C5-9A18-4D8F-84D3-9D15834F5F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0A5AE6-2E3B-4671-B5B7-474700E8B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955BC7-223F-4389-AF26-C6983E45C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593851-00F3-4A72-AD3C-FF7DA1196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5FBF70-5C6A-42DC-A16B-AF4D6173D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72220B-C17A-4CB3-AF5A-FAE00D26AA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854D7E-B405-4B25-9DE8-4CFA28E441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99B07D-6D9D-42D6-A26A-10D716DBEC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DC290A-6455-40E5-BE67-D7F10E5DDC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AF31</xm:sqref>
        </x14:conditionalFormatting>
        <x14:conditionalFormatting xmlns:xm="http://schemas.microsoft.com/office/excel/2006/main">
          <x14:cfRule type="dataBar" id="{3BA67490-5B36-4544-A044-A4B61E0B3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B8C2A4-586C-4061-B3A9-0CA10F4004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FD31D6-1D07-410B-BED6-6DE3F0BAB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FEBE7B-540B-444D-8D5D-3B39FF11DA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8CB100-988B-47AA-B842-D182D52D2A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1FAFDE-F1E9-4163-9A44-3A1C3F7E60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D7FD3C-5D7B-41AB-938D-060782C98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A5102E-46CD-4B79-ABF4-289557928C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D1C7FF-908D-4553-A9BC-CFAB0F732A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7EA5B6-E217-44BB-8FEC-8DC1BBD543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B13F20-7948-4316-9C6A-BB9FFF158A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3899DE-61C8-4A56-98B2-49192CCE5F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16F8D2-01B4-4437-A286-536415254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C32BFE-C211-4CF0-9AFE-B12A10240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DEED14-48AE-473B-A87B-29BF1D8B1F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90A923-5319-4901-931C-BB6DECE55E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C4C5D4-2269-42CC-89DF-C6D416FDBC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AF32</xm:sqref>
        </x14:conditionalFormatting>
        <x14:conditionalFormatting xmlns:xm="http://schemas.microsoft.com/office/excel/2006/main">
          <x14:cfRule type="dataBar" id="{64BB9EAF-1453-444A-80F2-E2A76EF0EA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276938-6AEB-4EC5-9168-4FF2085D9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4D61C7-D588-44C6-87AE-99FA8FFB0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745366-4CB0-4B96-9E2C-2A3E6851A0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98EE4E-D987-4CFF-9D24-BC4A02F3F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CF5981-03AE-4AA8-B70E-DE56F288F2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D8627-25A1-46CD-B6C4-ACA889413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C89C6A-CE4B-4F2F-9E79-5B87B14EB5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093A38-D688-42C8-B195-32765639D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E2545F-E1D6-49FA-AB55-36B646B6DA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4F6E2C-4154-4CA0-8C36-23EB57B7E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8EF967-4C6E-453B-A577-90AEAD479E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0E2347-B8C5-4C40-8629-686ED74C93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4DD6E1-6292-4EC5-BC6A-5AD8C93E64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EA2C83-233A-4102-82C5-E452119C5A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11E19C-25F6-4978-B7B0-752331C15D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F8D2E5-94A1-4733-B0A9-CE7296136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AF33</xm:sqref>
        </x14:conditionalFormatting>
        <x14:conditionalFormatting xmlns:xm="http://schemas.microsoft.com/office/excel/2006/main">
          <x14:cfRule type="dataBar" id="{2F33CAF7-8797-443B-9995-CBFD8E761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FF9964-B619-43A5-AE1D-415EBDBC58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F79EBC-753B-463C-9715-A82234395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AEF2DA-49FE-408A-ACB9-5ADA1CA8CF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49F5B8-76BD-494E-A347-5209289437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D2FBBB-F27F-427C-AA82-76D0D7197A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0ECDB9-1871-4FBE-9CCD-8EC93647E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121FE9-B158-46FF-8CD6-DCBA8478B9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FB37EB-7C29-4963-8AA5-2950084BA3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40F60A-024F-489E-82F1-2402B5FAF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A3F896-3AFF-4D4D-94C8-7D19F13B7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BF7CAF-7DCF-4B63-AEDA-81C0CFB854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12F4B6-1A0D-4870-B3F8-890734C5E7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3DD6EB-A45E-4253-B5DB-339C246948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169C28-5208-4AAC-AFC5-45F6328A07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DDE5BD-E300-40FF-B8AA-7FF434BDC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0E217C-5B20-4F23-AB30-132F5F6D7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AF34</xm:sqref>
        </x14:conditionalFormatting>
        <x14:conditionalFormatting xmlns:xm="http://schemas.microsoft.com/office/excel/2006/main">
          <x14:cfRule type="dataBar" id="{D866981E-1BDB-49FE-9EA0-7D9805B1C9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BD4BCD-6CE2-4930-A634-3A878D5C77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DDAC82-126B-4293-8FBF-72E47A8971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58C282-5A37-48C3-B542-7E39829A8B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A7FA46-A055-4AD9-BD80-E2EB92333D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6E3EDF-3B62-4842-85D4-B54136D40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27E68A-3119-4653-AD29-225D8301E6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168A93-4A0F-47A7-BB8C-156A568CE5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A90B44-9F9D-4875-93B8-FDD743DBD0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5C7306-B9E2-46A9-BD9E-C7F9E70B99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335470-71CD-4637-9482-EC54BDA67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D0F6-526E-4911-96C8-DAA913BF02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76D2D3-7D55-4CEF-A8A9-9F2264F60A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74F511-985D-4344-8154-E1F97AF213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DE738F-0D73-4946-9D3B-8AED787CA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EDCFEE-981C-4BEC-8379-703A85F5F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C33BBC-7D45-4726-91F9-CA94FC547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AF35</xm:sqref>
        </x14:conditionalFormatting>
        <x14:conditionalFormatting xmlns:xm="http://schemas.microsoft.com/office/excel/2006/main">
          <x14:cfRule type="dataBar" id="{4A4AB3A2-0E9E-4C9E-AF3A-8EA749F49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CAECFD-570F-47C3-ACFC-6C805D0033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1ADE69-6933-4077-AF5A-9C554390E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E636C7-E087-4BAE-89B2-34DE3DF77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62DC1B-8BFE-43EE-8CC4-140724F29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C20110-B02C-4130-A15F-26683C570F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94556A-6679-4C5E-864F-CA746DEC3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1977ED-0F8A-43A0-AB5E-5D2786B524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6D0689-D08C-4772-9FE5-CD057BB60F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2B446E-E686-4CED-95EF-F7BBCEC988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8BCE53-7AF7-4D42-B76B-996715A64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2296C5-328C-4378-995F-57D6ED6AA1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5EDACB-91E6-4510-A4FB-242D364CD6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AF36</xm:sqref>
        </x14:conditionalFormatting>
        <x14:conditionalFormatting xmlns:xm="http://schemas.microsoft.com/office/excel/2006/main">
          <x14:cfRule type="dataBar" id="{1D778436-CEC3-4E3D-8297-8389CB4186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6DF64E2A-EBBD-43D7-8B81-8E62F82E7B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AI18</xm:sqref>
        </x14:conditionalFormatting>
        <x14:conditionalFormatting xmlns:xm="http://schemas.microsoft.com/office/excel/2006/main">
          <x14:cfRule type="dataBar" id="{4C741099-4A37-4FE2-BAF8-84F8A57DB1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AI20</xm:sqref>
        </x14:conditionalFormatting>
        <x14:conditionalFormatting xmlns:xm="http://schemas.microsoft.com/office/excel/2006/main">
          <x14:cfRule type="dataBar" id="{DF53342F-3981-4E39-A6A9-50BA6C8C0F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AI22</xm:sqref>
        </x14:conditionalFormatting>
        <x14:conditionalFormatting xmlns:xm="http://schemas.microsoft.com/office/excel/2006/main">
          <x14:cfRule type="dataBar" id="{9C8E099B-2A58-4D24-8C0C-F973A1ABB1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AI23</xm:sqref>
        </x14:conditionalFormatting>
        <x14:conditionalFormatting xmlns:xm="http://schemas.microsoft.com/office/excel/2006/main">
          <x14:cfRule type="dataBar" id="{B187A3B8-2597-434A-8C57-B6F2022419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AI26</xm:sqref>
        </x14:conditionalFormatting>
        <x14:conditionalFormatting xmlns:xm="http://schemas.microsoft.com/office/excel/2006/main">
          <x14:cfRule type="dataBar" id="{E4D8149D-9440-4725-B6AA-8C312EE05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AI28</xm:sqref>
        </x14:conditionalFormatting>
        <x14:conditionalFormatting xmlns:xm="http://schemas.microsoft.com/office/excel/2006/main">
          <x14:cfRule type="dataBar" id="{DCB0BAC7-43A7-42DC-A730-3EACD99A4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AI31</xm:sqref>
        </x14:conditionalFormatting>
        <x14:conditionalFormatting xmlns:xm="http://schemas.microsoft.com/office/excel/2006/main">
          <x14:cfRule type="dataBar" id="{E4AA2961-69DE-46FA-8657-05D412BBE3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AI32</xm:sqref>
        </x14:conditionalFormatting>
        <x14:conditionalFormatting xmlns:xm="http://schemas.microsoft.com/office/excel/2006/main">
          <x14:cfRule type="dataBar" id="{86989ECD-45AA-4A76-A80E-45EF560D9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AI33</xm:sqref>
        </x14:conditionalFormatting>
        <x14:conditionalFormatting xmlns:xm="http://schemas.microsoft.com/office/excel/2006/main">
          <x14:cfRule type="dataBar" id="{8F607FD4-8359-4300-9848-74C698285F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AI34</xm:sqref>
        </x14:conditionalFormatting>
        <x14:conditionalFormatting xmlns:xm="http://schemas.microsoft.com/office/excel/2006/main">
          <x14:cfRule type="dataBar" id="{0D4A09EB-6551-4C7E-BA77-442467F3FE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12AC1C-7122-4F04-8F56-F5076B0C15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51FC8D-8355-497A-9EED-41F596C85D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AK5:AK34</xm:sqref>
        </x14:conditionalFormatting>
        <x14:conditionalFormatting xmlns:xm="http://schemas.microsoft.com/office/excel/2006/main">
          <x14:cfRule type="dataBar" id="{38E1076B-14CA-4700-BD36-887C033F32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791155-9CA8-4267-B617-A18C9709E0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CE56CA-C26B-428C-B24E-CED8A0EA4D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33054E-51BE-4613-ABB6-56C6B07E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1F3BF2-1D18-4049-8618-F052E165D7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2A93FE-306E-4A2D-B6DF-EA3BF4D51A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66723F-410D-42CB-8693-144611DE2B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52AE6C-EEE8-41C2-B7FC-1EEC95F85B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C1E1FD-1DCD-41EB-ACD6-F9D79E2B04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ECB801-B139-47BA-B213-89FDAE059B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ECFAD7-477B-4FB5-AC83-A930C33490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926F71-62CD-45CE-A2BA-E27108D0B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738BCF-393F-42D4-B766-97244589E3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40BD43-5C19-416F-9EAD-CD4C89663C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6BC18A-1182-4884-944E-AA903D77A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81EF78-038B-4EFA-9936-6D0EA8413E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815FB0-F72E-45E2-BE9F-CB1441A254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EB6EF0-E7D7-4C6B-B56C-AFF3A6D391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0079F1-3591-4FDB-BDFD-379E3E2627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0F45FD-200F-45F7-8D25-FAECFBA8B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BA5F9A-CBC4-4CA7-9EBC-23F125C4C0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A381AF-A48F-4784-849E-6303738452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57F370-C38F-4CDE-A92B-1C810D59A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814E8A-8FEA-4107-8A8C-C13545BE0B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8DE253-BDFC-443C-AFF6-E54C026608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B343B4-4373-4E42-ADA6-09EB865487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600D3E-408D-408A-A97E-E6BAF845C4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DBE079-6DE7-4FE1-AE10-5234788C30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CB083A-84F3-4A02-A966-CB74830AF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2FAD12-A338-4BF3-8305-3965C6EC9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AL5:AL11</xm:sqref>
        </x14:conditionalFormatting>
        <x14:conditionalFormatting xmlns:xm="http://schemas.microsoft.com/office/excel/2006/main">
          <x14:cfRule type="dataBar" id="{E12CF00A-34C4-445D-86E5-43CC9EF797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9303AE-7745-4966-80B0-7DE40F177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CE2761-98FE-4AD5-95BE-0ABD36F2E7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E3E7F0-9703-43CA-97CC-CB2CD3B01B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A35808-B0C4-43C1-A206-D23D19F31A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BF34A2-126B-49B7-9366-61E04B8335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4AEC83-8CD7-4E47-B755-852E523AD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2A0B31-C2EF-4A9A-BFF2-659C6CE1AA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7FBE7A-04BC-4AA3-8CCC-C9DEDD161C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552B0A-2418-4C00-87C3-2CA9EF9C02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BE9FE0-0F32-4F15-BC1E-E59E4D90D5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825AEF-C2DB-424D-ADFC-10DCDBF6A6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61103E-BC20-4001-A8F8-CFFF9CA1EC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38A2DA-D6BE-48BB-86AD-57C77FD084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693D21-AACC-4118-B2EB-9B2720C9FD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4D16C1-CCEF-4E4C-ACAB-DDCA913216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029004-487F-4AE1-A7FE-CF377AFE67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1B0EDF-9B4F-436B-95FD-76A5170F4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A16BA2-5B4C-4685-8C7B-6C1EFF592E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11AEC5-D5BF-4B16-AF1D-6D2BB65C5E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399780-50C2-481D-96E1-39F8133ACD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68ECBD-34DC-41AB-993D-214FE5986F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1AC36D-AC6A-4A1E-8381-87C12A09B8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D64D35-1400-4473-A322-5052D544E6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4B0857-8C83-44BD-92FA-12EE467EC6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F4009E-9970-4654-BF51-6BE204E4B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951DF7-9F4C-4D02-96D7-25E3FDB579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5EE85A-8D18-4E0F-B35D-14BF9BF1E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FF62D2-138C-4DA6-8F9E-73A08633E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83EED8-F774-4477-920F-368B7EF1F9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AL12</xm:sqref>
        </x14:conditionalFormatting>
        <x14:conditionalFormatting xmlns:xm="http://schemas.microsoft.com/office/excel/2006/main">
          <x14:cfRule type="dataBar" id="{35E57FCB-CF6D-4375-9D6F-52D2B2F1D2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1F462E-2C7D-42A4-A12B-1F6497C383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F82C7D-085A-4D93-A181-51F8D0265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02F07F-495A-4C99-A21A-2C77C190ED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506186-327C-49C3-BAF0-4C40D9BB22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094415-9A68-44D4-9D16-BD18C0FBD1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BACB3D-EF50-40EF-B68F-DFDB0FDF2C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08ABBD-2DE8-48CA-95B1-30B245C0C2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699734-5FD1-45BC-B47A-4ECA4290F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C8AD53-990C-42B1-ACC9-441AB8D1FA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3B92C3-A70F-4411-94D2-F2A01C684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992C46-85D0-4F91-BDAE-9E4F50383A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0B92FC-4ADD-4C83-86E8-B2F5B012C4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AL13</xm:sqref>
        </x14:conditionalFormatting>
        <x14:conditionalFormatting xmlns:xm="http://schemas.microsoft.com/office/excel/2006/main">
          <x14:cfRule type="dataBar" id="{E51DA393-B59B-4798-BF71-C12AE68156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12CD92-5200-4637-8766-8F548F99CF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7C660E-EB85-470E-ACEE-A39703257D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A29E51-4A70-4404-AAF3-976ACCF60F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738D1E-92EB-4BB2-8210-DBAFDA4404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CEB856-CDB7-4475-BE67-9C10D2153E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9C2520-F7D7-44B9-89D6-A6F57B4B9F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0814C7-668B-43C2-B11C-C728C1E098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711152-9123-4F56-86AF-57961C353B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FD3136-D926-48FC-9441-91ED977C48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9B03AB-46C0-4DDC-A80B-6AE69B16B5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0CC6DA-1D5A-4627-85CB-9448232BB3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82F87A-9F60-44D6-B8F5-338231130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5957A8-05A4-4689-B00D-79EFF79400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BB95D0-0700-41E6-B101-F1D48D36B2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013B48-E81C-4B92-A59D-1DAF4300BC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95FBF2-1D04-43DF-ACE8-10F5038C8E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75521C-A308-452C-BD12-01F9B0C13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77E5B1-34F8-4599-ABEF-CA771F66F0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087A67-0FEC-4633-9BBA-6BEBABA13F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35E403-AC0F-4D4A-AC0A-14C01AF03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FF3835-C194-4947-A8E1-27FB3F15A8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43478E-8C64-4E37-A9FA-87B484388F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136EC3-307C-450C-B166-71CFA869F7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EB4B8C-E7C3-4692-B854-36D7677067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B5E68B-270B-45BE-9333-ABE58D3E9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023F34-2DB1-4098-9019-21C9AC8096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FF5018-702E-4542-954D-A2744BF6B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461FAA-A986-4AE1-B346-67C77C1D23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EBD826-7B61-40BC-BDD2-9B5725E24F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AL14:AL21</xm:sqref>
        </x14:conditionalFormatting>
        <x14:conditionalFormatting xmlns:xm="http://schemas.microsoft.com/office/excel/2006/main">
          <x14:cfRule type="dataBar" id="{1EA7573C-6008-46F3-8825-5CF6AE8AD6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9A0A15-8BD0-4583-83C5-7E4E8419B9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326BDD-DA7A-494A-B86B-C62FC2C041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A9CEA5-F294-407D-A613-5EE6D1FB14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491C2F-4C64-4694-9401-4B854E9218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AB72EB-2C68-4534-BDB8-C60C80DF7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56F662-597A-41D2-8BAB-8A91FF2C78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EE1FC2-FEAD-4D58-9D42-CB685932A9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FA99FD-B21E-492B-95F2-634F26C886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5392A4-A3D6-49DD-BA52-85AA6CD778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BE0667-526E-449C-8F9F-DCAC70EE81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DFD908-B078-4F06-864F-72014E528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3570A1-5EDC-4B7B-8044-26C93E6E84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9C39F1-A6BB-4965-B5D2-0D5FA4F21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3944E3-5585-42B3-B78F-D88B2D98DD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314997-23D0-4209-B26B-43436C097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6D7D7B-8C24-4AED-A6F4-AD620F2D8C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AL22</xm:sqref>
        </x14:conditionalFormatting>
        <x14:conditionalFormatting xmlns:xm="http://schemas.microsoft.com/office/excel/2006/main">
          <x14:cfRule type="dataBar" id="{D9FE9853-C4EA-48F5-99C5-141FC62A14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2C8F6A-F919-402F-9A85-854074D37D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26A8BA-F3B5-47F3-8B7B-BA8ABF6138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C37BD0-2A80-49DD-8911-79DFDB2110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3A7C89-1EEC-4797-B55D-DF3156177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F2CFEF-51D1-4E23-A7B0-6FBB1CC2B2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865A46-C4A6-468F-B178-F10E41248D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CFA7D-AF19-4CA6-A2F6-C037ECB64E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120694-032B-4FF8-89B5-8FA28F5580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3AF13F-2C6D-4CA9-8E85-200335AE7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0DB81B-8DFF-4E30-AE04-A7D3AB54A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F6BDBE-32AB-4A08-A052-EE2F0E2992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36BFEF-6772-4C8F-8258-BD5A4211A7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334E2A-66AB-4EE9-B895-2D6E5F534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1A6D56-FE6C-42A0-9FAB-9D04661534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413CBA-DB21-4A05-978D-73B5E0201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258EC0-B4A7-4EFF-82A9-7DE030EE3A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2D7965-E1E9-4E7C-93A8-A200F3BEDF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53D291-60D7-4C66-A207-297F32F688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76FF7B-8576-485E-AC35-D17CFBCF79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046365-1914-4511-9ECD-73D0FA7BB0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229816-AC84-4279-BBBF-CD13EEB572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6F175A-21D2-4572-9EA0-704FA8E556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BA4333-1309-4B28-BCCF-DF94CD0DA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0BB60E-3854-4D2E-AFF9-594290963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37DDF-AA4E-41DE-87E9-2B5B0DAD8C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A0022A-FFD2-4076-89A5-F9644E3370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1332C6-BCB3-4032-BF75-C679D64BAD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DD8F0F-0551-44BA-85AF-175F175F94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D9C71A-4DC3-47C0-8E7C-84103AE06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AL23:AL24</xm:sqref>
        </x14:conditionalFormatting>
        <x14:conditionalFormatting xmlns:xm="http://schemas.microsoft.com/office/excel/2006/main">
          <x14:cfRule type="dataBar" id="{43EE53C8-68B0-4AE8-884B-AE33ADA2B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E67D7B-9DE7-4777-9F32-2CA48E1470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0723D2-88CD-4CA3-941B-CC88C0156B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E21169-C893-4DA3-94A0-3661C0EFD9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EA04E2-1C2C-40EF-A24B-1E64A5703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EA25C-8FB1-4DBE-AE27-4C7553D0E9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0AAA3A-EE26-4334-A9AC-C0615B22B7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5F3D88-0D0D-479A-B2F5-0A35150FCD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4D4FFF-B2D9-4C69-9454-C794764B4E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49189F-E56D-4500-A112-B0BFF4908B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6D485A-7B32-416C-91A1-F9ACCB339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A5CE61-9071-4538-95B2-1D1D6D99DA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E3F0F8-5CD8-4CF0-8983-A5188C36A0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A997D3-FFE4-4BC9-9353-68A33CA096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64DE9A-16E8-4560-82D6-D7D1573DB9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6DCAC7-DCEF-4FCE-BFD2-9627386DB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141331-1763-4A68-B82A-7FBC8A8019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24928C-80C0-4F09-BF74-7332432FD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94CD93-3C3C-48CB-8AE5-24478B76F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CEB653-1341-4D06-B594-A3936EF7E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0B546C-52B2-4FDE-8807-A4C7AC47EC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2E8120-E9E8-4AAF-9C45-0D4EA67E8A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826AFC-0D1D-4C77-956D-F8ADF9954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D080F7-F24F-4EE7-B9BF-F2C7123814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B134A5-488C-424A-AAE8-09055D4C6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D3BE48-819B-48B0-B89C-3F23C67C77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0D1BC2-13F7-4846-AB13-A28D9B33F1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7C2986-48F2-4453-A6ED-452654D6FC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33B03A-13B7-4791-A1A8-2FE3467D2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A86683-BE9D-4203-B8A6-BC10C179B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AL25:AL27</xm:sqref>
        </x14:conditionalFormatting>
        <x14:conditionalFormatting xmlns:xm="http://schemas.microsoft.com/office/excel/2006/main">
          <x14:cfRule type="dataBar" id="{1A15BE68-E753-4395-BE1E-C6F0F37567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04FAE6-9BFE-4B2F-8E80-EDC0BA134E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D763CA-9443-4F72-9F93-596098477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A68BBB-E816-4702-9E69-07F8D72613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F4A4BF-8498-42D0-AE74-FC9CE9646E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AB9F09-5FBC-4564-B801-E2C53DD6E7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2FC806-D7B2-4D94-A205-4AE26F5985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55C567-6536-4F1B-9851-C2C8331D4D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DF4D91-CBB9-43CD-A097-918AA2A660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4BD81D-9845-42E0-869A-11104C54D0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204E87-DA17-41CF-9F54-AC9CA6B164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43F8A4-1FB2-4BB3-ABEB-68865F1E04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33FA19-E155-4969-A998-C5864F0ED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B58DEB-BB3C-41ED-AB01-BAE43B0A56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5FDCE1-CEC8-4220-856B-C36A762CEE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18ED75-38E6-44E7-BCDC-BFC49514B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3EB5AD-AC82-4F08-AE5E-ADDB122DDB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AL28</xm:sqref>
        </x14:conditionalFormatting>
        <x14:conditionalFormatting xmlns:xm="http://schemas.microsoft.com/office/excel/2006/main">
          <x14:cfRule type="dataBar" id="{4B7989B2-4394-4428-B95E-BCD2F711E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957D65-3A9B-409D-938C-4CDF6670C4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09405D-63F9-4D9A-9AC0-1AA627FE46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5AB2B5-4A5F-46B2-9F34-02180839A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9F5C97-8936-451F-9467-1D3A725CD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4AE41-6CCB-48FE-B4C4-7E2FDF836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3CA6C2-EF13-46F2-813B-00A17FC4B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0EAB6A-6A0B-4F16-952D-9FCF91158F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9883C1-DC51-4A45-8C3F-2D810E845C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A01773-53AF-4178-81F0-DAC0D61AFB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C8977B-0478-4592-8045-F1E90A4BFD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BB65AF-DD94-4E3F-AA46-3D70294583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F66F5E-4911-4AE8-ACF1-0E816F4AB5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02AFBC-4740-4268-B473-4D68AEA6EC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8CA5F7-AA60-4DA4-B88B-DAC5D3AEAC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311309-843F-478C-815E-190B5F2B3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932759-F329-496B-B277-210868B374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7D9A22-5D2F-46B3-A65C-E64013A945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CF6775-3678-4BC1-8AA7-534246FD59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884FA4-A22C-4FCA-A4A8-FC311B964F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5FB149-B064-466F-9B37-B6FF17E814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C6F36-B5D0-47B5-A966-313F1CF035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D0882C-9A1E-4908-850D-232912817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3DCCBF-AD21-4681-943C-A55680D5C9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69C476-1207-42B1-A474-26CE348351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DB8237-3C69-45F2-B1BC-30E820C95F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82A2F1-927B-4A60-ADCF-36BD918F92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0F825A-DEBB-424A-903D-93331D0569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0E253A-750A-440B-ABA2-31B0D9EF33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08EB3F-2D84-4C06-B493-3EC54187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AL29</xm:sqref>
        </x14:conditionalFormatting>
        <x14:conditionalFormatting xmlns:xm="http://schemas.microsoft.com/office/excel/2006/main">
          <x14:cfRule type="dataBar" id="{E4AF3BE1-76D1-4B4A-9871-3BE611E26E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6969BE-A343-4687-A94D-13077175E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4E6752-BB38-4242-8C29-4459265F2D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7B283F-2E23-48FB-BF9E-48C4513237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F9CBA5-EA92-4EE0-A9E8-6B251A1557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D419AC-ED6B-482C-8A3A-3A10ED7C1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67152-1C04-4477-9D19-59A3DD401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1DFCB2-71BD-4209-870C-3540E7789A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38ED7F-7A5F-4A77-8FEE-89DC987D4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3D6D0D-69FB-4531-933F-23018D65D7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BA0BE8-EEC0-4566-8F89-2316370179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991E80-5C1B-47E7-98A4-13153C10E4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1EB59F-4949-4581-9838-34193A9D49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F13897-EA9C-4503-AABD-F2D375B325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288096-8550-4E15-9155-8118E48CB3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794697-9E07-493D-B37D-82C9F9FBC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968411-023D-47A2-8E04-80BB856D3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AL30</xm:sqref>
        </x14:conditionalFormatting>
        <x14:conditionalFormatting xmlns:xm="http://schemas.microsoft.com/office/excel/2006/main">
          <x14:cfRule type="dataBar" id="{751FC7FA-456A-4180-ACF0-AC66522186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F4A6D5-018D-4CAC-8D8E-45B5BA4F9B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07BC79-FA30-4D1F-8D04-874E9513F0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880CA9-6780-4BD0-9963-797491B7D1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351A3C-75D3-4D21-B958-7A7590AA3E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626652-D1C4-4B21-BFF5-F7FDB3C881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A0B7FA-512C-4D10-8B9E-D4F2C1EE1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FC670B-5713-40E1-9C62-269EA3DD29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7EEF63-66C5-4CB3-A669-C540951CC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E8A6C8-AEEB-4D2F-830A-9A99A08B00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9733CB-CE8C-4CF1-8AE7-E293046DF7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A85E81-A412-4F96-9463-410B7EF99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36FC23-AB15-42D5-9E3A-D2C32ECBA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7186B7-B890-4D29-8261-235892B885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5266C8-79AC-4516-8076-5361A6DD5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BE3D1A-BF58-404D-A13F-64E910C47E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DE8830-CACB-411A-9B63-0E25509267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AL31</xm:sqref>
        </x14:conditionalFormatting>
        <x14:conditionalFormatting xmlns:xm="http://schemas.microsoft.com/office/excel/2006/main">
          <x14:cfRule type="dataBar" id="{96B6718A-4F94-424E-A00F-6107D917CF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D0AEC1-6EAE-49DA-8B84-2C59D14A68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DBF8BC-06F5-4BC9-97EB-08DEE3D11B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50014B-2DD9-40E4-A80B-46B3FECB34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C4670B-6ED4-4B4B-BE44-5542C66AFA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C56EAA-F568-4CC6-94B1-201DC442E4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C8C53A-2884-4E67-B1AE-664E554227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DE235B-19A8-488A-82E4-820C60293E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70AEC3-15EB-4851-9BE5-5B280E06D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69C1B6-10C0-4217-BA00-FC8CCE8917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68D14E-A01B-4ABC-A0F1-3362CF9C63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032A27-418F-4032-9A0B-5625413E2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47AFB4-AC3B-46EF-8457-53316EA0B2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A742A8-ED3B-4656-9831-0BA25A3C80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EF46C7-C190-408D-B8ED-F4F2626A5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741740-E743-40A1-A8EC-F917598E21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87F5D8-343C-4F4A-9DC9-DD5EDBB0D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AL32</xm:sqref>
        </x14:conditionalFormatting>
        <x14:conditionalFormatting xmlns:xm="http://schemas.microsoft.com/office/excel/2006/main">
          <x14:cfRule type="dataBar" id="{C0E59AA7-DC8A-423D-9595-8E8C375AFF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F9631B-3860-45C3-B194-14E133F9F6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DF2A97-4FCC-4E2F-B2AE-118340229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1ED167-B028-421E-8119-3C466E9987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D364A5-DF16-4BF2-9468-C5E18E547C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FB2F8A-C209-451F-A616-4907EDFF8A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4BE3F2-7125-4F5D-BE5E-8AB4C970B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D3B8E2-6801-4D01-A679-C4D062CC48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A18B40-37C4-4BBE-A2ED-128C4D9DA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5246FA-9CD9-4057-81B3-BE2B1D3F48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74179A-980A-4925-95EA-98977E6152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E20996-FB4B-406C-95A3-58273D69B7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317A39-E103-4447-9488-50690DE07D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AL33:AL34</xm:sqref>
        </x14:conditionalFormatting>
        <x14:conditionalFormatting xmlns:xm="http://schemas.microsoft.com/office/excel/2006/main">
          <x14:cfRule type="dataBar" id="{AB985906-3B65-40B0-A16C-F35AF1B12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8CA9DC-F8C5-40B4-B265-A3C93F149E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638044-8AF4-4555-9D10-72355ECF20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AM5:AM28 AM30 AK5:AK34</xm:sqref>
        </x14:conditionalFormatting>
        <x14:conditionalFormatting xmlns:xm="http://schemas.microsoft.com/office/excel/2006/main">
          <x14:cfRule type="dataBar" id="{8E1EEC3C-9586-40DC-92B0-4F7A9A0C50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1C43C3-4A40-4863-8342-44E51FBC54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AM5:AM32 AK5:AK34</xm:sqref>
        </x14:conditionalFormatting>
        <x14:conditionalFormatting xmlns:xm="http://schemas.microsoft.com/office/excel/2006/main">
          <x14:cfRule type="dataBar" id="{043F32FB-A002-49C1-ADFF-578FFE0C16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05E6E7-884A-4177-AAD1-A0948BE41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3E2E6D-9206-4731-8C13-A6438AB836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AF44F872-5B37-4F97-A0F9-A6932DAEFB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F5FC07-15BB-447F-853D-F11953B00D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CFF778-2F38-4C76-B568-E6BFF1C62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AM31</xm:sqref>
        </x14:conditionalFormatting>
        <x14:conditionalFormatting xmlns:xm="http://schemas.microsoft.com/office/excel/2006/main">
          <x14:cfRule type="dataBar" id="{A017A65E-2B6B-46E8-8EE9-58EA12DF6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6D9D3B-33D3-49FC-A6D8-22DD4B5B6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D142D3-0740-498B-B004-5014D7AF79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AM32</xm:sqref>
        </x14:conditionalFormatting>
        <x14:conditionalFormatting xmlns:xm="http://schemas.microsoft.com/office/excel/2006/main">
          <x14:cfRule type="dataBar" id="{CE69E0AE-6237-45BB-BED8-2FA98BA07E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AO6</xm:sqref>
        </x14:conditionalFormatting>
        <x14:conditionalFormatting xmlns:xm="http://schemas.microsoft.com/office/excel/2006/main">
          <x14:cfRule type="dataBar" id="{C88C0112-C9E3-4777-89FE-AEE2D2B976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AO7</xm:sqref>
        </x14:conditionalFormatting>
        <x14:conditionalFormatting xmlns:xm="http://schemas.microsoft.com/office/excel/2006/main">
          <x14:cfRule type="dataBar" id="{2D3D9263-58A8-4A83-891B-8993F3E439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AO8</xm:sqref>
        </x14:conditionalFormatting>
        <x14:conditionalFormatting xmlns:xm="http://schemas.microsoft.com/office/excel/2006/main">
          <x14:cfRule type="dataBar" id="{0D551E65-0991-406D-AAAC-C59D57A99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AO22</xm:sqref>
        </x14:conditionalFormatting>
        <x14:conditionalFormatting xmlns:xm="http://schemas.microsoft.com/office/excel/2006/main">
          <x14:cfRule type="dataBar" id="{F3FAB0DF-F28D-4D11-8485-EFA2D67FE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AO26</xm:sqref>
        </x14:conditionalFormatting>
        <x14:conditionalFormatting xmlns:xm="http://schemas.microsoft.com/office/excel/2006/main">
          <x14:cfRule type="dataBar" id="{9ED39A92-9363-4B54-9B12-68BCC40181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AO31</xm:sqref>
        </x14:conditionalFormatting>
        <x14:conditionalFormatting xmlns:xm="http://schemas.microsoft.com/office/excel/2006/main">
          <x14:cfRule type="dataBar" id="{8B10E03D-6929-4A5F-87B9-EB27AED497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AO32</xm:sqref>
        </x14:conditionalFormatting>
        <x14:conditionalFormatting xmlns:xm="http://schemas.microsoft.com/office/excel/2006/main">
          <x14:cfRule type="dataBar" id="{F95A266E-2AF8-4103-8F74-9F94F3EA07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AO33:AO34</xm:sqref>
        </x14:conditionalFormatting>
        <x14:conditionalFormatting xmlns:xm="http://schemas.microsoft.com/office/excel/2006/main">
          <x14:cfRule type="dataBar" id="{1EBDD153-1DF1-4B16-B2DB-D32594A0AF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D5471A-714A-4AF2-8E13-EE50357670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AP5:AP29 AR5:AR33</xm:sqref>
        </x14:conditionalFormatting>
        <x14:conditionalFormatting xmlns:xm="http://schemas.microsoft.com/office/excel/2006/main">
          <x14:cfRule type="dataBar" id="{3987012B-0183-431B-8C96-7991AB2F00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B68996-B6B8-43FD-ADA9-64A4BD989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AP5:AP30</xm:sqref>
        </x14:conditionalFormatting>
        <x14:conditionalFormatting xmlns:xm="http://schemas.microsoft.com/office/excel/2006/main">
          <x14:cfRule type="dataBar" id="{E7C52B34-8E28-4484-8AF1-23BA5E5268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AP5:AP34</xm:sqref>
        </x14:conditionalFormatting>
        <x14:conditionalFormatting xmlns:xm="http://schemas.microsoft.com/office/excel/2006/main">
          <x14:cfRule type="dataBar" id="{92AEB0C8-2F26-4644-9724-429D8C171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FAD0C9-554E-43DA-A519-91FDB32292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76ED1E-1B4E-44F0-A4FB-20B57DCB5D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AP5:AP35</xm:sqref>
        </x14:conditionalFormatting>
        <x14:conditionalFormatting xmlns:xm="http://schemas.microsoft.com/office/excel/2006/main">
          <x14:cfRule type="dataBar" id="{E6A8ED50-1DF1-4B1B-8FAD-C5EB319153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51460D-2C90-45A7-934D-FF5F128C1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98E78E-5106-4DAA-AD18-6EEF8E586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AP16:AP27 AP5:AP13 AR5:AR14 AR17:AR31</xm:sqref>
        </x14:conditionalFormatting>
        <x14:conditionalFormatting xmlns:xm="http://schemas.microsoft.com/office/excel/2006/main">
          <x14:cfRule type="dataBar" id="{FCECC4B1-64A2-46EF-9171-3275EB180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AP16:AP29 AP5:AP14 AR17:AR33 AR5:AR15</xm:sqref>
        </x14:conditionalFormatting>
        <x14:conditionalFormatting xmlns:xm="http://schemas.microsoft.com/office/excel/2006/main">
          <x14:cfRule type="dataBar" id="{49582595-A84F-4AFE-8AF4-31AFF75AC5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AAEF19-0C5B-492D-81B1-94E888464D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51A8F5-5E3E-4546-BE83-59346EBF73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AP28 AR32</xm:sqref>
        </x14:conditionalFormatting>
        <x14:conditionalFormatting xmlns:xm="http://schemas.microsoft.com/office/excel/2006/main">
          <x14:cfRule type="dataBar" id="{B28F78C2-9DE4-4EF2-A70A-98E45CA7C2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FCD71B-E9ED-4CF7-A980-ED49DD937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61E442-7B85-4181-819C-2E6F70821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AP29 AR33</xm:sqref>
        </x14:conditionalFormatting>
        <x14:conditionalFormatting xmlns:xm="http://schemas.microsoft.com/office/excel/2006/main">
          <x14:cfRule type="dataBar" id="{F272D158-13F9-490F-BCC9-854A7F9FEF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284F2E-C43F-4065-B01A-23BDA25C6E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5EDC9B-451D-4D72-BD6D-890B6DE18E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C4F613-C548-4AD0-B69D-FC2D7329A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F28A39-8DCA-40CA-BA4B-BF087BEB9E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4B6D97-5CBA-4B73-A3A2-BBB6FD4AAE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AP30</xm:sqref>
        </x14:conditionalFormatting>
        <x14:conditionalFormatting xmlns:xm="http://schemas.microsoft.com/office/excel/2006/main">
          <x14:cfRule type="dataBar" id="{371A83DC-85A2-4D8C-AAEE-E2E5679DB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529ACD-D6AA-4D1C-B40D-145DCB00B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A96B16-1BA2-43D6-8153-54DD4E707B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06EC1F-9CE7-4BA4-9CD5-309A131B36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F0D959-29B8-4471-BA31-EAF2B24C9A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496B47-62E2-4E00-B323-D48742852E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F49F95-746C-4CDE-9737-49E9706682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6E95FF-FC9B-4221-A174-025E863D79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AP31</xm:sqref>
        </x14:conditionalFormatting>
        <x14:conditionalFormatting xmlns:xm="http://schemas.microsoft.com/office/excel/2006/main">
          <x14:cfRule type="dataBar" id="{D0BE46BF-2925-4C9E-98EA-202531752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99A90B-13D9-4E45-94B6-C5BFF4784C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1B63AB-C985-457A-B122-442DB63A7E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70471F-18E3-4FE5-83FD-C40A4B619F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4046DB-5A7E-466A-A3EA-AD84A3AF80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64CB0C-C43E-4746-97AC-704C6EE767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1FBF40-10BE-4563-ABC4-5D4EAB02FD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3424FB-FA6C-40D6-ADE3-2C9A3BEA06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AP32</xm:sqref>
        </x14:conditionalFormatting>
        <x14:conditionalFormatting xmlns:xm="http://schemas.microsoft.com/office/excel/2006/main">
          <x14:cfRule type="dataBar" id="{07762A11-6D30-42D3-95B7-445F051F5D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1E379B-4EF7-4052-BECC-70AF811DB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B3034C-C568-4814-8445-D76F5EB19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2FB404-6EF2-4629-B012-113DE7D42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203C02-E1AB-4BC6-8DA7-2F1CDBB278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BD16FC-4937-4F67-B4C7-83DE7193A5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48F239-3A83-4821-A4C3-258BA5138B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FE97A5-CAA2-425F-B7B0-25E44FF98C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AP33:AP34</xm:sqref>
        </x14:conditionalFormatting>
        <x14:conditionalFormatting xmlns:xm="http://schemas.microsoft.com/office/excel/2006/main">
          <x14:cfRule type="dataBar" id="{73B6E3B9-F2B5-42C8-9E61-4596A9CE5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CB0364-CF24-48A0-9E82-79281A20F9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E8BCCE-9650-42EE-A0A4-174629B91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4E975A-60DC-4E9B-BDC7-3E61072BD7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CF45DF-8F5F-40CD-9CDE-22EB3C925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0AFEA1-D21D-491E-81AA-5EFCBF9BF2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B5CEF2-D8D3-416D-B82B-88FD8EC013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100D4-46BD-4BD6-845D-A26E48F671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EFBB60-0553-4E19-9218-7CE849F70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AP35</xm:sqref>
        </x14:conditionalFormatting>
        <x14:conditionalFormatting xmlns:xm="http://schemas.microsoft.com/office/excel/2006/main">
          <x14:cfRule type="dataBar" id="{902364EF-F42F-497A-8C74-401DE3D041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801945-2A3C-4C3F-ABA2-71613793C2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8E5C58-D2C8-4BAC-B8CC-223BE80083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031F6E-BC87-4181-8E25-0977512A4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BC97E7-4F43-4FA5-88D3-0E49BE1228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A53CFA-E787-4F10-9637-795551EAC3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610C24-B55A-4940-AB15-0211605EEA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86EA79-6DFE-438F-BD12-86D13082A0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961E32-1893-4FBD-8C7A-D06B6F7B1C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920EF-D6C2-479F-B8AD-8589EBD161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EF16FE-25B4-429F-8636-91CE249DE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03C4E6-5DDB-425A-AFAB-D6DDEAC538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5957BA-87C4-4981-AE63-BFC8B4CB03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A8726C-34FC-48BE-B3D4-599205FC0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A99D9C-EDEF-48D7-B4AA-E65A1E0D9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70FD5E-81AC-4A8D-A58C-A0C1E5FD27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4A6662-2126-4EBF-ABBC-ABFA57A251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864818-DFE9-4446-ABD9-BDC67677C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938C88-FCC5-4262-B58E-17467354BA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580894-E12A-4296-AFBB-EDC92F232A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303903-AAF7-4BB5-813B-BD2E0CF2E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D04F94-A42A-4C7E-9D86-84499D8CC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5DAA4A-5D77-4E9A-88D1-89A2E367A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43241B-AF6E-41F2-859F-F38D3A0EAF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FB6237-A96D-4EC6-B089-BA92DD4028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990898-AEB8-486E-9163-0401925D82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8C3429-C448-4A09-93E6-8A9DDF4C93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31986E-5F86-4443-A0E4-7BF4E677F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2E6F1A-9EED-418F-9842-F1195A8A12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D4D478-DE92-4FB2-8C83-0A381C8751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AQ5</xm:sqref>
        </x14:conditionalFormatting>
        <x14:conditionalFormatting xmlns:xm="http://schemas.microsoft.com/office/excel/2006/main">
          <x14:cfRule type="dataBar" id="{49B81035-48B9-4AE1-8E40-BF4D24E6C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DDA83-A587-4C3D-94FD-737C6416B0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C2A390-EFB8-42C0-8B19-6E5BF828B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79905F-F1E8-48D2-B258-79591DCD81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3354DD-A911-4441-94DA-7DC8EA4418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59A2F1-170D-4DFD-BFE2-607E7C0E91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0E8B84-D49A-4B27-8584-F65463922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930FD2-CEBA-433D-923B-4BEE6A2C83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80CB91-6CE2-4F58-9FAC-E0C4B0341C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E155FA-D7EE-41DF-B95B-7469F92D79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3B56B9-4CA9-4E2F-B449-8C374C0E8A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9EA4AF-6666-46A7-ACB5-95D1B37E94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673473-83CF-4C4F-9091-73035B84D0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CCCCFB-CA53-4931-B94C-C45E994E4A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4BE70A-813D-4B91-B62E-29C80E155D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D5AA06-93E6-4EF0-B5EE-C419FBF40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819A5F-CFFA-4CCF-9655-209DAC8599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CE0BA8-D0C8-463B-8C1A-18213391C3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27CC03-AD4A-4788-896B-616EA8F678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B93AC5-EF06-4442-BF14-40464E61C2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74278B-2F2B-4D9F-B8FD-ADF68376A6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DBE151-3E5D-4016-8747-9C18CF667E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4107DA-3BE9-4CA1-9E73-5D335BF504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2F9537-106D-4F48-9E9B-F4730F2ECB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E5CFA-1FB1-4632-BF8B-AAF44F64D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045DDE-5AF7-4BD2-975E-2AEFD2D78E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8A9DF1-5FDA-4F72-BD19-98EE062064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394C89-88E4-479C-83EA-6FD21B1B3A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E3A4FA-0C93-46C3-9F84-FA0F2AF56F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F617DA-A429-4093-A96C-F41254A95A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AQ6:AQ7</xm:sqref>
        </x14:conditionalFormatting>
        <x14:conditionalFormatting xmlns:xm="http://schemas.microsoft.com/office/excel/2006/main">
          <x14:cfRule type="dataBar" id="{84CCD0C2-16A8-4B88-B50A-55628BD71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0A4E45-BD1F-45B0-A256-73C861750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236087-A373-4B0F-A80C-4C4590CF34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E2322B-331C-4BDE-99B7-9C520358DB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7617F4-58E0-462D-AE60-364DECEFD0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6DE274-0616-4FEF-84FC-97FB799E1B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4AD3E0-DFE8-410D-BDE8-0894249ABD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137213-786C-436C-A90F-A3A7BB01E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BBCFA9-1D78-49E3-A42E-5E8B78B6C7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1DE9B8-44E4-42EC-91FA-D2C9F89DA9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AEA47D-79AE-4C96-889D-911F32500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276132-5BA5-4920-8CFD-B8121E0BC7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4A5F09-4697-4320-8AE8-459DD996F7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AQ8</xm:sqref>
        </x14:conditionalFormatting>
        <x14:conditionalFormatting xmlns:xm="http://schemas.microsoft.com/office/excel/2006/main">
          <x14:cfRule type="dataBar" id="{3CF85BF8-93CE-4AD8-B602-1F967284CE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DE1585-36B0-455C-9A97-166E5DDBB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642A5A-05D3-4CF7-B1AA-C0A41B6D4A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B4E7DD-7D91-41D4-B44F-FFF654A8B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B6458A-9065-4042-9D34-B33FF87256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3DB748-3D9E-431E-AB46-341B526582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EDCA1B-6117-4BF4-A4C3-2D2C6611B5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D85D6-E30A-4833-8786-C264D0A21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23F4DA-E2CC-4DE2-8985-8AA89F66BC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13FAB4-C16E-4BD8-8D51-662F887336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A26120-69E8-40C6-BB00-A6107193B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2698FC-D077-42A7-B418-840C86194A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64C6E9-23B5-4634-8734-78D7D5DB9E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14B679-F48A-4D14-97AE-FC9A4A777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CF35A2-10E9-4DD5-9B37-560CB703A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88E2A4-6BAF-42E9-9137-9F8959FC5F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A57D0A-2AD8-49EC-8EB5-14446A82D9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DB8A4B-1748-4993-8436-17BC6BD7D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A0EA71-F60C-4282-8E6A-8810050681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BD16EB-C6AF-458C-801A-7FFBCF648B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53E42B-4E6D-43C4-B05B-4E4269BB8D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E080FA-1C6B-4106-81C1-7597541307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4E5A2B-4265-41F5-AB5B-779C906834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FC0F24-2214-4B0E-A0C8-FDFC9C9A6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E07826-0FCD-4813-95B7-7E9157ACE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3D743D-4DA1-4BF9-B0DC-C66C2B9CB7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511747-9956-44D0-9C64-969CFC7062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B7E176-3C30-487C-9954-024DAE0FA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F0BB67-F6D8-439C-97AE-040FD18E31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1B28C7-6BE2-449D-863E-01C2495EC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AQ9:AQ10</xm:sqref>
        </x14:conditionalFormatting>
        <x14:conditionalFormatting xmlns:xm="http://schemas.microsoft.com/office/excel/2006/main">
          <x14:cfRule type="dataBar" id="{D9FDE040-788E-433F-B960-DE3D524D07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117010-4591-489C-B466-41D2210C49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6344D4-C234-4D9C-9625-A94C44068B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EC0E2D-F8F7-4E75-AA35-C9634E61EA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F96E8F-FA85-4CC6-B85B-0F4DD18D10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92B7FA-8A17-4CEA-ACB6-2A21B8DD2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23AA00-EB02-4C7C-94B2-52B7D77C4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221619-C582-430B-BDEE-94BE4E677E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E9EF42-3DDF-4998-9CAF-F3EAEB93CF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463AC5-C97C-4A7E-A661-8B382E44D2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A4C7BB-42F6-47C1-94CE-F1558304A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26C477-1D7F-468B-A7D8-6FC8DD5C8C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B9ECD5-5590-471F-BB59-2CA4401B98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A12E9A-EB89-4057-BBBF-FDC03F01E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15352E-9C0E-4F0C-861D-9BC68117A4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3B0D76-EE20-4455-98E5-615BD39BD2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174CE8-D1AF-46BE-A882-0036510FF7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3202B5-20FA-4BD7-A49E-9267C33AA7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513DC4-E202-49D5-805B-1B7AAD894A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383DF2-A642-407F-B61E-32EE77EFC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E17A43-BC95-48D9-B9E0-DB2031B1F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5F191E-01D5-4613-BD68-8E6D01F24D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152BCB-9D7B-4035-810E-15EF052DB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E3DE10-EBEA-4AE9-9145-375008882F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6A3734-3435-4A7C-9C11-D06188694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736475-F2A0-436A-AF95-FC770B3CD1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00BAFC-749D-4CA5-AADD-ABBD90DF2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D20957-71CC-4617-8869-3FBFB53CD7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13F175-EB34-4B1C-BBB2-005DAEDF1D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E8B388-6614-4F4B-817D-00A50EB401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AQ11</xm:sqref>
        </x14:conditionalFormatting>
        <x14:conditionalFormatting xmlns:xm="http://schemas.microsoft.com/office/excel/2006/main">
          <x14:cfRule type="dataBar" id="{0CCFBCB9-D566-4121-B563-3A96B21B0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AC2EBD-C28B-4EE0-BFA7-72879144E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6E8F44-540C-4CF2-A4D0-7CF3FADC68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F3AD09-2E9E-49DC-BC74-7F524BB848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CA7B4A-3571-49B3-B175-C935E29744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235188-47AE-4CE4-91CF-08FCF4E107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A1338C-88C9-4DFC-A636-395253BC9B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181529-0627-425E-93A7-B9FC3FDCC2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C2AF37-344C-404E-9DD3-4FAE812589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22F7A3-6079-434B-8DB4-C8D9B3101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80116E-313F-4AD2-92E0-1A3BF78C4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864750-B315-4BA1-8BF9-A1A5AB9FDE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796586-4F6D-459D-A341-ED216F9F59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AQ12:AQ13</xm:sqref>
        </x14:conditionalFormatting>
        <x14:conditionalFormatting xmlns:xm="http://schemas.microsoft.com/office/excel/2006/main">
          <x14:cfRule type="dataBar" id="{28CFB70A-D793-400D-8A2A-28DA190210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881DFC-54CE-4DDF-94EA-264671FC62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17A93D-3819-4C03-B13C-ADF250B9C7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36FAF6-2F2E-431D-8DFF-BA9F2D99C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7D937A-13A5-42F4-A481-199508DB5E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0B5049-1151-453C-B3AD-438E2E43F0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BB7280-91D3-4F51-BD25-5233B9F706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C059AD-D852-4192-BEC3-81E3BCCF22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E5BCC8-3779-4A00-AC08-AFF7668CB2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99D6F2-8FF6-4759-BCB1-784232E046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C20428-5AB6-4AD9-920A-F0436579F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75CAA9-BFA6-4579-B668-CB24EDF179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44B2FF-BB31-4E52-9D06-42D768A263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242157-4708-4A53-A87F-BA48F9C515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361151-CBC2-4250-95F2-B1594182CA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E19100-5DC0-4122-85CE-20C3E1F02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1FCD3C-9A14-4A4B-97D0-210B5552B2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0968F0-9ED3-400B-B60B-EF4464C5DA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1B4819-AA6C-4A0C-8142-BAB73AD18F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6F0FC7-14DE-4A62-931B-547197A56B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A37A6-8713-45AA-B467-C7619EFB75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B0936E-9BC3-4D67-8092-3867048047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F61614-3C4D-4E33-B62F-67B62AD172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ABD5C2-0287-459E-9562-E793DA719E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13CBCD-8026-4A6F-9010-943804B157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DEA355-0C87-40D3-95F1-A6F9EF2C6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F1CFB-BA85-4806-AB17-3D6E37084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E2CB52-2B98-48FC-BBDF-18D80278E4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3C9FC6-1E0C-411A-81F3-E29F6FEB4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86AEEC-31BD-4061-A117-26ACC0386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AQ14:AQ19</xm:sqref>
        </x14:conditionalFormatting>
        <x14:conditionalFormatting xmlns:xm="http://schemas.microsoft.com/office/excel/2006/main">
          <x14:cfRule type="dataBar" id="{AC973197-994D-45ED-AC7E-4941A97FCE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7A3248-6632-482E-9D75-0F1140AFCD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CF390E-A2AE-49EA-873E-CB4C203A8D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461BBF-8F43-4401-A6E3-147B324C1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A64973-1859-4A4C-9BD7-0F310B6838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1FE601-EAB5-4ED5-BD2B-3B4E1E7AF5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5BBDA9-9CB4-429F-A240-4EC575E60B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174EFC-CDA4-4EB0-9E7D-E31B8D2F30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6D303C-7BEA-4BAE-AC18-67B9FD3BC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31064A-D7BB-47FC-A0E8-BA4786A9F5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26FBA0-E50C-45B8-B43A-D4B4456C22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4D6735-E3E4-4AEB-B7F6-2CDE6869DF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EF94AC-55C6-409B-BD68-C398C09328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AQ20</xm:sqref>
        </x14:conditionalFormatting>
        <x14:conditionalFormatting xmlns:xm="http://schemas.microsoft.com/office/excel/2006/main">
          <x14:cfRule type="dataBar" id="{99E7775A-0DBF-4C54-A05D-68D14F97F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803CE7-EEFB-4354-BBC2-EE7D9B5607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198589-9085-4761-A9F4-D85D2E497C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ABB32F-0B17-4DF8-BE30-059956F1C0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D80441-6C57-45F5-853F-C4D376AFC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5933B0-1AD0-45F5-891B-1CC7D0F23B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C656FA-7DC3-442A-B6BB-015DC10DA0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DC03E-B944-486C-BB4E-F154496EE2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EC8159-DD52-46AB-84F5-6E4FBE7F3D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5F6048-2D39-4F97-923A-533E40DF4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678261-BF44-451F-BF47-2B9647CE0F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A7F143-1B3A-4CCC-AFA6-1CAE53EBDB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2B240B-62D0-4B9C-BD01-C1C5DE3844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A63E31-6820-4057-B5E0-A40BE99035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66AC91-A7EB-49CE-9D44-99038665AD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8D3547-D46B-4559-A719-A7A05854CF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94A30F-E5F8-469E-911B-2BB4B37432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AQ21:AQ24</xm:sqref>
        </x14:conditionalFormatting>
        <x14:conditionalFormatting xmlns:xm="http://schemas.microsoft.com/office/excel/2006/main">
          <x14:cfRule type="dataBar" id="{7B581E62-20CD-4480-A74E-0BB43A792C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848196-765D-4635-9364-9C5E13B1B8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7B0EBC-3324-4457-961B-7473543563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BA6382-E9D7-4905-BB91-FF06A05C5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7AEC44-DC8F-4D8A-B7EC-F07868890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292334-EDAC-48A9-B33A-D05235C690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7BDB06-1F3F-43D6-A508-8C77A7F079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0D2708-BAF1-4EBE-ACBB-3BFDFD4B9A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0D0433-09F1-41B8-836C-347CB88D0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75A0E7-4837-4DCA-974C-23317208A3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7C0217-C1B7-488E-A124-6FD4850B8A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220318-C1B7-480D-914F-EBF56530CD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16D562-365C-4EDD-AFEE-29D6DD5C02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AQ25</xm:sqref>
        </x14:conditionalFormatting>
        <x14:conditionalFormatting xmlns:xm="http://schemas.microsoft.com/office/excel/2006/main">
          <x14:cfRule type="dataBar" id="{55699074-A11F-4A14-BEAB-1D80546C9E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C46D8-9305-48B1-98A8-E200973BB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848E90-54E2-469F-B834-28A3A95E75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50EB5D-1602-4008-992E-1B9F62F24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DD685F-4D7D-4D98-A4AA-CD9471C01D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92BDD3-63BA-47E0-B295-63F2D68989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3F8D0D-0692-4F4E-9F72-DD8C33625F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7E0D91-D20D-4564-A6D4-4520F9809D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06FDBD-401F-45C4-9119-54701B9A11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79B512-DB73-4D37-B6BE-A9D1EF594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73FC63-C174-4828-88C1-DA930655D8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9A710B-2B1A-4EFD-9190-0C2CC313E5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392714-1785-4E09-9776-A41C978B2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4DA1C8-6110-47F8-BD37-A4D8F72275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36AD92-CBE8-42CD-92FA-D344A671F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7083E6-C460-4842-853E-FD3CA14D94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FC526C-A924-48B1-B967-936E0C1CE5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E7A286-E219-49A7-9C46-77BE9ABAB6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2BC3E1-527D-4AFC-9E35-AD133120F7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670E49-CB33-476E-8C75-ACF12984C1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40D582-BFB8-4A4A-AAE0-B824CAD7E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4F10A9-13C0-4C34-A5C5-432316C273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3C1AEF-AA67-4757-91A2-D89AC9020F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9507B4-AD77-488F-9F6D-8E249DAD64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EF79D0-5B40-44DC-A0E5-6873B2721D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F9E2A3-E0AD-4F55-B21B-600F40054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5B0E47-6D0E-40F1-A395-921077BCBE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84DE6B-42BE-4531-BCE2-E0926AC61E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9C31D3-B788-42EF-9271-DE6A47BC8B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380E7F-277A-443E-ABC2-896190D12A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AQ26:AQ32</xm:sqref>
        </x14:conditionalFormatting>
        <x14:conditionalFormatting xmlns:xm="http://schemas.microsoft.com/office/excel/2006/main">
          <x14:cfRule type="dataBar" id="{13A244DE-B3BA-4266-993C-F35D88246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7C6A82-626F-4D8F-A83E-F73832D5A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BD8459-2CA3-45A8-A0B9-9CD60B9926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2A3CD5-3637-448E-ACCE-A9201D9FF3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751FD3-B77C-4A1D-B586-A0ECE18B92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E74692-7560-48E2-8606-145061096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4476B8-EE08-4493-B261-0A41723AC3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5B7B64-F909-42A2-89D8-4D7179745E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E9569E-332E-4968-9021-24FACFAAA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62025A-9A2B-4D51-930D-AF19F9FE15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2AC966-D1D5-448B-AC77-964037456E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DDEA37-8C8E-4401-8515-0916C369E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D0496F-1C7E-4402-9DB5-05ED54EB6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AQ33</xm:sqref>
        </x14:conditionalFormatting>
        <x14:conditionalFormatting xmlns:xm="http://schemas.microsoft.com/office/excel/2006/main">
          <x14:cfRule type="dataBar" id="{58F381A2-81E6-4C47-B364-4468F6DF5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DE857B-79F7-4EE8-862D-D1E15D3344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AA113E-1410-4BF7-B041-15F27A3DBA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23557B-DD75-44CB-80C6-8C5D9C6D1E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CAEA23-E781-4588-AE47-EB46DEABEB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4041EE-8A2A-45A8-BE0D-334FABEF5C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860DE4-241B-4B3B-95E9-38A6C8763E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6C93B4-30AB-4D4F-8E4A-C8B88592E8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44C114-6FCD-4712-BF0A-8116730418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8C4007-D338-47BA-8D02-474576A1CD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677D6F-E0EB-4713-AF17-2CB4FFEE57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33AF31-AD07-4CF1-8825-5351E51A30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8C69F4-7902-4840-9134-6538E94236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1F7644-F028-4CD8-9867-CC2513ACD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9F5A2C-A2ED-46A7-9720-3ED936127F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BCDDAF-B094-4398-8137-CC5B671179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83EDFD-1100-49DD-8B37-8F1D8F1962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12F263-0FBF-4B98-8D71-2411C4CA56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2DC63C-44A9-43EB-AEC9-3F64B1D9D7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44B692-8D57-4947-9E0B-97B3A4B169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1E39FF-44DE-4902-80E7-1443485FF5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F364E7-3008-45CA-9580-AF96BB1BF4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E674B6-C560-4BB4-B02E-1B7382511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EEB0A8-B3C8-4DE0-814F-6D3F5762B6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1B9031-5A5E-43E4-BE11-C5944F0C4D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BF6E25-25C5-47AA-A52D-4DA9A75AE8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725B3C-4AE4-4130-B5B1-76D9CBA804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E4530A-91D6-4B06-AD90-04F52D3AC3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F6031D-1F78-40F6-8985-1278B3E886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FF26C5-D1B2-45A0-BBD9-31C1045FFC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AQ34</xm:sqref>
        </x14:conditionalFormatting>
        <x14:conditionalFormatting xmlns:xm="http://schemas.microsoft.com/office/excel/2006/main">
          <x14:cfRule type="dataBar" id="{B2D8CA8E-E1E7-4E58-AB01-5C83749C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335C66-D399-4530-9B7D-3FF46A4CB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15362F-0CD2-471E-9C4A-D9AC3DC0E1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1EDE4D-635A-4DBC-A8FD-0D0502F9AB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225C65-670A-4940-A5F2-1C776313CB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57E781-B410-458F-8C3F-69AF66C04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3C8480-74A8-4B74-B33D-9C1B5535B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8249B3-9BEE-4B47-9AFD-881208B45E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F680E6-7C23-46CA-A8C7-0C9C9A9B8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E812E1-B652-4187-AB6F-E8958D891E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6C2ACA-65AB-478A-860E-377C313AA1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6098AF-3E34-4EA2-9179-BCE1274737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854ECD-F8BE-404F-9703-9915F80894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AQ35</xm:sqref>
        </x14:conditionalFormatting>
        <x14:conditionalFormatting xmlns:xm="http://schemas.microsoft.com/office/excel/2006/main">
          <x14:cfRule type="dataBar" id="{EF3AFB31-3C0B-438C-9AA8-D5205572C5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06F1D3-C3C5-42A7-AC34-2573833D4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AC9906-8634-468E-BBD5-5B833611E9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AR15 AP14</xm:sqref>
        </x14:conditionalFormatting>
        <x14:conditionalFormatting xmlns:xm="http://schemas.microsoft.com/office/excel/2006/main">
          <x14:cfRule type="dataBar" id="{5A1C7BB7-F07D-4DE6-8229-3C5E52C08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CE51B1-2EAF-4002-BFC7-B13C92DD3D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32C5F0-7EF7-4666-8171-3E2D1A84A7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A1A75B-6ECC-4632-875D-083B116EC4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AR16 AP15</xm:sqref>
        </x14:conditionalFormatting>
        <x14:conditionalFormatting xmlns:xm="http://schemas.microsoft.com/office/excel/2006/main">
          <x14:cfRule type="dataBar" id="{ADD069CA-B499-4FC3-B656-3611B837CD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AT10</xm:sqref>
        </x14:conditionalFormatting>
        <x14:conditionalFormatting xmlns:xm="http://schemas.microsoft.com/office/excel/2006/main">
          <x14:cfRule type="dataBar" id="{84337BFA-1AF8-450C-BD74-61B9A726E4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AT11</xm:sqref>
        </x14:conditionalFormatting>
        <x14:conditionalFormatting xmlns:xm="http://schemas.microsoft.com/office/excel/2006/main">
          <x14:cfRule type="dataBar" id="{1CFFBE92-BB05-45D8-A10A-1D84197F84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AT12</xm:sqref>
        </x14:conditionalFormatting>
        <x14:conditionalFormatting xmlns:xm="http://schemas.microsoft.com/office/excel/2006/main">
          <x14:cfRule type="dataBar" id="{354C76CE-0454-4333-AAEE-CAB1583012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AT14</xm:sqref>
        </x14:conditionalFormatting>
        <x14:conditionalFormatting xmlns:xm="http://schemas.microsoft.com/office/excel/2006/main">
          <x14:cfRule type="dataBar" id="{5767F312-6571-499B-BFB9-E2A78F173A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AT15</xm:sqref>
        </x14:conditionalFormatting>
        <x14:conditionalFormatting xmlns:xm="http://schemas.microsoft.com/office/excel/2006/main">
          <x14:cfRule type="dataBar" id="{C921A2A2-8450-4092-B65B-C8EA0E14EC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AT18</xm:sqref>
        </x14:conditionalFormatting>
        <x14:conditionalFormatting xmlns:xm="http://schemas.microsoft.com/office/excel/2006/main">
          <x14:cfRule type="dataBar" id="{737F732A-D218-40A9-ABD0-E5058DB78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AT19</xm:sqref>
        </x14:conditionalFormatting>
        <x14:conditionalFormatting xmlns:xm="http://schemas.microsoft.com/office/excel/2006/main">
          <x14:cfRule type="dataBar" id="{0ADB8123-22D5-474E-A51D-FE3C6A16E5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AT20</xm:sqref>
        </x14:conditionalFormatting>
        <x14:conditionalFormatting xmlns:xm="http://schemas.microsoft.com/office/excel/2006/main">
          <x14:cfRule type="dataBar" id="{5C2F3782-C558-4177-A5EB-D9A429B03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AT24</xm:sqref>
        </x14:conditionalFormatting>
        <x14:conditionalFormatting xmlns:xm="http://schemas.microsoft.com/office/excel/2006/main">
          <x14:cfRule type="dataBar" id="{32CC079A-FD64-40E2-BBB4-3199579E9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AT25:AT26</xm:sqref>
        </x14:conditionalFormatting>
        <x14:conditionalFormatting xmlns:xm="http://schemas.microsoft.com/office/excel/2006/main">
          <x14:cfRule type="dataBar" id="{07019B7A-70D7-4B27-895D-C8CB4BE204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EFF1B1-5657-4E63-8A12-739F940AEE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110998-50D8-4B36-8E39-2039E8AF77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0D8157-C851-414C-897F-D8F4D9852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</xm:sqref>
        </x14:conditionalFormatting>
        <x14:conditionalFormatting xmlns:xm="http://schemas.microsoft.com/office/excel/2006/main">
          <x14:cfRule type="dataBar" id="{91C7ADBB-568C-46A7-8C7C-280B3CF363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993E85-5639-4547-9DBF-28AC96AD13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AU5:AU22</xm:sqref>
        </x14:conditionalFormatting>
        <x14:conditionalFormatting xmlns:xm="http://schemas.microsoft.com/office/excel/2006/main">
          <x14:cfRule type="dataBar" id="{46525886-0CC9-4A48-A72D-7725A57656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AU5:AU26</xm:sqref>
        </x14:conditionalFormatting>
        <x14:conditionalFormatting xmlns:xm="http://schemas.microsoft.com/office/excel/2006/main">
          <x14:cfRule type="dataBar" id="{E9F9DBE0-3856-486D-BE36-A367B9750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9A0EF7-1B50-4CD5-8BD7-FB433E3914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26B2A9-E6A5-4B70-BB31-0A732203FA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AU5:AU28</xm:sqref>
        </x14:conditionalFormatting>
        <x14:conditionalFormatting xmlns:xm="http://schemas.microsoft.com/office/excel/2006/main">
          <x14:cfRule type="dataBar" id="{4AFCB513-5342-4CDE-8AF6-A3006C71B7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9ECFD0-6E13-4FE6-A283-C8A3ED03E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CE48B8-DFA1-48D8-A6C4-139140E64A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169C4F-A507-41C4-923F-A98FF79B3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A5A040-50A3-4833-8542-404A8852A6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91F0F6-88AC-4840-BA0C-F2339B042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94C38A-F0E5-42AE-A496-9A43F1C5F4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D7D809-DFEF-432E-B71C-74E562A5E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634617-4DDA-4BC9-B620-2CB39405A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AU14</xm:sqref>
        </x14:conditionalFormatting>
        <x14:conditionalFormatting xmlns:xm="http://schemas.microsoft.com/office/excel/2006/main">
          <x14:cfRule type="dataBar" id="{EF854612-6C18-4C06-A541-BBE36D3CCD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354A0F-3DCF-4A3A-B1FA-C535CF14FC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AF0B13-5D8A-4DDF-8541-42AE43A8F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4A24F2-305A-4836-B599-39543117A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968CF0-454A-4513-B7C0-669467CAA3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AU15:AU16 AU5:AU13 AU18:AU22</xm:sqref>
        </x14:conditionalFormatting>
        <x14:conditionalFormatting xmlns:xm="http://schemas.microsoft.com/office/excel/2006/main">
          <x14:cfRule type="dataBar" id="{56495753-D026-45B0-8C83-D51F7CFA1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DFE414-C908-4C9F-B4A8-A9C91CA113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C3569B-6589-420A-9673-CFEF4545D6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B5C706-A5DE-4CB5-861D-CC94409E5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AU15:AU16 AU6:AU13 AU18:AU22</xm:sqref>
        </x14:conditionalFormatting>
        <x14:conditionalFormatting xmlns:xm="http://schemas.microsoft.com/office/excel/2006/main">
          <x14:cfRule type="dataBar" id="{032CC8FF-B61B-48A8-8180-6C901D82BB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7F6C3A-9D70-416F-9E2B-47DC7ECE7E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B9F99F-805A-4B20-99F8-581469D82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D10D93-FE50-42F5-AE2E-EACD9E2F08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CA8F37-5D1B-4CFF-9BE9-EEDA55BBC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CCC9FE-D2C6-4748-9836-75B3088AD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D860DE-95C7-4C15-9B17-D1149BCFF7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6ED74A-EFFE-4C34-8405-794B47DC77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7D0711-7F14-41AE-ADF0-CB61E6397B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C7D0B2-B99D-4841-8B12-04A7C30E60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AU17</xm:sqref>
        </x14:conditionalFormatting>
        <x14:conditionalFormatting xmlns:xm="http://schemas.microsoft.com/office/excel/2006/main">
          <x14:cfRule type="dataBar" id="{D58F0DA5-C247-4994-86E0-990E75F076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AU18:AU22 AU5:AU16</xm:sqref>
        </x14:conditionalFormatting>
        <x14:conditionalFormatting xmlns:xm="http://schemas.microsoft.com/office/excel/2006/main">
          <x14:cfRule type="dataBar" id="{31AB8F98-CE8A-4553-9F86-9FAE631DA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58A1A3-1BB3-4663-8BB3-87E0D9DE90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A5F1D2-563C-4A9F-ADAA-1F77B782CC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C116B6-2480-4F0D-8C88-2BD4839071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531899-9046-4DFD-824E-ECF4DA751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E98740-2C54-4C9E-99F7-9A101C8A2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5AE9AD-CF07-45D6-A042-86C75440A4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8DFA18-1E7E-4F8D-ACC0-A5F904E114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A52DF0-894F-4351-94E2-129A2DDD0E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905290-E9BF-46E7-ABF5-04BAC9A5B5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C14D8D-8430-4438-9546-0990D2F780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EFE399-62B7-40FF-9F8D-084D9824E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AU23</xm:sqref>
        </x14:conditionalFormatting>
        <x14:conditionalFormatting xmlns:xm="http://schemas.microsoft.com/office/excel/2006/main">
          <x14:cfRule type="dataBar" id="{80F4B54A-CFE1-4CDE-B1E1-14ECCC4B01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655A08-D212-425E-9A7E-FD053E2F5D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15ACEB-27FE-4D3F-8C9E-301E30C841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F90DCC-DF20-46D1-AF07-2FFE4CF3B9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B7E45D-6BB0-4BEA-9D41-DC59A4E76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AC3F0A-54E4-4587-A2C2-63CF2020C2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1EE2E1-9C8A-463E-A7DD-A0C072670F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1011B8-8655-4AE2-8464-CBA069C76C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D0BE06-E7FA-400C-B012-D20B0EF5E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D1CCFB-5AA8-4610-8C88-318C83B1C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D0FA39-6D1D-47B0-A968-CEEE719DAC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46042E-3188-418A-BF34-EA47A0E883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AU24</xm:sqref>
        </x14:conditionalFormatting>
        <x14:conditionalFormatting xmlns:xm="http://schemas.microsoft.com/office/excel/2006/main">
          <x14:cfRule type="dataBar" id="{813EA762-DDAF-43AD-880C-1C69F62F5A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71BB37-F6B8-4B1A-A184-B9DA3CA959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B3E1CE-1BEC-49D3-8E51-D3D6B5AAF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434E06-D870-48BC-8F36-B294235EDF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9429B9-AA73-4DC2-9967-2326AC3542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717572-C600-4C64-8CD9-E1F1BFAC24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6F9B6A-07E5-4A85-B982-4077EDE8C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076AE9-1B33-4EE4-8D00-34C5BBABC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C893EE-B458-4866-A5AB-55534FC1B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B1A43A-7378-48F3-9452-7E700F632F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9BB94B-A6D9-421A-82D2-59B41EEA46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9914CA-1807-4297-A199-CD19E94167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AU25:AU26</xm:sqref>
        </x14:conditionalFormatting>
        <x14:conditionalFormatting xmlns:xm="http://schemas.microsoft.com/office/excel/2006/main">
          <x14:cfRule type="dataBar" id="{BB222FD5-5343-47D3-B98F-1B20320827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F807BE-AC5B-4F5B-A492-88D40375BF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2AA241-F56B-4697-B54D-7359D1E702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3463AB-7099-410E-86E9-17610DB36E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626AC4-31FA-4677-AF36-0A9A6F8DA6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E053C3-982C-4CAB-86AA-EA609383D1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4B3DCC-0DD1-4402-A3FD-D7E2B4C5F7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5B1F0D-D511-4BB0-8563-EA070045E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0C0CAD-D769-4531-9F3F-461540A708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1D3336-49BD-4C18-975E-D2E98BA30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313B20-4073-4EFF-AD70-D979001C74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5F728A-9D5F-4AB5-929C-E379CD9E31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903695-5EBD-4D07-A4AA-F617A1CB1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AU27:AU28</xm:sqref>
        </x14:conditionalFormatting>
        <x14:conditionalFormatting xmlns:xm="http://schemas.microsoft.com/office/excel/2006/main">
          <x14:cfRule type="dataBar" id="{DB54FDDA-A8A3-4E9D-9090-604204809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0E391F-8060-4B59-868F-1BE4B581B8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7F517E-9048-42AD-A2D7-6DAD0AF43B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5AA0F2-C164-4854-A86C-D3EF20E841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4799BB-C028-4036-A420-A75D4D8948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2B8A61-3E77-4545-B6EA-7982CBDF21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41A29A-C279-4D78-A011-C4903AD12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A665B4-B194-4EA9-94A2-7E38B1F49B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9E9BB9-1020-4790-A902-544C05A62B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282F48-1A88-4674-954F-A338435BC9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5CC8CF-FDCA-4658-956C-9F668059FE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62F6F0-BBB8-4272-9FF2-9E81AD354B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AD7E37-2523-4AD6-A3E9-7EB252022B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AV5</xm:sqref>
        </x14:conditionalFormatting>
        <x14:conditionalFormatting xmlns:xm="http://schemas.microsoft.com/office/excel/2006/main">
          <x14:cfRule type="dataBar" id="{80287E7F-125D-4614-99BB-932BA00F16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BFEF6C-7043-415F-A520-A21AD74036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087370-70FD-49FD-BED6-934C9DEE2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BA65ED-A328-445C-B01B-27AF186E5F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9008BC-858D-4632-95E4-302446BBAE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78C203-7C2C-4523-89F0-E02B3AEA65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06F8BC-3A62-423D-B851-FCD8A8EA4B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048974-2314-4E6B-99C3-A8220D8349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626F1D-185B-4C72-ABC0-8D37A46C45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3F91B-789D-4878-ABF0-9A170CD26F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DB42D6-1D93-4843-9C5D-A1C9BAC19E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908774-CA76-421B-BC13-0CDA70A9C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25A9A3-612E-4083-80C1-C8A42F0A11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04CC85-E91E-4C4E-AEC8-2E095C464D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16FF50-63DC-4790-B771-08B418FDA8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7AC229-5904-4599-96EB-E8000AD77D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879550-43A0-4F0B-92E3-538399BBD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EE2DB1-A874-457C-963F-32F512B777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362E9F-DA77-4BDF-AE4D-D7717F39A3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969C14-419E-4CF9-A080-EF5D47A3C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6312E2-FC1E-4A2A-B625-24F7B7DFDB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68A27A-1244-4BA0-866F-38FFC235EC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FC8D1C-1BE9-40E2-A562-AA81AAF609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B4A3F4-C705-42E6-AC8F-39F26631BC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2FC54B-310C-4185-BF0A-AE3AACABA0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810055-909E-47BD-89D1-EA621399E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5D7861-247A-43B5-8008-4E295CF09B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968364-6FD1-4A62-BACD-156F2C40F1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47553A-1050-4924-9720-BF44BD705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C62A64-AD78-497C-9FB6-654A0A127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AV6:AV12</xm:sqref>
        </x14:conditionalFormatting>
        <x14:conditionalFormatting xmlns:xm="http://schemas.microsoft.com/office/excel/2006/main">
          <x14:cfRule type="dataBar" id="{1675EE2C-3DF4-45EC-B936-B10EE2207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8C2EED-C2DA-4A71-A137-057D93FFF9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203F1A-3F53-472A-9A3E-5F26EC7241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ADB449-642A-4CFF-8899-98967697F1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D4CB87-F2EA-46E6-9E48-294E48AFBB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BCF73B-921F-40B4-AD5F-6F830D970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517EA7-F4E5-43E8-97DD-5FB616EE89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DAE0BF-A811-4FAD-BE77-979112DA9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62FAFA-EA08-4AF8-BCF5-4EB313FA7E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2A9A11-DCED-46ED-AF0E-8885DFEA7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CC19DB-2AE2-47F7-AE48-C5E564C013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3DAE8D-C4E8-4737-8FD5-CC62BF914C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0BDB48-7B10-402F-99C7-DE57DA15EB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AV13</xm:sqref>
        </x14:conditionalFormatting>
        <x14:conditionalFormatting xmlns:xm="http://schemas.microsoft.com/office/excel/2006/main">
          <x14:cfRule type="dataBar" id="{07A6AD29-A6A0-4287-AEFD-088C195E8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25EB72-ED02-49E1-9C8B-C841EE4A2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FB857D-C45B-4632-9184-6DE0854325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808516-1FBB-47E6-A781-CC1A2BCBAF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3BE139-6097-4436-97A1-C1AFD07512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F6934E-726C-4D14-8760-67F8B0CA2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30700B-54BA-421B-AEEC-8B4B163762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4E04CF-6CBA-4028-82A8-2D2FC9D6F9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5C93D7-8746-41F3-9DB2-90A4401CAC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0AAF02-6EB3-4D20-A79E-3E269FCF79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5C2C50-D570-45AE-A87B-9F205F775F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C8A4B9-FE8B-4366-BE6B-3AA00D1D18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235F17-BC65-4C62-B569-D204649AD8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367130-91AB-4BB0-AE5E-A4EC0E7F4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F6DE2B-2D89-423B-A744-4273278B0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6FD560-2480-4E9A-842D-1EE79902AA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28BA17-0E0B-49AD-A53A-E2C422F6F9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75EF7-AACF-4C6E-92CD-24FB152E5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0AD8A6-FD72-455C-A6AD-407420940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FC2BF9-3E56-45C7-BDA1-C4CB9C2711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0F9F9F-C83C-448D-9DD4-E8385C1834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C19F4C-0FDD-4BDF-885F-444A11F46D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9A2B5C-4347-4014-863A-03A818B9F9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36AE96-E27C-44B1-9B07-8FD5EEBB3F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A09604-9627-467E-9CFB-3D15179AC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1E0AC1-6235-4AA1-A252-6E5175811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92307A-F290-4C11-9430-55F4FD129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15B9D7-C5F5-4713-86C5-0154A40999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8CDDED-D7F1-4EA2-B6BD-71EF1C2411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5B54BF-7401-4293-81A8-DFCE1D2E8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AV14:AV15</xm:sqref>
        </x14:conditionalFormatting>
        <x14:conditionalFormatting xmlns:xm="http://schemas.microsoft.com/office/excel/2006/main">
          <x14:cfRule type="dataBar" id="{EDEEAF39-78AF-4400-96E1-FD4C06C157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723E5C-93F0-4331-8BF2-7B9B415F99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692DE3-5428-4179-ADE4-C11BCA2514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902F76-65BF-49A3-AB78-E0AAE372C5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D9B26A-4D5E-4337-A596-96F8956268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684733-7637-419A-ABB0-8384FD8043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A0474C-D651-48D1-A925-5A8B8DA410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FAB1A6-61F6-4AA8-9E5E-1143AA9F67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BCE2B3-9B62-4F2E-B8B4-E85D44411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EE560D-DB94-487F-9567-8882ECD52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64A457-E1C4-41D3-BD90-341B266E5A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449187-4071-4DCF-8072-2CAE992EFF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3338E0-061C-4365-A2C3-4A7513FBF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AV16</xm:sqref>
        </x14:conditionalFormatting>
        <x14:conditionalFormatting xmlns:xm="http://schemas.microsoft.com/office/excel/2006/main">
          <x14:cfRule type="dataBar" id="{404FE5E9-36A8-440E-B989-6A148476A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E33099-1E89-443C-B4F9-61190E95D4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36F97F-4200-46BD-8DFE-C3899BE2B8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54E847-A101-48B1-B9E9-C14F9BF12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883726-AAF1-4244-BD57-1A6C4E7147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7394C0-250B-40C2-9755-1D6FFCC803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52A2AF-B017-4165-9335-047B780FA1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489C41-8388-464A-BC56-666E8A80C4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E65FCB-16F1-4BF4-99DB-C5AD14391C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92D08A-E86B-4C57-8045-D2528E7AA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6DA6C3-5F44-40D2-A851-C5C1098032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28C6AB-9ABD-4B38-8F51-E5F3B4CC2E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502135-96A3-4E4D-B4C2-5A8D813062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D6D0EA-A2B1-4A8B-80BF-398C84A2D8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6DEEF1-B8D0-4CBF-A920-2C08FCC52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B3F09B-E79A-4ED6-862E-1E1CCE36CE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297A10-6DC4-4CAD-BA6C-4217472D98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6B5C6E-E1DF-4EFB-B03C-8E1A634CA0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178C7D-4BB8-49CF-8F5D-F60F2D0BD7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55775E-28BA-41B6-ADEA-6754E89D6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AA204D-823B-4CB5-848F-AF7D430B69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D945F0-DAD2-4BDF-B93D-A5DF313157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083B90-E8DA-4CFF-9969-08153705CB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52FD0F-74F6-48B1-9184-B5885DB22A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BC6D4A-0411-4E15-8519-D8610EB6F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1DEF42-A995-468E-95D7-35928A1B20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06B752-8E87-4864-9307-92D0494324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7B0793-FFF8-4269-ADED-85ECDDFA2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C84DD1-9149-4D97-8D33-D2A692A9F5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9B6B5-963F-48C9-8E15-DA3CB090B4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AV17:AV19</xm:sqref>
        </x14:conditionalFormatting>
        <x14:conditionalFormatting xmlns:xm="http://schemas.microsoft.com/office/excel/2006/main">
          <x14:cfRule type="dataBar" id="{7A5C54AD-428E-4D23-B46A-60AF74CCB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243B8D-86A5-4104-B97B-E9B7FEB74F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5D6421-042C-4263-932B-04ED42D5AA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7A1AA1-8538-4C85-8A7B-C792B1298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69CA6C-546A-417B-86FD-7D8627AA1B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B097C4-8612-400B-9487-5FAD475DFD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32E63C-8384-4170-B2D4-E3B346F906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FC1DC6-9E3F-4E3E-8776-3EE2F5E4C2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00442F-03A2-4A45-8A3B-A32B6A7D79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76660A-65F3-4C55-A183-ABF6205069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648A3B-4DDD-47AA-98F5-5B6EED8A7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2EAAD1-C0DE-412A-92F4-9CCF425813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3812FC-18CF-4909-8CC6-BC41F8A886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AV20</xm:sqref>
        </x14:conditionalFormatting>
        <x14:conditionalFormatting xmlns:xm="http://schemas.microsoft.com/office/excel/2006/main">
          <x14:cfRule type="dataBar" id="{FB435555-01B9-4CDC-83FC-FE1A32A66A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AD7C84-6BF5-47AF-900E-0414CBEA6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2F980F-D75C-470A-8EE3-0390DD61C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5EB83C-1AC7-4BEE-B60B-6E94A89C27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BE7879-4E3C-49CE-9643-F7732499A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71134D-A783-476D-BC02-65F8C20322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8F99F7-5D2F-48F8-8990-28038EBFB4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D0FF42-5D41-4100-B472-7B120410CE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501291-ED4B-43D5-9A59-D3FD31AF2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30B59E-5D7A-43B5-8360-F3CC41F03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9C37A3-E8F4-4113-92BE-C9E0C9EB3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D6A4FD-4ED9-4523-B563-DCF21D3724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EA2050-9587-4724-A3FF-F73F1DB3D4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D66826-347D-4B85-9020-1240E36BFD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BE9E6D-BBB2-4113-BAB3-994AEA364A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3E2656-282E-4498-AF0A-399D08DEF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4D5485-AF7D-43E3-9587-1E625F0C28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613328-3BDC-41C2-AB61-A0B1B26B60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F18E3A-2479-420D-9C09-91A9C03892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6FDB14-9CA0-4CDB-873D-B6EC0ABED0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05E0D9-9316-460F-AF7A-D460B1AA7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3AA3DF-F40B-4D70-A451-23FF7DF483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EE6B6B-6DDC-4129-BEB7-1AB32EBB5C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C42B46-6B15-4B9C-A1A3-2F3C140EFB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8659E3-B022-4247-94BB-E51925A80F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C5D6D3-7F7B-4F2A-A768-D89772581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42C677-9DAA-4454-8022-BB278FFA89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02ED5F-9363-48ED-9065-D758A0601C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5E61DB-8E06-454E-B326-F2746BF8F6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536189-BEA9-4F33-83A5-F788695A50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AV21</xm:sqref>
        </x14:conditionalFormatting>
        <x14:conditionalFormatting xmlns:xm="http://schemas.microsoft.com/office/excel/2006/main">
          <x14:cfRule type="dataBar" id="{8C6AAEDD-6C4D-4AC5-8929-E05B83E757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69786D-9534-4C17-A297-18D3131686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075541-B71D-4DE4-B992-42DCC0604A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559AD5-F212-4780-9E8F-2087105799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F8B73B-6F7D-440E-B2B4-7172A97D5C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7DE046-3694-4CB2-9E54-212EE2375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92669B-1B01-4621-8C0E-7F18D8D89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E8661A-CD3B-4758-B803-C8F71A500B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D77578-5CF7-42FA-8391-A9143729B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BDDB92-96C6-43C9-8C14-093A10DB11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0E4988-D0F2-4514-9B3E-809FAABFDE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CE1D8B-7CB5-4BFE-A144-E525584D00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7BB86A-A578-4FDA-9AA9-646AA3AFDD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AV22</xm:sqref>
        </x14:conditionalFormatting>
        <x14:conditionalFormatting xmlns:xm="http://schemas.microsoft.com/office/excel/2006/main">
          <x14:cfRule type="dataBar" id="{2B98FA42-E5C7-4A41-A451-38D73051A9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431843-A39D-4C37-A33B-1C38828AA6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717C29-0BFF-47BC-B4EC-20B37EB8A5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3E1000-8E62-4EF4-9836-5CB42FC2BC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9D12BC-425E-4409-9854-14C83235FE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3C1086-E8F3-4BEB-8659-697421C48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250D29-141F-45C4-8BBE-2B429D9CB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FE1E94-7444-4355-ABE5-86B8179CA3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521AA8-1078-4C53-8D87-623A8B3CE7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17C524-AC14-4ABF-A2D7-5C52EA4CB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C3A948-EA6C-4F0B-87DF-2327637F40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276D23-2FD3-4AD3-95E5-B73288FB0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0F3AE7-E0B7-46D6-8164-77FEF5950E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98702C-34DB-4FEA-9184-ECCF94CF0F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4459A2-1010-4568-8C6E-04EA695A63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3010BF-D8B4-47F3-B162-12A9D2998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986F5B-7803-41EE-8F3A-46EA780FBD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AV23:AV25</xm:sqref>
        </x14:conditionalFormatting>
        <x14:conditionalFormatting xmlns:xm="http://schemas.microsoft.com/office/excel/2006/main">
          <x14:cfRule type="dataBar" id="{55D6A333-8C61-4C31-A51D-E335F860E4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AC6E22-A012-41C2-A2A5-B59BFBE48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13D490-AE3A-422C-B381-6E2375E451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59A825-7A10-474B-8DC3-E2D570680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2C0EA6-4656-4F6F-81C8-A352DEFD0A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43F122-8308-463B-A1A5-8CA180C76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5CD204-DC2A-4E61-ADA3-CBB91D364D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EBA5E9-3F09-425B-860B-4C423E2127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E38799-2C54-4DDA-9D3C-5E92D7CB1C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5A15A7-BACB-4039-A374-65D62C42ED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640A1B-832D-44A3-96AC-5272D2CC2F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D01D63-6DA1-42B0-8808-F5D9A076AB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D418F3-EDF9-4A15-AFBE-FAD6E76E2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C1BEA8-FF51-4CE3-A26E-F1F701F6A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CC111F-60A4-49F5-BD06-FF74BF419F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B55E42-40E1-4AD0-9FA0-352C0BFA57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679828-5413-4658-A18E-772390F118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C81617-363A-4EC5-9756-5BD7B02AF8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F8C876-F77C-4127-B923-33484EEE80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FB0E0B-D09C-4DE3-88F0-47A76FCCD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EEF875-7D1C-4585-81DE-E8B74E3F06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A783A8-2CE8-4EAE-ACA3-FFD087C5B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3C7FB3-F756-433F-84A3-3D9C5AB17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7185A2-FCC1-4B66-B90C-EE42B09D8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7A94D-B9F3-4D4C-888D-960428978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FA924E-8D85-401C-9AD9-AE71D1758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3FD515-E154-49B3-AD1F-453574AAEF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9B7163-83C8-480E-A9F5-5453EDFFB3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B1F963-EB7C-4D5F-BC0A-9E11C2C37F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762CC4-2015-4BDE-90F4-1B08216F3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AV26</xm:sqref>
        </x14:conditionalFormatting>
        <x14:conditionalFormatting xmlns:xm="http://schemas.microsoft.com/office/excel/2006/main">
          <x14:cfRule type="dataBar" id="{DA69FFC5-1A26-4C3F-97DB-A5ECE005C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E6D29E-9015-4B37-AD63-507D6BE5FB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79CD2C-4359-462F-AA57-68C431F12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AA1D06-6C9B-419A-9161-6BB3B86C69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D4DE09-9B72-4ECB-9F93-8795376BB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9EF633-8BA1-40D1-B4FD-B99717986B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FE67E9-305C-4C9A-ACC5-049C4793F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FF80FC-CCCF-4997-9594-1C5F11718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89A9A3-BE34-4652-90EB-8F7BD13201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30340A-CC15-4E1C-81EC-A92F70941A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AAE45D-F07B-4F93-899E-15BE142846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D1F199-B785-4683-BF61-93D49E91A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B21C73-1F4D-481E-AC56-8B4CA169F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AV27:AV28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4BC70-9A73-4ECA-80C0-B95EED90D8CD}">
  <dimension ref="A1:AV41"/>
  <sheetViews>
    <sheetView showGridLines="0" topLeftCell="AB1" zoomScale="50" zoomScaleNormal="50" workbookViewId="0">
      <pane ySplit="3" topLeftCell="A14" activePane="bottomLeft" state="frozen"/>
      <selection activeCell="C1" sqref="C1"/>
      <selection pane="bottomLeft" activeCell="AL38" sqref="AL38"/>
    </sheetView>
  </sheetViews>
  <sheetFormatPr baseColWidth="10" defaultColWidth="28.7109375" defaultRowHeight="18"/>
  <cols>
    <col min="1" max="2" width="0" style="1" hidden="1" customWidth="1"/>
    <col min="3" max="3" width="4" style="1" customWidth="1"/>
    <col min="4" max="4" width="3.7109375" style="1" customWidth="1"/>
    <col min="5" max="5" width="30.85546875" style="1" customWidth="1"/>
    <col min="6" max="6" width="28.140625" style="1" customWidth="1"/>
    <col min="7" max="7" width="16.28515625" style="28" customWidth="1"/>
    <col min="8" max="8" width="11.7109375" style="1" customWidth="1"/>
    <col min="9" max="9" width="3.7109375" style="1" customWidth="1"/>
    <col min="10" max="10" width="30.85546875" style="1" customWidth="1"/>
    <col min="11" max="11" width="29" style="1" customWidth="1"/>
    <col min="12" max="12" width="16.28515625" style="28" customWidth="1"/>
    <col min="13" max="13" width="5.42578125" style="1" customWidth="1"/>
    <col min="14" max="14" width="4" style="1" customWidth="1"/>
    <col min="15" max="16" width="28.7109375" style="1"/>
    <col min="17" max="17" width="16.28515625" style="28" customWidth="1"/>
    <col min="18" max="18" width="3.85546875" style="1" customWidth="1"/>
    <col min="19" max="19" width="3.7109375" style="1" customWidth="1"/>
    <col min="20" max="21" width="28.7109375" style="1"/>
    <col min="22" max="22" width="16.28515625" style="28" customWidth="1"/>
    <col min="23" max="23" width="11.7109375" style="1" customWidth="1"/>
    <col min="24" max="24" width="3.7109375" style="1" customWidth="1"/>
    <col min="25" max="25" width="36.7109375" style="1" customWidth="1"/>
    <col min="26" max="26" width="29" style="1" customWidth="1"/>
    <col min="27" max="27" width="16.28515625" style="28" customWidth="1"/>
    <col min="28" max="28" width="11.7109375" style="1" customWidth="1"/>
    <col min="29" max="29" width="3.7109375" style="1" customWidth="1"/>
    <col min="30" max="30" width="28.7109375" style="1"/>
    <col min="31" max="31" width="25.140625" style="1" customWidth="1"/>
    <col min="32" max="32" width="16.28515625" style="28" customWidth="1"/>
    <col min="33" max="33" width="11.7109375" style="1" customWidth="1"/>
    <col min="34" max="34" width="3.42578125" style="1" customWidth="1"/>
    <col min="35" max="35" width="28.7109375" style="1"/>
    <col min="36" max="36" width="7.7109375" style="1" customWidth="1"/>
    <col min="37" max="37" width="26.28515625" style="1" customWidth="1"/>
    <col min="38" max="38" width="16.28515625" style="28" customWidth="1"/>
    <col min="39" max="39" width="11.7109375" style="1" customWidth="1"/>
    <col min="40" max="40" width="3.7109375" style="1" customWidth="1"/>
    <col min="41" max="42" width="28.7109375" style="1"/>
    <col min="43" max="43" width="16.28515625" style="28" customWidth="1"/>
    <col min="44" max="44" width="11.7109375" style="1" customWidth="1"/>
    <col min="45" max="45" width="3.7109375" style="1" customWidth="1"/>
    <col min="46" max="47" width="28.7109375" style="1"/>
    <col min="48" max="48" width="16.28515625" style="28" customWidth="1"/>
    <col min="49" max="49" width="11.7109375" style="1" customWidth="1"/>
    <col min="50" max="50" width="3.7109375" style="1" customWidth="1"/>
    <col min="51" max="16384" width="28.7109375" style="1"/>
  </cols>
  <sheetData>
    <row r="1" spans="1:48" ht="24" customHeight="1">
      <c r="Y1" s="2"/>
    </row>
    <row r="2" spans="1:48" s="3" customFormat="1" ht="24" customHeight="1" thickBot="1">
      <c r="E2" s="3" t="s">
        <v>65</v>
      </c>
      <c r="G2" s="32"/>
      <c r="J2" s="3" t="s">
        <v>66</v>
      </c>
      <c r="L2" s="32"/>
      <c r="O2" s="3" t="s">
        <v>69</v>
      </c>
      <c r="Q2" s="32"/>
      <c r="T2" s="3" t="s">
        <v>68</v>
      </c>
      <c r="V2" s="32"/>
      <c r="Y2" s="3" t="s">
        <v>70</v>
      </c>
      <c r="AA2" s="32"/>
      <c r="AD2" s="3" t="s">
        <v>0</v>
      </c>
      <c r="AF2" s="32"/>
      <c r="AI2" s="3" t="s">
        <v>1</v>
      </c>
      <c r="AL2" s="32"/>
      <c r="AO2" s="3" t="s">
        <v>2</v>
      </c>
      <c r="AQ2" s="32"/>
      <c r="AT2" s="3" t="s">
        <v>3</v>
      </c>
      <c r="AV2" s="32"/>
    </row>
    <row r="3" spans="1:48" ht="24" customHeight="1" thickTop="1" thickBot="1">
      <c r="A3" s="4" t="s">
        <v>4</v>
      </c>
      <c r="B3" s="4" t="s">
        <v>5</v>
      </c>
      <c r="E3" s="4" t="s">
        <v>4</v>
      </c>
      <c r="F3" s="4" t="s">
        <v>6</v>
      </c>
      <c r="G3" s="29" t="s">
        <v>75</v>
      </c>
      <c r="J3" s="4" t="s">
        <v>4</v>
      </c>
      <c r="K3" s="4" t="s">
        <v>6</v>
      </c>
      <c r="L3" s="29" t="s">
        <v>75</v>
      </c>
      <c r="O3" s="4" t="s">
        <v>10</v>
      </c>
      <c r="P3" s="4" t="s">
        <v>67</v>
      </c>
      <c r="Q3" s="29" t="s">
        <v>75</v>
      </c>
      <c r="T3" s="4" t="s">
        <v>10</v>
      </c>
      <c r="U3" s="4" t="s">
        <v>67</v>
      </c>
      <c r="V3" s="29" t="s">
        <v>75</v>
      </c>
      <c r="Y3" s="4" t="s">
        <v>7</v>
      </c>
      <c r="Z3" s="4" t="s">
        <v>8</v>
      </c>
      <c r="AA3" s="29" t="s">
        <v>75</v>
      </c>
      <c r="AD3" s="4" t="s">
        <v>7</v>
      </c>
      <c r="AE3" s="4" t="s">
        <v>9</v>
      </c>
      <c r="AF3" s="29" t="s">
        <v>75</v>
      </c>
      <c r="AI3" s="4" t="s">
        <v>10</v>
      </c>
      <c r="AJ3" s="4" t="s">
        <v>11</v>
      </c>
      <c r="AK3" s="4"/>
      <c r="AL3" s="29" t="s">
        <v>75</v>
      </c>
      <c r="AO3" s="4" t="s">
        <v>10</v>
      </c>
      <c r="AP3" s="4" t="s">
        <v>12</v>
      </c>
      <c r="AQ3" s="29" t="s">
        <v>75</v>
      </c>
      <c r="AT3" s="4" t="s">
        <v>4</v>
      </c>
      <c r="AU3" s="4" t="s">
        <v>13</v>
      </c>
      <c r="AV3" s="29" t="s">
        <v>75</v>
      </c>
    </row>
    <row r="4" spans="1:48" ht="24" customHeight="1" thickTop="1"/>
    <row r="5" spans="1:48" ht="24" customHeight="1">
      <c r="A5" s="5" t="s">
        <v>14</v>
      </c>
      <c r="B5" s="6">
        <v>558.38095791136209</v>
      </c>
      <c r="C5" s="6"/>
      <c r="E5" s="21" t="s">
        <v>14</v>
      </c>
      <c r="F5" s="7">
        <v>419</v>
      </c>
      <c r="G5" s="30" t="s">
        <v>78</v>
      </c>
      <c r="H5" s="7"/>
      <c r="I5" s="5"/>
      <c r="J5" s="20" t="s">
        <v>84</v>
      </c>
      <c r="K5" s="7">
        <v>530</v>
      </c>
      <c r="L5" s="30" t="s">
        <v>77</v>
      </c>
      <c r="M5" s="7"/>
      <c r="N5" s="7"/>
      <c r="O5" s="21" t="s">
        <v>51</v>
      </c>
      <c r="P5" s="9">
        <v>750</v>
      </c>
      <c r="Q5" s="30" t="s">
        <v>76</v>
      </c>
      <c r="T5" s="21" t="s">
        <v>14</v>
      </c>
      <c r="U5" s="9">
        <v>612</v>
      </c>
      <c r="V5" s="30" t="s">
        <v>78</v>
      </c>
      <c r="W5" s="5"/>
      <c r="X5" s="5"/>
      <c r="Y5" s="23" t="s">
        <v>16</v>
      </c>
      <c r="Z5" s="8">
        <v>0.65</v>
      </c>
      <c r="AA5" s="30" t="s">
        <v>78</v>
      </c>
      <c r="AB5" s="8"/>
      <c r="AC5" s="5"/>
      <c r="AD5" s="23" t="s">
        <v>16</v>
      </c>
      <c r="AE5" s="9">
        <v>3000</v>
      </c>
      <c r="AF5" s="30" t="s">
        <v>78</v>
      </c>
      <c r="AG5" s="9"/>
      <c r="AH5" s="5"/>
      <c r="AI5" s="21" t="s">
        <v>20</v>
      </c>
      <c r="AJ5" s="10">
        <v>0.9</v>
      </c>
      <c r="AK5" s="11">
        <f t="shared" ref="AK5:AK34" si="0">+AJ5</f>
        <v>0.9</v>
      </c>
      <c r="AL5" s="30" t="s">
        <v>78</v>
      </c>
      <c r="AM5" s="11"/>
      <c r="AN5" s="5"/>
      <c r="AO5" s="21" t="s">
        <v>17</v>
      </c>
      <c r="AP5" s="9">
        <v>73</v>
      </c>
      <c r="AQ5" s="30" t="s">
        <v>78</v>
      </c>
      <c r="AR5" s="9"/>
      <c r="AT5" s="21" t="s">
        <v>15</v>
      </c>
      <c r="AU5" s="6">
        <v>66</v>
      </c>
      <c r="AV5" s="30" t="s">
        <v>77</v>
      </c>
    </row>
    <row r="6" spans="1:48" ht="24" customHeight="1">
      <c r="A6" s="5" t="s">
        <v>18</v>
      </c>
      <c r="B6" s="6">
        <v>571.941080162047</v>
      </c>
      <c r="C6" s="6"/>
      <c r="E6" s="21" t="s">
        <v>20</v>
      </c>
      <c r="F6" s="7">
        <v>472</v>
      </c>
      <c r="G6" s="30" t="s">
        <v>78</v>
      </c>
      <c r="H6" s="6"/>
      <c r="I6" s="5"/>
      <c r="J6" s="21" t="s">
        <v>14</v>
      </c>
      <c r="K6" s="7">
        <v>541</v>
      </c>
      <c r="L6" s="30" t="s">
        <v>78</v>
      </c>
      <c r="M6" s="7"/>
      <c r="N6" s="7"/>
      <c r="O6" s="22" t="s">
        <v>73</v>
      </c>
      <c r="P6" s="9">
        <v>775</v>
      </c>
      <c r="Q6" s="30" t="s">
        <v>77</v>
      </c>
      <c r="T6" s="21" t="s">
        <v>20</v>
      </c>
      <c r="U6" s="9">
        <v>658</v>
      </c>
      <c r="V6" s="30" t="s">
        <v>78</v>
      </c>
      <c r="W6" s="5"/>
      <c r="X6" s="5"/>
      <c r="Y6" s="20" t="s">
        <v>19</v>
      </c>
      <c r="Z6" s="8">
        <v>0.68</v>
      </c>
      <c r="AA6" s="30" t="s">
        <v>77</v>
      </c>
      <c r="AB6" s="13"/>
      <c r="AC6" s="5"/>
      <c r="AD6" s="21" t="s">
        <v>17</v>
      </c>
      <c r="AE6" s="9">
        <v>3098</v>
      </c>
      <c r="AF6" s="30" t="s">
        <v>78</v>
      </c>
      <c r="AG6" s="9"/>
      <c r="AH6" s="5"/>
      <c r="AI6" s="21" t="s">
        <v>14</v>
      </c>
      <c r="AJ6" s="10">
        <v>0.78</v>
      </c>
      <c r="AK6" s="11">
        <f t="shared" si="0"/>
        <v>0.78</v>
      </c>
      <c r="AL6" s="30" t="s">
        <v>78</v>
      </c>
      <c r="AM6" s="11"/>
      <c r="AN6" s="5"/>
      <c r="AO6" s="23" t="s">
        <v>16</v>
      </c>
      <c r="AP6" s="9">
        <v>85</v>
      </c>
      <c r="AQ6" s="30" t="s">
        <v>78</v>
      </c>
      <c r="AR6" s="9"/>
      <c r="AT6" s="21" t="s">
        <v>20</v>
      </c>
      <c r="AU6" s="6">
        <v>70</v>
      </c>
      <c r="AV6" s="30" t="s">
        <v>78</v>
      </c>
    </row>
    <row r="7" spans="1:48" ht="24" customHeight="1">
      <c r="A7" s="5" t="s">
        <v>20</v>
      </c>
      <c r="B7" s="6">
        <v>574.38410709625896</v>
      </c>
      <c r="C7" s="6"/>
      <c r="E7" s="21" t="s">
        <v>21</v>
      </c>
      <c r="F7" s="7">
        <v>490</v>
      </c>
      <c r="G7" s="30" t="s">
        <v>78</v>
      </c>
      <c r="H7" s="6"/>
      <c r="I7" s="5"/>
      <c r="J7" s="21" t="s">
        <v>18</v>
      </c>
      <c r="K7" s="7">
        <v>564</v>
      </c>
      <c r="L7" s="30" t="s">
        <v>79</v>
      </c>
      <c r="M7" s="7"/>
      <c r="N7" s="7"/>
      <c r="O7" s="21" t="s">
        <v>14</v>
      </c>
      <c r="P7" s="9">
        <v>790</v>
      </c>
      <c r="Q7" s="30" t="s">
        <v>78</v>
      </c>
      <c r="T7" s="21" t="s">
        <v>21</v>
      </c>
      <c r="U7" s="9">
        <v>659</v>
      </c>
      <c r="V7" s="30" t="s">
        <v>78</v>
      </c>
      <c r="W7" s="5"/>
      <c r="X7" s="5"/>
      <c r="Y7" s="21" t="s">
        <v>17</v>
      </c>
      <c r="Z7" s="8">
        <v>0.68</v>
      </c>
      <c r="AA7" s="30" t="s">
        <v>78</v>
      </c>
      <c r="AB7" s="8"/>
      <c r="AC7" s="5"/>
      <c r="AD7" s="21" t="s">
        <v>22</v>
      </c>
      <c r="AE7" s="9">
        <v>3274.9078700887799</v>
      </c>
      <c r="AF7" s="30" t="s">
        <v>78</v>
      </c>
      <c r="AG7" s="9"/>
      <c r="AH7" s="5"/>
      <c r="AI7" s="21" t="s">
        <v>21</v>
      </c>
      <c r="AJ7" s="10">
        <v>0.68</v>
      </c>
      <c r="AK7" s="11">
        <f t="shared" si="0"/>
        <v>0.68</v>
      </c>
      <c r="AL7" s="30" t="s">
        <v>78</v>
      </c>
      <c r="AM7" s="11"/>
      <c r="AN7" s="5"/>
      <c r="AO7" s="21" t="s">
        <v>23</v>
      </c>
      <c r="AP7" s="9">
        <v>94</v>
      </c>
      <c r="AQ7" s="30" t="s">
        <v>78</v>
      </c>
      <c r="AR7" s="9"/>
      <c r="AT7" s="21" t="s">
        <v>21</v>
      </c>
      <c r="AU7" s="6">
        <v>71</v>
      </c>
      <c r="AV7" s="30" t="s">
        <v>78</v>
      </c>
    </row>
    <row r="8" spans="1:48" ht="24" customHeight="1">
      <c r="A8" s="12" t="s">
        <v>24</v>
      </c>
      <c r="B8" s="7">
        <v>581</v>
      </c>
      <c r="C8" s="7"/>
      <c r="E8" s="20" t="s">
        <v>84</v>
      </c>
      <c r="F8" s="7">
        <v>530</v>
      </c>
      <c r="G8" s="30" t="s">
        <v>77</v>
      </c>
      <c r="H8" s="6"/>
      <c r="I8" s="5"/>
      <c r="J8" s="21" t="s">
        <v>17</v>
      </c>
      <c r="K8" s="7">
        <v>566</v>
      </c>
      <c r="L8" s="30" t="s">
        <v>78</v>
      </c>
      <c r="M8" s="7"/>
      <c r="N8" s="7"/>
      <c r="O8" s="21" t="s">
        <v>41</v>
      </c>
      <c r="P8" s="9">
        <v>800</v>
      </c>
      <c r="Q8" s="30" t="s">
        <v>78</v>
      </c>
      <c r="T8" s="21" t="s">
        <v>36</v>
      </c>
      <c r="U8" s="9">
        <v>713</v>
      </c>
      <c r="V8" s="30" t="s">
        <v>78</v>
      </c>
      <c r="W8" s="5"/>
      <c r="X8" s="5"/>
      <c r="Y8" s="21" t="s">
        <v>18</v>
      </c>
      <c r="Z8" s="8">
        <v>0.68</v>
      </c>
      <c r="AA8" s="30" t="s">
        <v>83</v>
      </c>
      <c r="AB8" s="8"/>
      <c r="AC8" s="5"/>
      <c r="AD8" s="21" t="s">
        <v>25</v>
      </c>
      <c r="AE8" s="9">
        <v>3330.228404001999</v>
      </c>
      <c r="AF8" s="30" t="s">
        <v>78</v>
      </c>
      <c r="AG8" s="9"/>
      <c r="AH8" s="5"/>
      <c r="AI8" s="21" t="s">
        <v>26</v>
      </c>
      <c r="AJ8" s="10">
        <v>0.5</v>
      </c>
      <c r="AK8" s="11">
        <f t="shared" si="0"/>
        <v>0.5</v>
      </c>
      <c r="AL8" s="30" t="s">
        <v>78</v>
      </c>
      <c r="AM8" s="11"/>
      <c r="AN8" s="5"/>
      <c r="AO8" s="21" t="s">
        <v>27</v>
      </c>
      <c r="AP8" s="14">
        <v>98</v>
      </c>
      <c r="AQ8" s="30" t="s">
        <v>77</v>
      </c>
      <c r="AR8" s="9"/>
      <c r="AT8" s="21" t="s">
        <v>28</v>
      </c>
      <c r="AU8" s="6">
        <v>72</v>
      </c>
      <c r="AV8" s="30" t="s">
        <v>78</v>
      </c>
    </row>
    <row r="9" spans="1:48" ht="24" customHeight="1">
      <c r="A9" s="5" t="s">
        <v>17</v>
      </c>
      <c r="B9" s="6">
        <v>583.2733466010302</v>
      </c>
      <c r="C9" s="6"/>
      <c r="E9" s="21" t="s">
        <v>18</v>
      </c>
      <c r="F9" s="7">
        <v>536</v>
      </c>
      <c r="G9" s="30" t="s">
        <v>79</v>
      </c>
      <c r="H9" s="7"/>
      <c r="I9" s="5"/>
      <c r="J9" s="21" t="s">
        <v>20</v>
      </c>
      <c r="K9" s="7">
        <v>581</v>
      </c>
      <c r="L9" s="30" t="s">
        <v>78</v>
      </c>
      <c r="M9" s="7"/>
      <c r="N9" s="7"/>
      <c r="O9" s="21" t="s">
        <v>21</v>
      </c>
      <c r="P9" s="9">
        <v>806</v>
      </c>
      <c r="Q9" s="30" t="s">
        <v>78</v>
      </c>
      <c r="T9" s="21" t="s">
        <v>41</v>
      </c>
      <c r="U9" s="9">
        <v>740</v>
      </c>
      <c r="V9" s="30" t="s">
        <v>78</v>
      </c>
      <c r="W9" s="5"/>
      <c r="X9" s="5"/>
      <c r="Y9" s="20" t="s">
        <v>15</v>
      </c>
      <c r="Z9" s="8">
        <v>0.68440882728069985</v>
      </c>
      <c r="AA9" s="30" t="s">
        <v>77</v>
      </c>
      <c r="AB9" s="13"/>
      <c r="AC9" s="5"/>
      <c r="AD9" s="21" t="s">
        <v>29</v>
      </c>
      <c r="AE9" s="9">
        <v>3348</v>
      </c>
      <c r="AF9" s="30" t="s">
        <v>78</v>
      </c>
      <c r="AG9" s="9"/>
      <c r="AH9" s="5"/>
      <c r="AI9" s="23" t="s">
        <v>30</v>
      </c>
      <c r="AJ9" s="10">
        <v>0.47</v>
      </c>
      <c r="AK9" s="11">
        <f t="shared" si="0"/>
        <v>0.47</v>
      </c>
      <c r="AL9" s="30" t="s">
        <v>78</v>
      </c>
      <c r="AM9" s="11"/>
      <c r="AN9" s="5"/>
      <c r="AO9" s="21" t="s">
        <v>31</v>
      </c>
      <c r="AP9" s="9">
        <v>99</v>
      </c>
      <c r="AQ9" s="30" t="s">
        <v>78</v>
      </c>
      <c r="AR9" s="9"/>
      <c r="AT9" s="21" t="s">
        <v>32</v>
      </c>
      <c r="AU9" s="6">
        <v>75</v>
      </c>
      <c r="AV9" s="30" t="s">
        <v>78</v>
      </c>
    </row>
    <row r="10" spans="1:48" ht="24" customHeight="1">
      <c r="A10" s="5" t="s">
        <v>33</v>
      </c>
      <c r="B10" s="6">
        <v>587.66768676562992</v>
      </c>
      <c r="C10" s="6"/>
      <c r="E10" s="21" t="s">
        <v>17</v>
      </c>
      <c r="F10" s="7">
        <v>560</v>
      </c>
      <c r="G10" s="30" t="s">
        <v>78</v>
      </c>
      <c r="H10" s="6"/>
      <c r="I10" s="5"/>
      <c r="J10" s="20" t="s">
        <v>24</v>
      </c>
      <c r="K10" s="7">
        <v>585</v>
      </c>
      <c r="L10" s="30" t="s">
        <v>77</v>
      </c>
      <c r="M10" s="7"/>
      <c r="N10" s="7"/>
      <c r="O10" s="21" t="s">
        <v>39</v>
      </c>
      <c r="P10" s="9">
        <v>809</v>
      </c>
      <c r="Q10" s="30" t="s">
        <v>78</v>
      </c>
      <c r="T10" s="21" t="s">
        <v>32</v>
      </c>
      <c r="U10" s="9">
        <v>747</v>
      </c>
      <c r="V10" s="30" t="s">
        <v>78</v>
      </c>
      <c r="W10" s="5"/>
      <c r="X10" s="5"/>
      <c r="Y10" s="21" t="s">
        <v>14</v>
      </c>
      <c r="Z10" s="8">
        <v>0.69986507987698987</v>
      </c>
      <c r="AA10" s="30" t="s">
        <v>78</v>
      </c>
      <c r="AB10" s="13"/>
      <c r="AC10" s="5"/>
      <c r="AD10" s="21" t="s">
        <v>34</v>
      </c>
      <c r="AE10" s="9">
        <v>3362</v>
      </c>
      <c r="AF10" s="30" t="s">
        <v>78</v>
      </c>
      <c r="AG10" s="9"/>
      <c r="AH10" s="5"/>
      <c r="AI10" s="21" t="s">
        <v>28</v>
      </c>
      <c r="AJ10" s="10">
        <v>0.46</v>
      </c>
      <c r="AK10" s="11">
        <f t="shared" si="0"/>
        <v>0.46</v>
      </c>
      <c r="AL10" s="30" t="s">
        <v>78</v>
      </c>
      <c r="AM10" s="11"/>
      <c r="AN10" s="5"/>
      <c r="AO10" s="21" t="s">
        <v>35</v>
      </c>
      <c r="AP10" s="14">
        <v>100</v>
      </c>
      <c r="AQ10" s="30" t="s">
        <v>78</v>
      </c>
      <c r="AR10" s="14"/>
      <c r="AT10" s="21" t="s">
        <v>36</v>
      </c>
      <c r="AU10" s="6">
        <v>75</v>
      </c>
      <c r="AV10" s="30" t="s">
        <v>78</v>
      </c>
    </row>
    <row r="11" spans="1:48" ht="24" customHeight="1">
      <c r="A11" s="12" t="s">
        <v>37</v>
      </c>
      <c r="B11" s="7">
        <v>609</v>
      </c>
      <c r="C11" s="7"/>
      <c r="E11" s="21" t="s">
        <v>32</v>
      </c>
      <c r="F11" s="7">
        <v>565</v>
      </c>
      <c r="G11" s="30" t="s">
        <v>78</v>
      </c>
      <c r="H11" s="6"/>
      <c r="I11" s="5"/>
      <c r="J11" s="21" t="s">
        <v>33</v>
      </c>
      <c r="K11" s="7">
        <v>597</v>
      </c>
      <c r="L11" s="30" t="s">
        <v>78</v>
      </c>
      <c r="M11" s="7"/>
      <c r="N11" s="7"/>
      <c r="O11" s="21" t="s">
        <v>20</v>
      </c>
      <c r="P11" s="9">
        <v>810</v>
      </c>
      <c r="Q11" s="30" t="s">
        <v>78</v>
      </c>
      <c r="T11" s="21" t="s">
        <v>28</v>
      </c>
      <c r="U11" s="9">
        <v>751</v>
      </c>
      <c r="V11" s="30" t="s">
        <v>78</v>
      </c>
      <c r="W11" s="5"/>
      <c r="X11" s="5"/>
      <c r="Y11" s="20" t="s">
        <v>24</v>
      </c>
      <c r="Z11" s="8">
        <v>0.7</v>
      </c>
      <c r="AA11" s="30" t="s">
        <v>77</v>
      </c>
      <c r="AB11" s="8"/>
      <c r="AC11" s="5"/>
      <c r="AD11" s="20" t="s">
        <v>73</v>
      </c>
      <c r="AE11" s="9">
        <v>3398</v>
      </c>
      <c r="AF11" s="30" t="s">
        <v>77</v>
      </c>
      <c r="AG11" s="9"/>
      <c r="AH11" s="5"/>
      <c r="AI11" s="21" t="s">
        <v>32</v>
      </c>
      <c r="AJ11" s="10">
        <v>0.43</v>
      </c>
      <c r="AK11" s="11">
        <f t="shared" si="0"/>
        <v>0.43</v>
      </c>
      <c r="AL11" s="30" t="s">
        <v>78</v>
      </c>
      <c r="AM11" s="11"/>
      <c r="AN11" s="5"/>
      <c r="AO11" s="21" t="s">
        <v>39</v>
      </c>
      <c r="AP11" s="9">
        <v>101</v>
      </c>
      <c r="AQ11" s="30" t="s">
        <v>78</v>
      </c>
      <c r="AR11" s="9"/>
      <c r="AT11" s="21" t="s">
        <v>40</v>
      </c>
      <c r="AU11" s="6">
        <v>77</v>
      </c>
      <c r="AV11" s="30" t="s">
        <v>78</v>
      </c>
    </row>
    <row r="12" spans="1:48" ht="24" customHeight="1">
      <c r="A12" s="5" t="s">
        <v>21</v>
      </c>
      <c r="B12" s="6">
        <v>616.83970044851208</v>
      </c>
      <c r="C12" s="6"/>
      <c r="E12" s="21" t="s">
        <v>33</v>
      </c>
      <c r="F12" s="7">
        <v>574</v>
      </c>
      <c r="G12" s="30" t="s">
        <v>78</v>
      </c>
      <c r="H12" s="7"/>
      <c r="I12" s="5"/>
      <c r="J12" s="21" t="s">
        <v>21</v>
      </c>
      <c r="K12" s="7">
        <v>599</v>
      </c>
      <c r="L12" s="30" t="s">
        <v>78</v>
      </c>
      <c r="M12" s="7"/>
      <c r="N12" s="7"/>
      <c r="O12" s="21" t="s">
        <v>36</v>
      </c>
      <c r="P12" s="9">
        <v>811</v>
      </c>
      <c r="Q12" s="30" t="s">
        <v>78</v>
      </c>
      <c r="T12" s="22" t="s">
        <v>73</v>
      </c>
      <c r="U12" s="9">
        <v>775</v>
      </c>
      <c r="V12" s="30" t="s">
        <v>77</v>
      </c>
      <c r="W12" s="5"/>
      <c r="X12" s="5"/>
      <c r="Y12" s="21" t="s">
        <v>25</v>
      </c>
      <c r="Z12" s="8">
        <v>0.70894694061403596</v>
      </c>
      <c r="AA12" s="30" t="s">
        <v>78</v>
      </c>
      <c r="AB12" s="8"/>
      <c r="AC12" s="5"/>
      <c r="AD12" s="21" t="s">
        <v>38</v>
      </c>
      <c r="AE12" s="9">
        <v>3407</v>
      </c>
      <c r="AF12" s="30" t="s">
        <v>78</v>
      </c>
      <c r="AG12" s="14"/>
      <c r="AH12" s="5"/>
      <c r="AI12" s="21" t="s">
        <v>41</v>
      </c>
      <c r="AJ12" s="10">
        <v>0.36</v>
      </c>
      <c r="AK12" s="11">
        <f t="shared" si="0"/>
        <v>0.36</v>
      </c>
      <c r="AL12" s="30" t="s">
        <v>78</v>
      </c>
      <c r="AM12" s="11"/>
      <c r="AN12" s="21"/>
      <c r="AO12" s="20" t="s">
        <v>15</v>
      </c>
      <c r="AP12" s="14">
        <v>101</v>
      </c>
      <c r="AQ12" s="30" t="s">
        <v>77</v>
      </c>
      <c r="AR12" s="9"/>
      <c r="AT12" s="21" t="s">
        <v>43</v>
      </c>
      <c r="AU12" s="6">
        <v>77</v>
      </c>
      <c r="AV12" s="30" t="s">
        <v>78</v>
      </c>
    </row>
    <row r="13" spans="1:48" ht="24" customHeight="1">
      <c r="A13" s="5" t="s">
        <v>28</v>
      </c>
      <c r="B13" s="6">
        <v>617.51914924430901</v>
      </c>
      <c r="C13" s="6"/>
      <c r="E13" s="21" t="s">
        <v>28</v>
      </c>
      <c r="F13" s="7">
        <v>579</v>
      </c>
      <c r="G13" s="30" t="s">
        <v>78</v>
      </c>
      <c r="H13" s="7"/>
      <c r="I13" s="5"/>
      <c r="J13" s="22" t="s">
        <v>19</v>
      </c>
      <c r="K13" s="7">
        <v>600</v>
      </c>
      <c r="L13" s="30" t="s">
        <v>77</v>
      </c>
      <c r="M13" s="7"/>
      <c r="N13" s="7"/>
      <c r="O13" s="21" t="s">
        <v>32</v>
      </c>
      <c r="P13" s="9">
        <v>822</v>
      </c>
      <c r="Q13" s="30" t="s">
        <v>78</v>
      </c>
      <c r="T13" s="22" t="s">
        <v>18</v>
      </c>
      <c r="U13" s="9">
        <v>791</v>
      </c>
      <c r="V13" s="30" t="s">
        <v>79</v>
      </c>
      <c r="W13" s="5"/>
      <c r="X13" s="5"/>
      <c r="Y13" s="20" t="s">
        <v>33</v>
      </c>
      <c r="Z13" s="8">
        <v>0.71</v>
      </c>
      <c r="AA13" s="30" t="s">
        <v>78</v>
      </c>
      <c r="AB13" s="8"/>
      <c r="AC13" s="5"/>
      <c r="AD13" s="20" t="s">
        <v>27</v>
      </c>
      <c r="AE13" s="14">
        <v>3440</v>
      </c>
      <c r="AF13" s="30" t="s">
        <v>77</v>
      </c>
      <c r="AG13" s="9"/>
      <c r="AH13" s="5"/>
      <c r="AI13" s="21" t="s">
        <v>18</v>
      </c>
      <c r="AJ13" s="10">
        <v>0.31</v>
      </c>
      <c r="AK13" s="11">
        <f t="shared" si="0"/>
        <v>0.31</v>
      </c>
      <c r="AL13" s="30" t="s">
        <v>79</v>
      </c>
      <c r="AM13" s="11"/>
      <c r="AN13" s="5"/>
      <c r="AO13" s="20" t="s">
        <v>19</v>
      </c>
      <c r="AP13" s="14">
        <v>101</v>
      </c>
      <c r="AQ13" s="30" t="s">
        <v>77</v>
      </c>
      <c r="AR13" s="14"/>
      <c r="AT13" s="22" t="s">
        <v>18</v>
      </c>
      <c r="AU13" s="6">
        <v>77</v>
      </c>
      <c r="AV13" s="30" t="s">
        <v>79</v>
      </c>
    </row>
    <row r="14" spans="1:48" ht="24" customHeight="1">
      <c r="A14" s="5" t="s">
        <v>32</v>
      </c>
      <c r="B14" s="6">
        <v>620.68939144761021</v>
      </c>
      <c r="C14" s="6"/>
      <c r="E14" s="20" t="s">
        <v>85</v>
      </c>
      <c r="F14" s="7">
        <v>585</v>
      </c>
      <c r="G14" s="30" t="s">
        <v>77</v>
      </c>
      <c r="H14" s="7"/>
      <c r="I14" s="5"/>
      <c r="J14" s="22" t="s">
        <v>73</v>
      </c>
      <c r="K14" s="7">
        <v>607</v>
      </c>
      <c r="L14" s="30" t="s">
        <v>77</v>
      </c>
      <c r="M14" s="7"/>
      <c r="N14" s="7"/>
      <c r="O14" s="21" t="s">
        <v>17</v>
      </c>
      <c r="P14" s="9">
        <v>827</v>
      </c>
      <c r="Q14" s="30" t="s">
        <v>78</v>
      </c>
      <c r="T14" s="26" t="s">
        <v>42</v>
      </c>
      <c r="U14" s="9">
        <v>798</v>
      </c>
      <c r="V14" s="30" t="s">
        <v>78</v>
      </c>
      <c r="W14" s="5"/>
      <c r="X14" s="5"/>
      <c r="Y14" s="21" t="s">
        <v>20</v>
      </c>
      <c r="Z14" s="8">
        <v>0.72</v>
      </c>
      <c r="AA14" s="30" t="s">
        <v>78</v>
      </c>
      <c r="AB14" s="8"/>
      <c r="AC14" s="5"/>
      <c r="AD14" s="26" t="s">
        <v>42</v>
      </c>
      <c r="AE14" s="9">
        <v>3489</v>
      </c>
      <c r="AF14" s="30" t="s">
        <v>78</v>
      </c>
      <c r="AG14" s="9"/>
      <c r="AH14" s="5"/>
      <c r="AI14" s="26" t="s">
        <v>42</v>
      </c>
      <c r="AJ14" s="10">
        <v>0.19</v>
      </c>
      <c r="AK14" s="11">
        <f t="shared" si="0"/>
        <v>0.19</v>
      </c>
      <c r="AL14" s="30" t="s">
        <v>78</v>
      </c>
      <c r="AM14" s="11"/>
      <c r="AN14" s="5"/>
      <c r="AO14" s="26" t="s">
        <v>42</v>
      </c>
      <c r="AP14" s="14">
        <v>102</v>
      </c>
      <c r="AQ14" s="30" t="s">
        <v>78</v>
      </c>
      <c r="AR14" s="14"/>
      <c r="AT14" s="21" t="s">
        <v>41</v>
      </c>
      <c r="AU14" s="6">
        <v>78</v>
      </c>
      <c r="AV14" s="30" t="s">
        <v>78</v>
      </c>
    </row>
    <row r="15" spans="1:48" ht="24" customHeight="1">
      <c r="A15" s="12" t="s">
        <v>35</v>
      </c>
      <c r="B15" s="7">
        <v>621</v>
      </c>
      <c r="C15" s="7"/>
      <c r="E15" s="22" t="s">
        <v>19</v>
      </c>
      <c r="F15" s="7">
        <v>600</v>
      </c>
      <c r="G15" s="30" t="s">
        <v>77</v>
      </c>
      <c r="H15" s="6"/>
      <c r="I15" s="5"/>
      <c r="J15" s="22" t="s">
        <v>27</v>
      </c>
      <c r="K15" s="7">
        <v>609</v>
      </c>
      <c r="L15" s="30" t="s">
        <v>77</v>
      </c>
      <c r="M15" s="7"/>
      <c r="N15" s="7"/>
      <c r="O15" s="22" t="s">
        <v>18</v>
      </c>
      <c r="P15" s="9">
        <v>832</v>
      </c>
      <c r="Q15" s="30" t="s">
        <v>79</v>
      </c>
      <c r="T15" s="21" t="s">
        <v>39</v>
      </c>
      <c r="U15" s="9">
        <v>799</v>
      </c>
      <c r="V15" s="30" t="s">
        <v>78</v>
      </c>
      <c r="W15" s="5"/>
      <c r="X15" s="5"/>
      <c r="Y15" s="20" t="s">
        <v>35</v>
      </c>
      <c r="Z15" s="8">
        <v>0.72</v>
      </c>
      <c r="AA15" s="30" t="s">
        <v>78</v>
      </c>
      <c r="AB15" s="8"/>
      <c r="AC15" s="5"/>
      <c r="AD15" s="23" t="s">
        <v>45</v>
      </c>
      <c r="AE15" s="9">
        <v>3510</v>
      </c>
      <c r="AF15" s="30" t="s">
        <v>78</v>
      </c>
      <c r="AG15" s="9"/>
      <c r="AH15" s="5"/>
      <c r="AI15" s="21" t="s">
        <v>33</v>
      </c>
      <c r="AJ15" s="10">
        <v>0.18</v>
      </c>
      <c r="AK15" s="11">
        <f t="shared" si="0"/>
        <v>0.18</v>
      </c>
      <c r="AL15" s="30" t="s">
        <v>78</v>
      </c>
      <c r="AM15" s="11"/>
      <c r="AN15" s="5"/>
      <c r="AO15" s="21" t="s">
        <v>44</v>
      </c>
      <c r="AP15" s="9">
        <v>102</v>
      </c>
      <c r="AQ15" s="30" t="s">
        <v>78</v>
      </c>
      <c r="AR15" s="14"/>
      <c r="AT15" s="21" t="s">
        <v>44</v>
      </c>
      <c r="AU15" s="6">
        <v>79</v>
      </c>
      <c r="AV15" s="30" t="s">
        <v>78</v>
      </c>
    </row>
    <row r="16" spans="1:48" ht="24" customHeight="1">
      <c r="A16" s="5" t="s">
        <v>46</v>
      </c>
      <c r="B16" s="6">
        <v>652.160797392321</v>
      </c>
      <c r="C16" s="6"/>
      <c r="E16" s="21" t="s">
        <v>46</v>
      </c>
      <c r="F16" s="7">
        <v>604</v>
      </c>
      <c r="G16" s="30" t="s">
        <v>78</v>
      </c>
      <c r="H16" s="6"/>
      <c r="I16" s="5"/>
      <c r="J16" s="20" t="s">
        <v>35</v>
      </c>
      <c r="K16" s="7">
        <v>612</v>
      </c>
      <c r="L16" s="30" t="s">
        <v>78</v>
      </c>
      <c r="M16" s="7"/>
      <c r="N16" s="7"/>
      <c r="O16" s="21" t="s">
        <v>28</v>
      </c>
      <c r="P16" s="9">
        <v>832</v>
      </c>
      <c r="Q16" s="30" t="s">
        <v>78</v>
      </c>
      <c r="T16" s="22" t="s">
        <v>33</v>
      </c>
      <c r="U16" s="9">
        <v>808</v>
      </c>
      <c r="V16" s="30" t="s">
        <v>78</v>
      </c>
      <c r="W16" s="5"/>
      <c r="X16" s="5"/>
      <c r="Y16" s="20" t="s">
        <v>46</v>
      </c>
      <c r="Z16" s="8">
        <v>0.72</v>
      </c>
      <c r="AA16" s="30" t="s">
        <v>78</v>
      </c>
      <c r="AB16" s="13"/>
      <c r="AC16" s="5"/>
      <c r="AD16" s="20" t="s">
        <v>35</v>
      </c>
      <c r="AE16" s="14">
        <v>3515</v>
      </c>
      <c r="AF16" s="30" t="s">
        <v>78</v>
      </c>
      <c r="AG16" s="14"/>
      <c r="AH16" s="5"/>
      <c r="AI16" s="21" t="s">
        <v>46</v>
      </c>
      <c r="AJ16" s="10">
        <v>0.17</v>
      </c>
      <c r="AK16" s="11">
        <f t="shared" si="0"/>
        <v>0.17</v>
      </c>
      <c r="AL16" s="30" t="s">
        <v>78</v>
      </c>
      <c r="AM16" s="11"/>
      <c r="AN16" s="5"/>
      <c r="AO16" s="23" t="s">
        <v>45</v>
      </c>
      <c r="AP16" s="9">
        <v>104</v>
      </c>
      <c r="AQ16" s="30" t="s">
        <v>78</v>
      </c>
      <c r="AR16" s="14"/>
      <c r="AT16" s="22" t="s">
        <v>73</v>
      </c>
      <c r="AU16" s="6">
        <v>79</v>
      </c>
      <c r="AV16" s="30" t="s">
        <v>77</v>
      </c>
    </row>
    <row r="17" spans="1:48" ht="24" customHeight="1">
      <c r="A17" s="5" t="s">
        <v>23</v>
      </c>
      <c r="B17" s="6">
        <v>655.02427560847298</v>
      </c>
      <c r="C17" s="6"/>
      <c r="E17" s="22" t="s">
        <v>73</v>
      </c>
      <c r="F17" s="7">
        <v>607</v>
      </c>
      <c r="G17" s="30" t="s">
        <v>77</v>
      </c>
      <c r="H17" s="6"/>
      <c r="I17" s="5"/>
      <c r="J17" s="21" t="s">
        <v>32</v>
      </c>
      <c r="K17" s="7">
        <v>624</v>
      </c>
      <c r="L17" s="30" t="s">
        <v>78</v>
      </c>
      <c r="M17" s="7"/>
      <c r="N17" s="7"/>
      <c r="O17" s="26" t="s">
        <v>42</v>
      </c>
      <c r="P17" s="9">
        <v>834</v>
      </c>
      <c r="Q17" s="30" t="s">
        <v>78</v>
      </c>
      <c r="T17" s="21" t="s">
        <v>53</v>
      </c>
      <c r="U17" s="9">
        <v>814</v>
      </c>
      <c r="V17" s="30" t="s">
        <v>78</v>
      </c>
      <c r="W17" s="5"/>
      <c r="X17" s="5"/>
      <c r="Y17" s="20" t="s">
        <v>27</v>
      </c>
      <c r="Z17" s="8">
        <v>0.73</v>
      </c>
      <c r="AA17" s="30" t="s">
        <v>77</v>
      </c>
      <c r="AB17" s="13"/>
      <c r="AC17" s="5"/>
      <c r="AD17" s="21" t="s">
        <v>52</v>
      </c>
      <c r="AE17" s="9">
        <v>3523</v>
      </c>
      <c r="AF17" s="30" t="s">
        <v>78</v>
      </c>
      <c r="AG17" s="9"/>
      <c r="AH17" s="5"/>
      <c r="AI17" s="21" t="s">
        <v>48</v>
      </c>
      <c r="AJ17" s="10">
        <v>0.17</v>
      </c>
      <c r="AK17" s="11">
        <f t="shared" si="0"/>
        <v>0.17</v>
      </c>
      <c r="AL17" s="30" t="s">
        <v>78</v>
      </c>
      <c r="AM17" s="11"/>
      <c r="AN17" s="5"/>
      <c r="AO17" s="21" t="s">
        <v>29</v>
      </c>
      <c r="AP17" s="9">
        <v>104</v>
      </c>
      <c r="AQ17" s="30" t="s">
        <v>78</v>
      </c>
      <c r="AR17" s="9"/>
      <c r="AT17" s="21" t="s">
        <v>47</v>
      </c>
      <c r="AU17" s="6">
        <v>83</v>
      </c>
      <c r="AV17" s="30" t="s">
        <v>78</v>
      </c>
    </row>
    <row r="18" spans="1:48" ht="24" customHeight="1">
      <c r="A18" s="5" t="s">
        <v>31</v>
      </c>
      <c r="B18" s="6">
        <v>656.78616533699903</v>
      </c>
      <c r="C18" s="6"/>
      <c r="E18" s="26" t="s">
        <v>42</v>
      </c>
      <c r="F18" s="7">
        <v>608</v>
      </c>
      <c r="G18" s="30" t="s">
        <v>78</v>
      </c>
      <c r="H18" s="7"/>
      <c r="I18" s="5"/>
      <c r="J18" s="26" t="s">
        <v>42</v>
      </c>
      <c r="K18" s="7">
        <v>635</v>
      </c>
      <c r="L18" s="30" t="s">
        <v>78</v>
      </c>
      <c r="M18" s="7"/>
      <c r="N18" s="7"/>
      <c r="O18" s="21" t="s">
        <v>44</v>
      </c>
      <c r="P18" s="9">
        <v>836</v>
      </c>
      <c r="Q18" s="30" t="s">
        <v>78</v>
      </c>
      <c r="T18" s="21" t="s">
        <v>44</v>
      </c>
      <c r="U18" s="9">
        <v>818</v>
      </c>
      <c r="V18" s="30" t="s">
        <v>78</v>
      </c>
      <c r="W18" s="5"/>
      <c r="X18" s="5"/>
      <c r="Y18" s="21" t="s">
        <v>50</v>
      </c>
      <c r="Z18" s="8">
        <v>0.73278984090678301</v>
      </c>
      <c r="AA18" s="30" t="s">
        <v>78</v>
      </c>
      <c r="AB18" s="8"/>
      <c r="AC18" s="5"/>
      <c r="AD18" s="21" t="s">
        <v>41</v>
      </c>
      <c r="AE18" s="9">
        <v>3531</v>
      </c>
      <c r="AF18" s="30" t="s">
        <v>78</v>
      </c>
      <c r="AG18" s="9"/>
      <c r="AH18" s="5"/>
      <c r="AI18" s="23" t="s">
        <v>45</v>
      </c>
      <c r="AJ18" s="10">
        <v>0.16</v>
      </c>
      <c r="AK18" s="11">
        <f t="shared" si="0"/>
        <v>0.16</v>
      </c>
      <c r="AL18" s="30" t="s">
        <v>78</v>
      </c>
      <c r="AM18" s="11"/>
      <c r="AN18" s="5"/>
      <c r="AO18" s="21" t="s">
        <v>21</v>
      </c>
      <c r="AP18" s="9">
        <v>105</v>
      </c>
      <c r="AQ18" s="30" t="s">
        <v>78</v>
      </c>
      <c r="AR18" s="9"/>
      <c r="AT18" s="21" t="s">
        <v>48</v>
      </c>
      <c r="AU18" s="6">
        <v>85</v>
      </c>
      <c r="AV18" s="30" t="s">
        <v>78</v>
      </c>
    </row>
    <row r="19" spans="1:48" ht="24" customHeight="1">
      <c r="A19" s="5" t="s">
        <v>29</v>
      </c>
      <c r="B19" s="6">
        <v>697.02746782029885</v>
      </c>
      <c r="C19" s="6"/>
      <c r="E19" s="22" t="s">
        <v>27</v>
      </c>
      <c r="F19" s="7">
        <v>609</v>
      </c>
      <c r="G19" s="30" t="s">
        <v>77</v>
      </c>
      <c r="H19" s="6"/>
      <c r="I19" s="5"/>
      <c r="J19" s="21" t="s">
        <v>46</v>
      </c>
      <c r="K19" s="7">
        <v>637</v>
      </c>
      <c r="L19" s="30" t="s">
        <v>78</v>
      </c>
      <c r="M19" s="7"/>
      <c r="N19" s="7"/>
      <c r="O19" s="22" t="s">
        <v>33</v>
      </c>
      <c r="P19" s="9">
        <v>840</v>
      </c>
      <c r="Q19" s="30" t="s">
        <v>78</v>
      </c>
      <c r="T19" s="21" t="s">
        <v>17</v>
      </c>
      <c r="U19" s="9">
        <v>819</v>
      </c>
      <c r="V19" s="30" t="s">
        <v>78</v>
      </c>
      <c r="W19" s="5"/>
      <c r="X19" s="5"/>
      <c r="Y19" s="21" t="s">
        <v>39</v>
      </c>
      <c r="Z19" s="8">
        <v>0.74</v>
      </c>
      <c r="AA19" s="30" t="s">
        <v>78</v>
      </c>
      <c r="AB19" s="8"/>
      <c r="AC19" s="5"/>
      <c r="AD19" s="21" t="s">
        <v>18</v>
      </c>
      <c r="AE19" s="9">
        <v>3538</v>
      </c>
      <c r="AF19" s="30" t="s">
        <v>79</v>
      </c>
      <c r="AG19" s="14"/>
      <c r="AH19" s="5"/>
      <c r="AI19" s="21" t="s">
        <v>49</v>
      </c>
      <c r="AJ19" s="10">
        <v>0.15</v>
      </c>
      <c r="AK19" s="11">
        <f t="shared" si="0"/>
        <v>0.15</v>
      </c>
      <c r="AL19" s="30" t="s">
        <v>78</v>
      </c>
      <c r="AM19" s="11"/>
      <c r="AN19" s="5"/>
      <c r="AO19" s="21" t="s">
        <v>33</v>
      </c>
      <c r="AP19" s="9">
        <v>106</v>
      </c>
      <c r="AQ19" s="30" t="s">
        <v>78</v>
      </c>
      <c r="AR19" s="9"/>
      <c r="AT19" s="26" t="s">
        <v>42</v>
      </c>
      <c r="AU19" s="7">
        <v>85</v>
      </c>
      <c r="AV19" s="30" t="s">
        <v>78</v>
      </c>
    </row>
    <row r="20" spans="1:48" ht="24" customHeight="1">
      <c r="A20" s="5" t="s">
        <v>48</v>
      </c>
      <c r="B20" s="6">
        <v>699.00974413699714</v>
      </c>
      <c r="C20" s="6"/>
      <c r="E20" s="20" t="s">
        <v>35</v>
      </c>
      <c r="F20" s="7">
        <v>612</v>
      </c>
      <c r="G20" s="30" t="s">
        <v>77</v>
      </c>
      <c r="H20" s="6"/>
      <c r="I20" s="5"/>
      <c r="J20" s="21" t="s">
        <v>28</v>
      </c>
      <c r="K20" s="7">
        <v>641</v>
      </c>
      <c r="L20" s="30" t="s">
        <v>78</v>
      </c>
      <c r="M20" s="7"/>
      <c r="N20" s="7"/>
      <c r="O20" s="21" t="s">
        <v>29</v>
      </c>
      <c r="P20" s="9">
        <v>843</v>
      </c>
      <c r="Q20" s="30" t="s">
        <v>78</v>
      </c>
      <c r="T20" s="21" t="s">
        <v>29</v>
      </c>
      <c r="U20" s="9">
        <v>820</v>
      </c>
      <c r="V20" s="30" t="s">
        <v>78</v>
      </c>
      <c r="W20" s="5"/>
      <c r="X20" s="5"/>
      <c r="Y20" s="21" t="s">
        <v>21</v>
      </c>
      <c r="Z20" s="8">
        <v>0.74</v>
      </c>
      <c r="AA20" s="30" t="s">
        <v>78</v>
      </c>
      <c r="AB20" s="8"/>
      <c r="AC20" s="5"/>
      <c r="AD20" s="21" t="s">
        <v>33</v>
      </c>
      <c r="AE20" s="9">
        <v>3589</v>
      </c>
      <c r="AF20" s="30" t="s">
        <v>78</v>
      </c>
      <c r="AG20" s="9"/>
      <c r="AH20" s="5"/>
      <c r="AI20" s="21" t="s">
        <v>29</v>
      </c>
      <c r="AJ20" s="10">
        <v>0.15</v>
      </c>
      <c r="AK20" s="11">
        <f t="shared" si="0"/>
        <v>0.15</v>
      </c>
      <c r="AL20" s="30" t="s">
        <v>78</v>
      </c>
      <c r="AM20" s="11"/>
      <c r="AN20" s="5"/>
      <c r="AO20" s="21" t="s">
        <v>18</v>
      </c>
      <c r="AP20" s="9">
        <v>108</v>
      </c>
      <c r="AQ20" s="30" t="s">
        <v>78</v>
      </c>
      <c r="AR20" s="9"/>
      <c r="AT20" s="22" t="s">
        <v>19</v>
      </c>
      <c r="AU20" s="7">
        <v>87</v>
      </c>
      <c r="AV20" s="30" t="s">
        <v>77</v>
      </c>
    </row>
    <row r="21" spans="1:48" ht="24" customHeight="1">
      <c r="A21" s="5" t="s">
        <v>41</v>
      </c>
      <c r="B21" s="6">
        <v>717.91559320499698</v>
      </c>
      <c r="C21" s="6"/>
      <c r="D21" s="33"/>
      <c r="E21" s="71" t="s">
        <v>88</v>
      </c>
      <c r="F21" s="7">
        <v>629</v>
      </c>
      <c r="G21" s="30" t="s">
        <v>77</v>
      </c>
      <c r="H21" s="6"/>
      <c r="I21" s="5"/>
      <c r="J21" s="21" t="s">
        <v>23</v>
      </c>
      <c r="K21" s="7">
        <v>649</v>
      </c>
      <c r="L21" s="30" t="s">
        <v>78</v>
      </c>
      <c r="M21" s="7"/>
      <c r="N21" s="7"/>
      <c r="O21" s="21" t="s">
        <v>53</v>
      </c>
      <c r="P21" s="9">
        <v>843</v>
      </c>
      <c r="Q21" s="30" t="s">
        <v>78</v>
      </c>
      <c r="T21" s="21" t="s">
        <v>47</v>
      </c>
      <c r="U21" s="9">
        <v>825</v>
      </c>
      <c r="V21" s="30" t="s">
        <v>78</v>
      </c>
      <c r="W21" s="5"/>
      <c r="X21" s="33"/>
      <c r="Y21" s="71" t="s">
        <v>74</v>
      </c>
      <c r="Z21" s="8">
        <v>0.75</v>
      </c>
      <c r="AA21" s="30" t="s">
        <v>77</v>
      </c>
      <c r="AB21" s="8"/>
      <c r="AC21" s="5"/>
      <c r="AD21" s="20" t="s">
        <v>15</v>
      </c>
      <c r="AE21" s="14">
        <v>3622</v>
      </c>
      <c r="AF21" s="30" t="s">
        <v>77</v>
      </c>
      <c r="AG21" s="14"/>
      <c r="AH21" s="5"/>
      <c r="AI21" s="21" t="s">
        <v>51</v>
      </c>
      <c r="AJ21" s="10">
        <v>0.147571736785402</v>
      </c>
      <c r="AK21" s="11">
        <f t="shared" si="0"/>
        <v>0.147571736785402</v>
      </c>
      <c r="AL21" s="30" t="s">
        <v>78</v>
      </c>
      <c r="AM21" s="11"/>
      <c r="AN21" s="5"/>
      <c r="AO21" s="21" t="s">
        <v>55</v>
      </c>
      <c r="AP21" s="9">
        <v>108</v>
      </c>
      <c r="AQ21" s="30" t="s">
        <v>78</v>
      </c>
      <c r="AR21" s="9"/>
      <c r="AT21" s="21" t="s">
        <v>53</v>
      </c>
      <c r="AU21" s="6">
        <v>88</v>
      </c>
      <c r="AV21" s="30" t="s">
        <v>78</v>
      </c>
    </row>
    <row r="22" spans="1:48" ht="24" customHeight="1">
      <c r="A22" s="5" t="s">
        <v>40</v>
      </c>
      <c r="B22" s="6">
        <v>725.93150893056202</v>
      </c>
      <c r="C22" s="6"/>
      <c r="E22" s="21" t="s">
        <v>23</v>
      </c>
      <c r="F22" s="7">
        <v>638</v>
      </c>
      <c r="G22" s="30" t="s">
        <v>78</v>
      </c>
      <c r="H22" s="6"/>
      <c r="I22" s="33"/>
      <c r="J22" s="71" t="s">
        <v>74</v>
      </c>
      <c r="K22" s="7">
        <v>652</v>
      </c>
      <c r="L22" s="30" t="s">
        <v>77</v>
      </c>
      <c r="M22" s="7"/>
      <c r="N22" s="7"/>
      <c r="O22" s="21" t="s">
        <v>23</v>
      </c>
      <c r="P22" s="9">
        <v>849</v>
      </c>
      <c r="Q22" s="30" t="s">
        <v>78</v>
      </c>
      <c r="T22" s="22" t="s">
        <v>55</v>
      </c>
      <c r="U22" s="9">
        <v>830</v>
      </c>
      <c r="V22" s="30" t="s">
        <v>78</v>
      </c>
      <c r="W22" s="5"/>
      <c r="X22" s="5"/>
      <c r="Y22" s="21" t="s">
        <v>44</v>
      </c>
      <c r="Z22" s="8">
        <v>0.75</v>
      </c>
      <c r="AA22" s="30" t="s">
        <v>78</v>
      </c>
      <c r="AB22" s="8"/>
      <c r="AC22" s="5"/>
      <c r="AD22" s="21" t="s">
        <v>56</v>
      </c>
      <c r="AE22" s="9">
        <v>3673</v>
      </c>
      <c r="AF22" s="30" t="s">
        <v>78</v>
      </c>
      <c r="AG22" s="9"/>
      <c r="AH22" s="5"/>
      <c r="AI22" s="20" t="s">
        <v>24</v>
      </c>
      <c r="AJ22" s="15">
        <v>0.14499999999999999</v>
      </c>
      <c r="AK22" s="11">
        <f t="shared" si="0"/>
        <v>0.14499999999999999</v>
      </c>
      <c r="AL22" s="30" t="s">
        <v>77</v>
      </c>
      <c r="AM22" s="11"/>
      <c r="AN22" s="33"/>
      <c r="AO22" s="71" t="s">
        <v>74</v>
      </c>
      <c r="AP22" s="9">
        <v>109</v>
      </c>
      <c r="AQ22" s="30" t="s">
        <v>77</v>
      </c>
      <c r="AR22" s="9"/>
      <c r="AS22" s="33"/>
      <c r="AT22" s="71" t="s">
        <v>74</v>
      </c>
      <c r="AU22" s="6">
        <v>88</v>
      </c>
      <c r="AV22" s="30" t="s">
        <v>77</v>
      </c>
    </row>
    <row r="23" spans="1:48" ht="24" customHeight="1">
      <c r="A23" s="5" t="s">
        <v>53</v>
      </c>
      <c r="B23" s="6">
        <v>726.09157542913113</v>
      </c>
      <c r="C23" s="6"/>
      <c r="E23" s="21" t="s">
        <v>41</v>
      </c>
      <c r="F23" s="7">
        <v>646</v>
      </c>
      <c r="G23" s="30" t="s">
        <v>78</v>
      </c>
      <c r="H23" s="6"/>
      <c r="I23" s="5"/>
      <c r="J23" s="21" t="s">
        <v>31</v>
      </c>
      <c r="K23" s="7">
        <v>656.78616533699903</v>
      </c>
      <c r="L23" s="30" t="s">
        <v>78</v>
      </c>
      <c r="M23" s="7"/>
      <c r="O23" s="21" t="s">
        <v>47</v>
      </c>
      <c r="P23" s="9">
        <v>862</v>
      </c>
      <c r="Q23" s="30" t="s">
        <v>78</v>
      </c>
      <c r="T23" s="21" t="s">
        <v>51</v>
      </c>
      <c r="U23" s="9">
        <v>831</v>
      </c>
      <c r="V23" s="30" t="s">
        <v>78</v>
      </c>
      <c r="W23" s="5"/>
      <c r="Y23" s="23" t="s">
        <v>45</v>
      </c>
      <c r="Z23" s="8">
        <v>0.752</v>
      </c>
      <c r="AA23" s="30" t="s">
        <v>78</v>
      </c>
      <c r="AB23" s="8"/>
      <c r="AC23" s="5"/>
      <c r="AD23" s="21" t="s">
        <v>21</v>
      </c>
      <c r="AE23" s="9">
        <v>3680</v>
      </c>
      <c r="AF23" s="30" t="s">
        <v>78</v>
      </c>
      <c r="AG23" s="9"/>
      <c r="AH23" s="5"/>
      <c r="AI23" s="21" t="s">
        <v>44</v>
      </c>
      <c r="AJ23" s="10">
        <v>0.13</v>
      </c>
      <c r="AK23" s="11">
        <f t="shared" si="0"/>
        <v>0.13</v>
      </c>
      <c r="AL23" s="30" t="s">
        <v>78</v>
      </c>
      <c r="AM23" s="11"/>
      <c r="AN23" s="5"/>
      <c r="AO23" s="21" t="s">
        <v>53</v>
      </c>
      <c r="AP23" s="9">
        <v>110</v>
      </c>
      <c r="AQ23" s="30" t="s">
        <v>78</v>
      </c>
      <c r="AR23" s="9"/>
      <c r="AT23" s="22" t="s">
        <v>24</v>
      </c>
      <c r="AU23" s="6">
        <v>89</v>
      </c>
      <c r="AV23" s="30" t="s">
        <v>77</v>
      </c>
    </row>
    <row r="24" spans="1:48" ht="24" customHeight="1">
      <c r="A24" s="5" t="s">
        <v>51</v>
      </c>
      <c r="B24" s="6">
        <v>748.98088551287719</v>
      </c>
      <c r="C24" s="6"/>
      <c r="E24" s="21" t="s">
        <v>31</v>
      </c>
      <c r="F24" s="7">
        <v>656.78616533699903</v>
      </c>
      <c r="G24" s="30" t="s">
        <v>78</v>
      </c>
      <c r="H24" s="6"/>
      <c r="I24" s="5"/>
      <c r="J24" s="21" t="s">
        <v>29</v>
      </c>
      <c r="K24" s="7">
        <v>679</v>
      </c>
      <c r="L24" s="30" t="s">
        <v>78</v>
      </c>
      <c r="M24" s="7"/>
      <c r="N24" s="33"/>
      <c r="O24" s="71" t="s">
        <v>74</v>
      </c>
      <c r="P24" s="9">
        <v>874</v>
      </c>
      <c r="Q24" s="30" t="s">
        <v>77</v>
      </c>
      <c r="T24" s="21" t="s">
        <v>23</v>
      </c>
      <c r="U24" s="9">
        <v>835</v>
      </c>
      <c r="V24" s="30" t="s">
        <v>78</v>
      </c>
      <c r="W24" s="5"/>
      <c r="X24" s="5"/>
      <c r="Y24" s="20" t="s">
        <v>73</v>
      </c>
      <c r="Z24" s="8">
        <v>0.76</v>
      </c>
      <c r="AA24" s="30" t="s">
        <v>77</v>
      </c>
      <c r="AB24" s="8"/>
      <c r="AC24" s="5"/>
      <c r="AD24" s="21" t="s">
        <v>54</v>
      </c>
      <c r="AE24" s="14">
        <v>3695</v>
      </c>
      <c r="AF24" s="30" t="s">
        <v>78</v>
      </c>
      <c r="AG24" s="9"/>
      <c r="AH24" s="5"/>
      <c r="AI24" s="21" t="s">
        <v>53</v>
      </c>
      <c r="AJ24" s="10">
        <v>0.13</v>
      </c>
      <c r="AK24" s="11">
        <f t="shared" si="0"/>
        <v>0.13</v>
      </c>
      <c r="AL24" s="30" t="s">
        <v>78</v>
      </c>
      <c r="AM24" s="11"/>
      <c r="AN24" s="5"/>
      <c r="AO24" s="21" t="s">
        <v>14</v>
      </c>
      <c r="AP24" s="9">
        <v>113</v>
      </c>
      <c r="AQ24" s="30" t="s">
        <v>78</v>
      </c>
      <c r="AR24" s="9"/>
      <c r="AS24" s="24"/>
      <c r="AT24" s="21" t="s">
        <v>29</v>
      </c>
      <c r="AU24" s="6">
        <v>89</v>
      </c>
      <c r="AV24" s="30" t="s">
        <v>78</v>
      </c>
    </row>
    <row r="25" spans="1:48" ht="24" customHeight="1">
      <c r="E25" s="21" t="s">
        <v>29</v>
      </c>
      <c r="F25" s="7">
        <v>661</v>
      </c>
      <c r="G25" s="30" t="s">
        <v>78</v>
      </c>
      <c r="H25" s="6"/>
      <c r="I25" s="5"/>
      <c r="J25" s="21" t="s">
        <v>40</v>
      </c>
      <c r="K25" s="7">
        <v>694</v>
      </c>
      <c r="L25" s="30" t="s">
        <v>78</v>
      </c>
      <c r="M25" s="7"/>
      <c r="N25" s="7"/>
      <c r="O25" s="22" t="s">
        <v>55</v>
      </c>
      <c r="P25" s="9">
        <v>876</v>
      </c>
      <c r="Q25" s="30" t="s">
        <v>77</v>
      </c>
      <c r="S25" s="33"/>
      <c r="T25" s="71" t="s">
        <v>74</v>
      </c>
      <c r="U25" s="9">
        <v>842</v>
      </c>
      <c r="V25" s="30" t="s">
        <v>77</v>
      </c>
      <c r="W25" s="5"/>
      <c r="X25" s="5"/>
      <c r="Y25" s="26" t="s">
        <v>42</v>
      </c>
      <c r="Z25" s="8">
        <v>0.76</v>
      </c>
      <c r="AA25" s="30" t="s">
        <v>78</v>
      </c>
      <c r="AB25" s="8"/>
      <c r="AC25" s="5"/>
      <c r="AD25" s="21" t="s">
        <v>57</v>
      </c>
      <c r="AE25" s="9">
        <v>3717</v>
      </c>
      <c r="AF25" s="30" t="s">
        <v>78</v>
      </c>
      <c r="AG25" s="9"/>
      <c r="AH25" s="33"/>
      <c r="AI25" s="71" t="s">
        <v>74</v>
      </c>
      <c r="AJ25" s="10">
        <v>0.11799999999999999</v>
      </c>
      <c r="AK25" s="11">
        <f t="shared" si="0"/>
        <v>0.11799999999999999</v>
      </c>
      <c r="AL25" s="30" t="s">
        <v>77</v>
      </c>
      <c r="AM25" s="11"/>
      <c r="AN25" s="5"/>
      <c r="AO25" s="21" t="s">
        <v>20</v>
      </c>
      <c r="AP25" s="9">
        <v>114</v>
      </c>
      <c r="AQ25" s="30" t="s">
        <v>78</v>
      </c>
      <c r="AR25" s="9"/>
      <c r="AT25" s="21" t="s">
        <v>23</v>
      </c>
      <c r="AU25" s="6">
        <v>90</v>
      </c>
      <c r="AV25" s="30" t="s">
        <v>78</v>
      </c>
    </row>
    <row r="26" spans="1:48" ht="24" customHeight="1">
      <c r="E26" s="21" t="s">
        <v>40</v>
      </c>
      <c r="F26" s="7">
        <v>686</v>
      </c>
      <c r="G26" s="30" t="s">
        <v>78</v>
      </c>
      <c r="H26" s="6"/>
      <c r="I26" s="5"/>
      <c r="J26" s="21" t="s">
        <v>41</v>
      </c>
      <c r="K26" s="7">
        <v>695</v>
      </c>
      <c r="L26" s="30" t="s">
        <v>78</v>
      </c>
      <c r="M26" s="7"/>
      <c r="N26" s="7"/>
      <c r="O26" s="21" t="s">
        <v>48</v>
      </c>
      <c r="P26" s="9">
        <v>879</v>
      </c>
      <c r="Q26" s="30" t="s">
        <v>78</v>
      </c>
      <c r="T26" s="21" t="s">
        <v>48</v>
      </c>
      <c r="U26" s="9">
        <v>852</v>
      </c>
      <c r="V26" s="30" t="s">
        <v>78</v>
      </c>
      <c r="W26" s="5"/>
      <c r="X26" s="5"/>
      <c r="Y26" s="21" t="s">
        <v>31</v>
      </c>
      <c r="Z26" s="8">
        <v>0.76906097796802997</v>
      </c>
      <c r="AA26" s="30" t="s">
        <v>78</v>
      </c>
      <c r="AB26" s="8"/>
      <c r="AC26" s="33"/>
      <c r="AD26" s="71" t="s">
        <v>74</v>
      </c>
      <c r="AE26" s="9">
        <v>3718</v>
      </c>
      <c r="AF26" s="30" t="s">
        <v>77</v>
      </c>
      <c r="AG26" s="9"/>
      <c r="AH26" s="5"/>
      <c r="AI26" s="21" t="s">
        <v>23</v>
      </c>
      <c r="AJ26" s="10">
        <v>0.11</v>
      </c>
      <c r="AK26" s="11">
        <f t="shared" si="0"/>
        <v>0.11</v>
      </c>
      <c r="AL26" s="30" t="s">
        <v>78</v>
      </c>
      <c r="AM26" s="16"/>
      <c r="AN26" s="5"/>
      <c r="AO26" s="20" t="s">
        <v>73</v>
      </c>
      <c r="AP26" s="9">
        <v>115</v>
      </c>
      <c r="AQ26" s="30" t="s">
        <v>77</v>
      </c>
      <c r="AR26" s="9"/>
      <c r="AT26" s="21" t="s">
        <v>46</v>
      </c>
      <c r="AU26" s="6">
        <v>91</v>
      </c>
      <c r="AV26" s="30" t="s">
        <v>78</v>
      </c>
    </row>
    <row r="27" spans="1:48" ht="24" customHeight="1">
      <c r="E27" s="21" t="s">
        <v>53</v>
      </c>
      <c r="F27" s="7">
        <v>707</v>
      </c>
      <c r="G27" s="30" t="s">
        <v>78</v>
      </c>
      <c r="H27" s="6"/>
      <c r="I27" s="5"/>
      <c r="J27" s="21" t="s">
        <v>53</v>
      </c>
      <c r="K27" s="7">
        <v>731</v>
      </c>
      <c r="L27" s="30" t="s">
        <v>78</v>
      </c>
      <c r="M27" s="7"/>
      <c r="N27" s="5"/>
      <c r="Q27" s="30"/>
      <c r="V27" s="31"/>
      <c r="W27" s="5"/>
      <c r="X27" s="5"/>
      <c r="Y27" s="21" t="s">
        <v>32</v>
      </c>
      <c r="Z27" s="8">
        <v>0.77</v>
      </c>
      <c r="AA27" s="30" t="s">
        <v>78</v>
      </c>
      <c r="AB27" s="8"/>
      <c r="AC27" s="5"/>
      <c r="AD27" s="21" t="s">
        <v>28</v>
      </c>
      <c r="AE27" s="9">
        <v>3815</v>
      </c>
      <c r="AF27" s="30" t="s">
        <v>78</v>
      </c>
      <c r="AG27" s="9"/>
      <c r="AH27" s="5"/>
      <c r="AI27" s="20" t="s">
        <v>35</v>
      </c>
      <c r="AJ27" s="15">
        <v>0.08</v>
      </c>
      <c r="AK27" s="11">
        <f t="shared" si="0"/>
        <v>0.08</v>
      </c>
      <c r="AL27" s="30" t="s">
        <v>78</v>
      </c>
      <c r="AM27" s="11"/>
      <c r="AN27" s="5"/>
      <c r="AO27" s="21" t="s">
        <v>48</v>
      </c>
      <c r="AP27" s="9">
        <v>115</v>
      </c>
      <c r="AQ27" s="30" t="s">
        <v>78</v>
      </c>
      <c r="AR27" s="9"/>
      <c r="AT27" s="21" t="s">
        <v>31</v>
      </c>
      <c r="AU27" s="6">
        <v>92.8</v>
      </c>
      <c r="AV27" s="30" t="s">
        <v>78</v>
      </c>
    </row>
    <row r="28" spans="1:48" ht="24" customHeight="1">
      <c r="E28" s="21" t="s">
        <v>48</v>
      </c>
      <c r="F28" s="7">
        <v>713</v>
      </c>
      <c r="G28" s="30" t="s">
        <v>78</v>
      </c>
      <c r="H28" s="5"/>
      <c r="I28" s="5"/>
      <c r="J28" s="21" t="s">
        <v>48</v>
      </c>
      <c r="K28" s="7">
        <v>736</v>
      </c>
      <c r="L28" s="30" t="s">
        <v>78</v>
      </c>
      <c r="M28" s="7"/>
      <c r="N28" s="5"/>
      <c r="Q28" s="30"/>
      <c r="V28" s="31"/>
      <c r="W28" s="5"/>
      <c r="X28" s="5"/>
      <c r="Y28" s="21" t="s">
        <v>26</v>
      </c>
      <c r="Z28" s="8">
        <v>0.77</v>
      </c>
      <c r="AA28" s="30" t="s">
        <v>78</v>
      </c>
      <c r="AB28" s="8"/>
      <c r="AC28" s="5"/>
      <c r="AD28" s="21" t="s">
        <v>20</v>
      </c>
      <c r="AE28" s="9">
        <v>3817</v>
      </c>
      <c r="AF28" s="30" t="s">
        <v>78</v>
      </c>
      <c r="AG28" s="9"/>
      <c r="AH28" s="5"/>
      <c r="AI28" s="21" t="s">
        <v>59</v>
      </c>
      <c r="AJ28" s="10">
        <v>7.6751648175196599E-2</v>
      </c>
      <c r="AK28" s="11">
        <f t="shared" si="0"/>
        <v>7.6751648175196599E-2</v>
      </c>
      <c r="AL28" s="30" t="s">
        <v>78</v>
      </c>
      <c r="AM28" s="11"/>
      <c r="AN28" s="5"/>
      <c r="AO28" s="21" t="s">
        <v>28</v>
      </c>
      <c r="AP28" s="9">
        <v>116</v>
      </c>
      <c r="AQ28" s="30" t="s">
        <v>78</v>
      </c>
      <c r="AR28" s="9"/>
      <c r="AT28" s="21" t="s">
        <v>17</v>
      </c>
      <c r="AU28" s="6">
        <v>94</v>
      </c>
      <c r="AV28" s="30" t="s">
        <v>78</v>
      </c>
    </row>
    <row r="29" spans="1:48" ht="24" customHeight="1">
      <c r="E29" s="21" t="s">
        <v>51</v>
      </c>
      <c r="F29" s="7">
        <v>718</v>
      </c>
      <c r="G29" s="30" t="s">
        <v>78</v>
      </c>
      <c r="H29" s="5"/>
      <c r="I29" s="5"/>
      <c r="J29" s="21" t="s">
        <v>51</v>
      </c>
      <c r="K29" s="7">
        <v>750</v>
      </c>
      <c r="L29" s="30" t="s">
        <v>78</v>
      </c>
      <c r="M29" s="5"/>
      <c r="N29" s="5"/>
      <c r="Q29" s="31"/>
      <c r="V29" s="31"/>
      <c r="W29" s="5"/>
      <c r="X29" s="5"/>
      <c r="Y29" s="21" t="s">
        <v>23</v>
      </c>
      <c r="Z29" s="8">
        <v>0.79</v>
      </c>
      <c r="AA29" s="30" t="s">
        <v>78</v>
      </c>
      <c r="AB29" s="8"/>
      <c r="AC29" s="5"/>
      <c r="AD29" s="21" t="s">
        <v>58</v>
      </c>
      <c r="AE29" s="9">
        <v>3856</v>
      </c>
      <c r="AF29" s="30" t="s">
        <v>78</v>
      </c>
      <c r="AG29" s="9"/>
      <c r="AH29" s="5"/>
      <c r="AI29" s="22" t="s">
        <v>19</v>
      </c>
      <c r="AJ29" s="17">
        <v>7.4999999999999997E-2</v>
      </c>
      <c r="AK29" s="11">
        <f t="shared" si="0"/>
        <v>7.4999999999999997E-2</v>
      </c>
      <c r="AL29" s="30" t="s">
        <v>77</v>
      </c>
      <c r="AM29" s="11"/>
      <c r="AN29" s="5"/>
      <c r="AO29" s="21" t="s">
        <v>36</v>
      </c>
      <c r="AP29" s="9">
        <v>116</v>
      </c>
      <c r="AQ29" s="30" t="s">
        <v>78</v>
      </c>
      <c r="AR29" s="9"/>
      <c r="AV29" s="31"/>
    </row>
    <row r="30" spans="1:48" ht="24" customHeight="1">
      <c r="K30" s="5"/>
      <c r="L30" s="31"/>
      <c r="M30" s="5"/>
      <c r="N30" s="5"/>
      <c r="P30" s="1">
        <f>750-652</f>
        <v>98</v>
      </c>
      <c r="Q30" s="31"/>
      <c r="T30" s="1">
        <f>652-635</f>
        <v>17</v>
      </c>
      <c r="V30" s="31"/>
      <c r="W30" s="5"/>
      <c r="X30" s="5"/>
      <c r="Y30" s="21" t="s">
        <v>41</v>
      </c>
      <c r="Z30" s="8">
        <v>0.81</v>
      </c>
      <c r="AA30" s="30" t="s">
        <v>78</v>
      </c>
      <c r="AB30" s="8"/>
      <c r="AC30" s="5"/>
      <c r="AD30" s="21" t="s">
        <v>48</v>
      </c>
      <c r="AE30" s="9">
        <v>3865</v>
      </c>
      <c r="AF30" s="30" t="s">
        <v>78</v>
      </c>
      <c r="AG30" s="14"/>
      <c r="AH30" s="5"/>
      <c r="AI30" s="21" t="s">
        <v>60</v>
      </c>
      <c r="AJ30" s="10">
        <v>7.0000000000000007E-2</v>
      </c>
      <c r="AK30" s="11">
        <f t="shared" si="0"/>
        <v>7.0000000000000007E-2</v>
      </c>
      <c r="AL30" s="30" t="s">
        <v>78</v>
      </c>
      <c r="AM30" s="11"/>
      <c r="AN30" s="5"/>
      <c r="AO30" s="21" t="s">
        <v>32</v>
      </c>
      <c r="AP30" s="9">
        <v>122</v>
      </c>
      <c r="AQ30" s="30" t="s">
        <v>78</v>
      </c>
      <c r="AR30" s="9"/>
    </row>
    <row r="31" spans="1:48" ht="24" customHeight="1">
      <c r="F31" s="1">
        <f>620-608</f>
        <v>12</v>
      </c>
      <c r="K31" s="1">
        <f>641-750</f>
        <v>-109</v>
      </c>
      <c r="M31" s="5"/>
      <c r="N31" s="5"/>
      <c r="P31" s="60">
        <f>+P30/750</f>
        <v>0.13066666666666665</v>
      </c>
      <c r="Q31" s="31"/>
      <c r="V31" s="31"/>
      <c r="W31" s="5"/>
      <c r="X31" s="5"/>
      <c r="Y31" s="21" t="s">
        <v>29</v>
      </c>
      <c r="Z31" s="8">
        <v>0.82</v>
      </c>
      <c r="AA31" s="30" t="s">
        <v>78</v>
      </c>
      <c r="AB31" s="8"/>
      <c r="AC31" s="5"/>
      <c r="AD31" s="21" t="s">
        <v>14</v>
      </c>
      <c r="AE31" s="9">
        <v>3882</v>
      </c>
      <c r="AF31" s="30" t="s">
        <v>78</v>
      </c>
      <c r="AG31" s="9"/>
      <c r="AH31" s="5"/>
      <c r="AI31" s="20" t="s">
        <v>15</v>
      </c>
      <c r="AJ31" s="15">
        <v>0.05</v>
      </c>
      <c r="AK31" s="11">
        <f t="shared" si="0"/>
        <v>0.05</v>
      </c>
      <c r="AL31" s="30" t="s">
        <v>77</v>
      </c>
      <c r="AM31" s="11"/>
      <c r="AN31" s="5"/>
      <c r="AO31" s="23" t="s">
        <v>30</v>
      </c>
      <c r="AP31" s="9">
        <v>129</v>
      </c>
      <c r="AQ31" s="30" t="s">
        <v>78</v>
      </c>
      <c r="AR31" s="9"/>
    </row>
    <row r="32" spans="1:48" ht="24" customHeight="1">
      <c r="F32" s="1">
        <f>+F31/620</f>
        <v>1.935483870967742E-2</v>
      </c>
      <c r="G32" s="31"/>
      <c r="K32" s="1">
        <f>+K31/641</f>
        <v>-0.17004680187207488</v>
      </c>
      <c r="M32" s="5"/>
      <c r="Q32" s="31"/>
      <c r="W32" s="5"/>
      <c r="X32" s="5"/>
      <c r="Y32" s="21" t="s">
        <v>48</v>
      </c>
      <c r="Z32" s="8">
        <v>0.84</v>
      </c>
      <c r="AA32" s="30" t="s">
        <v>78</v>
      </c>
      <c r="AB32" s="8"/>
      <c r="AC32" s="5"/>
      <c r="AD32" s="21" t="s">
        <v>51</v>
      </c>
      <c r="AE32" s="9">
        <v>3884</v>
      </c>
      <c r="AF32" s="30" t="s">
        <v>78</v>
      </c>
      <c r="AG32" s="9"/>
      <c r="AH32" s="5"/>
      <c r="AI32" s="20" t="s">
        <v>27</v>
      </c>
      <c r="AJ32" s="15">
        <v>0.04</v>
      </c>
      <c r="AK32" s="11">
        <f t="shared" si="0"/>
        <v>0.04</v>
      </c>
      <c r="AL32" s="30" t="s">
        <v>77</v>
      </c>
      <c r="AM32" s="11"/>
      <c r="AN32" s="5"/>
      <c r="AO32" s="21" t="s">
        <v>51</v>
      </c>
      <c r="AP32" s="9">
        <v>135</v>
      </c>
      <c r="AQ32" s="30" t="s">
        <v>78</v>
      </c>
      <c r="AR32" s="14"/>
    </row>
    <row r="33" spans="5:44" ht="24" customHeight="1">
      <c r="M33" s="5"/>
      <c r="Q33" s="31"/>
      <c r="X33" s="5"/>
      <c r="Y33" s="21" t="s">
        <v>53</v>
      </c>
      <c r="Z33" s="8">
        <v>0.86</v>
      </c>
      <c r="AA33" s="30" t="s">
        <v>78</v>
      </c>
      <c r="AB33" s="8"/>
      <c r="AC33" s="5"/>
      <c r="AD33" s="22" t="s">
        <v>19</v>
      </c>
      <c r="AE33" s="14">
        <v>3885</v>
      </c>
      <c r="AF33" s="30" t="s">
        <v>77</v>
      </c>
      <c r="AG33" s="9"/>
      <c r="AH33" s="5"/>
      <c r="AI33" s="21" t="s">
        <v>17</v>
      </c>
      <c r="AJ33" s="10">
        <v>0.04</v>
      </c>
      <c r="AK33" s="11">
        <f t="shared" si="0"/>
        <v>0.04</v>
      </c>
      <c r="AL33" s="30" t="s">
        <v>78</v>
      </c>
      <c r="AM33" s="5"/>
      <c r="AN33" s="5"/>
      <c r="AO33" s="21" t="s">
        <v>47</v>
      </c>
      <c r="AP33" s="9">
        <v>136</v>
      </c>
      <c r="AQ33" s="30" t="s">
        <v>78</v>
      </c>
      <c r="AR33" s="9"/>
    </row>
    <row r="34" spans="5:44" ht="24" customHeight="1">
      <c r="E34" s="18" t="s">
        <v>35</v>
      </c>
      <c r="F34" s="5"/>
      <c r="G34" s="31"/>
      <c r="I34" s="5"/>
      <c r="J34" s="18" t="s">
        <v>35</v>
      </c>
      <c r="X34" s="5"/>
      <c r="Y34" s="21" t="s">
        <v>28</v>
      </c>
      <c r="Z34" s="8">
        <v>0.88</v>
      </c>
      <c r="AA34" s="30" t="s">
        <v>78</v>
      </c>
      <c r="AB34" s="8"/>
      <c r="AC34" s="5"/>
      <c r="AD34" s="20" t="s">
        <v>24</v>
      </c>
      <c r="AE34" s="9">
        <v>3887</v>
      </c>
      <c r="AF34" s="30" t="s">
        <v>77</v>
      </c>
      <c r="AG34" s="9"/>
      <c r="AH34" s="5"/>
      <c r="AI34" s="20" t="s">
        <v>73</v>
      </c>
      <c r="AJ34" s="25">
        <v>0</v>
      </c>
      <c r="AK34" s="11">
        <f t="shared" si="0"/>
        <v>0</v>
      </c>
      <c r="AL34" s="30" t="s">
        <v>77</v>
      </c>
      <c r="AN34" s="21"/>
      <c r="AO34" s="20" t="s">
        <v>24</v>
      </c>
      <c r="AP34" s="14">
        <v>137</v>
      </c>
      <c r="AQ34" s="30" t="s">
        <v>77</v>
      </c>
    </row>
    <row r="35" spans="5:44" ht="24" customHeight="1">
      <c r="E35" s="19" t="s">
        <v>61</v>
      </c>
      <c r="F35" s="5"/>
      <c r="G35" s="31"/>
      <c r="H35" s="5"/>
      <c r="I35" s="5"/>
      <c r="J35" s="19" t="s">
        <v>61</v>
      </c>
      <c r="W35" s="5"/>
      <c r="X35" s="5"/>
      <c r="Y35" s="23" t="s">
        <v>30</v>
      </c>
      <c r="Z35" s="8">
        <v>0.88</v>
      </c>
      <c r="AA35" s="30" t="s">
        <v>78</v>
      </c>
      <c r="AB35" s="8"/>
      <c r="AC35" s="5"/>
      <c r="AD35" s="21" t="s">
        <v>32</v>
      </c>
      <c r="AE35" s="9">
        <v>3905</v>
      </c>
      <c r="AF35" s="30" t="s">
        <v>78</v>
      </c>
      <c r="AJ35" s="25"/>
      <c r="AN35" s="5"/>
      <c r="AO35" s="21" t="s">
        <v>41</v>
      </c>
      <c r="AP35" s="9">
        <v>150</v>
      </c>
      <c r="AQ35" s="30" t="s">
        <v>78</v>
      </c>
    </row>
    <row r="36" spans="5:44" ht="24" customHeight="1">
      <c r="E36" s="19" t="s">
        <v>62</v>
      </c>
      <c r="F36" s="5"/>
      <c r="G36" s="31"/>
      <c r="I36" s="5"/>
      <c r="J36" s="19" t="s">
        <v>62</v>
      </c>
      <c r="Y36" s="21" t="s">
        <v>49</v>
      </c>
      <c r="Z36" s="8">
        <v>0.88</v>
      </c>
      <c r="AA36" s="30" t="s">
        <v>78</v>
      </c>
      <c r="AD36" s="23" t="s">
        <v>30</v>
      </c>
      <c r="AE36" s="9">
        <v>4100</v>
      </c>
      <c r="AF36" s="30" t="s">
        <v>78</v>
      </c>
    </row>
    <row r="37" spans="5:44" ht="24" customHeight="1">
      <c r="E37" s="19" t="s">
        <v>63</v>
      </c>
      <c r="F37" s="5"/>
      <c r="G37" s="31"/>
      <c r="H37" s="5"/>
      <c r="I37" s="5"/>
      <c r="J37" s="19" t="s">
        <v>63</v>
      </c>
      <c r="Y37" s="21" t="s">
        <v>51</v>
      </c>
      <c r="Z37" s="8">
        <v>0.89</v>
      </c>
      <c r="AA37" s="30" t="s">
        <v>78</v>
      </c>
      <c r="AE37" s="9"/>
    </row>
    <row r="38" spans="5:44" ht="24" customHeight="1">
      <c r="E38" s="19" t="s">
        <v>64</v>
      </c>
      <c r="G38" s="31"/>
      <c r="H38" s="5"/>
      <c r="I38" s="5"/>
      <c r="J38" s="19" t="s">
        <v>64</v>
      </c>
      <c r="AL38" s="28">
        <f>652/855</f>
        <v>0.76257309941520468</v>
      </c>
    </row>
    <row r="39" spans="5:44" ht="24" customHeight="1">
      <c r="H39" s="5"/>
      <c r="X39" s="5"/>
      <c r="Z39" s="1">
        <f>73-75</f>
        <v>-2</v>
      </c>
    </row>
    <row r="40" spans="5:44" ht="24" customHeight="1">
      <c r="H40" s="5"/>
      <c r="Z40" s="1">
        <f>+Z39/73</f>
        <v>-2.7397260273972601E-2</v>
      </c>
    </row>
    <row r="41" spans="5:44" ht="24" customHeight="1">
      <c r="H41" s="5"/>
    </row>
  </sheetData>
  <sortState xmlns:xlrd2="http://schemas.microsoft.com/office/spreadsheetml/2017/richdata2" ref="AN5:AQ35">
    <sortCondition ref="AP5:AP35"/>
  </sortState>
  <conditionalFormatting sqref="B5:C22">
    <cfRule type="dataBar" priority="23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{E70E7AAD-CF95-4FFB-80EF-3B4BE07FA231}</x14:id>
        </ext>
      </extLst>
    </cfRule>
    <cfRule type="dataBar" priority="23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{E50342E1-27C2-4635-868A-6EE2CF8472AB}</x14:id>
        </ext>
      </extLst>
    </cfRule>
    <cfRule type="dataBar" priority="2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{383EFD46-F1C8-49E6-BD80-56DC9EB82F86}</x14:id>
        </ext>
      </extLst>
    </cfRule>
    <cfRule type="dataBar" priority="23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{09C3AABC-E897-4596-94CD-E3C27DDAF1FE}</x14:id>
        </ext>
      </extLst>
    </cfRule>
  </conditionalFormatting>
  <conditionalFormatting sqref="B23:C24">
    <cfRule type="dataBar" priority="23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{AA63045D-60B8-4CF8-BB72-B0D5621B395A}</x14:id>
        </ext>
      </extLst>
    </cfRule>
    <cfRule type="dataBar" priority="2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{8631ADE1-D75C-45C9-B3B7-D938E263B0E2}</x14:id>
        </ext>
      </extLst>
    </cfRule>
    <cfRule type="dataBar" priority="234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{0A901603-B712-46EF-B376-A8457289A699}</x14:id>
        </ext>
      </extLst>
    </cfRule>
    <cfRule type="dataBar" priority="23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{254EE6AD-542D-4EFD-A012-E7A114B7446B}</x14:id>
        </ext>
      </extLst>
    </cfRule>
  </conditionalFormatting>
  <conditionalFormatting sqref="E25">
    <cfRule type="dataBar" priority="21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{C5884877-24F5-4F14-A305-AC1C5CEA0D69}</x14:id>
        </ext>
      </extLst>
    </cfRule>
  </conditionalFormatting>
  <conditionalFormatting sqref="E26">
    <cfRule type="dataBar" priority="21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{5A58E3D5-1000-46FB-A1D7-1C136507A18D}</x14:id>
        </ext>
      </extLst>
    </cfRule>
  </conditionalFormatting>
  <conditionalFormatting sqref="E29">
    <cfRule type="dataBar" priority="7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{B7D3BC09-6E5F-4975-9132-B05C66B3EB8A}</x14:id>
        </ext>
      </extLst>
    </cfRule>
  </conditionalFormatting>
  <conditionalFormatting sqref="F5:F24">
    <cfRule type="dataBar" priority="59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{0D141BF5-79CE-4CE0-9239-F7CE561F8847}</x14:id>
        </ext>
      </extLst>
    </cfRule>
  </conditionalFormatting>
  <conditionalFormatting sqref="F5:F25">
    <cfRule type="dataBar" priority="59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{8F188CB9-A510-40DB-8FA2-A3F0C4781B38}</x14:id>
        </ext>
      </extLst>
    </cfRule>
    <cfRule type="dataBar" priority="248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{C45F1484-7829-4C84-A0BE-3D3A47799BF5}</x14:id>
        </ext>
      </extLst>
    </cfRule>
    <cfRule type="dataBar" priority="590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{E7F585EB-8EBD-4FC7-935F-B24BB2E629C2}</x14:id>
        </ext>
      </extLst>
    </cfRule>
    <cfRule type="dataBar" priority="589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{7F05F32B-A1E0-4092-8044-06120F28D6A6}</x14:id>
        </ext>
      </extLst>
    </cfRule>
    <cfRule type="dataBar" priority="589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{86711E75-1BC1-463C-8BC8-64AF4BBD6CF7}</x14:id>
        </ext>
      </extLst>
    </cfRule>
    <cfRule type="dataBar" priority="589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{F61509B9-093B-4195-AB2D-9994A5A13CC8}</x14:id>
        </ext>
      </extLst>
    </cfRule>
  </conditionalFormatting>
  <conditionalFormatting sqref="F5:F26">
    <cfRule type="dataBar" priority="59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{4D8A60AB-5F6F-42F4-92DD-A029F23B7B3C}</x14:id>
        </ext>
      </extLst>
    </cfRule>
    <cfRule type="dataBar" priority="59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{2CA49803-E44E-4C9E-936D-D4093586C677}</x14:id>
        </ext>
      </extLst>
    </cfRule>
    <cfRule type="dataBar" priority="591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{4C78B530-7FAF-446A-97AA-09DCD7A77D27}</x14:id>
        </ext>
      </extLst>
    </cfRule>
    <cfRule type="dataBar" priority="59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{53DEAD9C-45A8-40CB-AD48-261376BF0E1B}</x14:id>
        </ext>
      </extLst>
    </cfRule>
    <cfRule type="dataBar" priority="247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{3C8256AE-7914-4A2B-B519-1B713C3BBE58}</x14:id>
        </ext>
      </extLst>
    </cfRule>
    <cfRule type="dataBar" priority="247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{4EACDAB6-709A-4F41-8F37-1F5913705D93}</x14:id>
        </ext>
      </extLst>
    </cfRule>
    <cfRule type="dataBar" priority="248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{21D910B8-9C82-40E1-B448-42AB914B96F4}</x14:id>
        </ext>
      </extLst>
    </cfRule>
    <cfRule type="dataBar" priority="24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{18FAFA4C-3E09-4311-B51F-53E47B6280C0}</x14:id>
        </ext>
      </extLst>
    </cfRule>
    <cfRule type="dataBar" priority="24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{5380BBB9-6101-4404-9108-4ADAA6874C61}</x14:id>
        </ext>
      </extLst>
    </cfRule>
    <cfRule type="dataBar" priority="59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{FF79D141-805D-4812-AF75-B53A1367D69D}</x14:id>
        </ext>
      </extLst>
    </cfRule>
    <cfRule type="dataBar" priority="5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{3C3776A3-0D9A-438A-829A-55677360DFD2}</x14:id>
        </ext>
      </extLst>
    </cfRule>
    <cfRule type="dataBar" priority="59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{54F74CB6-0675-488C-B09D-46631B133F79}</x14:id>
        </ext>
      </extLst>
    </cfRule>
    <cfRule type="dataBar" priority="238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{EFC4DC83-D855-493E-A4E1-21128227BACB}</x14:id>
        </ext>
      </extLst>
    </cfRule>
    <cfRule type="dataBar" priority="59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{26EB42F1-2B47-4C0F-A8EB-02B4FA852A7A}</x14:id>
        </ext>
      </extLst>
    </cfRule>
    <cfRule type="dataBar" priority="5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{E962DBB6-A49D-4AEE-9D3D-677014A226B3}</x14:id>
        </ext>
      </extLst>
    </cfRule>
    <cfRule type="dataBar" priority="5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{127FB7DD-AFCB-4E12-89D9-79CBF84F011C}</x14:id>
        </ext>
      </extLst>
    </cfRule>
    <cfRule type="dataBar" priority="5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{2AD095CA-A427-4EF7-8A2F-0D003165D904}</x14:id>
        </ext>
      </extLst>
    </cfRule>
  </conditionalFormatting>
  <conditionalFormatting sqref="F5:F28">
    <cfRule type="dataBar" priority="59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{B5D52ADE-DACE-46C8-B7CA-CAC9BAD1FFDD}</x14:id>
        </ext>
      </extLst>
    </cfRule>
  </conditionalFormatting>
  <conditionalFormatting sqref="F5:F29">
    <cfRule type="dataBar" priority="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{F74A5C8D-540B-4D61-8C16-79E7AD612033}</x14:id>
        </ext>
      </extLst>
    </cfRule>
    <cfRule type="dataBar" priority="24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{23FA966D-0278-47E8-8DDE-77999ECF758E}</x14:id>
        </ext>
      </extLst>
    </cfRule>
  </conditionalFormatting>
  <conditionalFormatting sqref="F27">
    <cfRule type="dataBar" priority="208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{AB5AFFEE-8E4A-4E0E-9D4E-7F1FC8284793}</x14:id>
        </ext>
      </extLst>
    </cfRule>
    <cfRule type="dataBar" priority="20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{CE57226C-24BA-4905-9146-9E22B4CB55C2}</x14:id>
        </ext>
      </extLst>
    </cfRule>
    <cfRule type="dataBar" priority="2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{DF4F0EBB-9063-46F8-B6F8-F5443F99C9D0}</x14:id>
        </ext>
      </extLst>
    </cfRule>
    <cfRule type="dataBar" priority="20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{819218A4-8394-4782-8C23-D7CC7A1B4CC4}</x14:id>
        </ext>
      </extLst>
    </cfRule>
    <cfRule type="dataBar" priority="208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{402F14FB-F7B9-4FE2-ABAA-26353454C317}</x14:id>
        </ext>
      </extLst>
    </cfRule>
    <cfRule type="dataBar" priority="208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{2959AF21-AAA8-4363-BE9D-F32F6470752A}</x14:id>
        </ext>
      </extLst>
    </cfRule>
    <cfRule type="dataBar" priority="20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{65A57B58-480E-4397-9F41-CA8F3B17D98A}</x14:id>
        </ext>
      </extLst>
    </cfRule>
    <cfRule type="dataBar" priority="20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{D9F322DE-F240-4D09-9E7D-326F5DD738B7}</x14:id>
        </ext>
      </extLst>
    </cfRule>
    <cfRule type="dataBar" priority="207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{5DCA5338-E8BE-423A-A495-569DA85E530A}</x14:id>
        </ext>
      </extLst>
    </cfRule>
    <cfRule type="dataBar" priority="207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{9613916C-120B-4656-A6CD-BC46A616DECC}</x14:id>
        </ext>
      </extLst>
    </cfRule>
    <cfRule type="dataBar" priority="207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{F02893F8-6FCA-40E4-B24E-2FE8FD511B77}</x14:id>
        </ext>
      </extLst>
    </cfRule>
    <cfRule type="dataBar" priority="207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{C25EB581-DC37-40BB-A63A-81222CD9DF3B}</x14:id>
        </ext>
      </extLst>
    </cfRule>
    <cfRule type="dataBar" priority="207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{2A6D8F00-D0EF-46B0-9DA4-0D0BFDA6BE93}</x14:id>
        </ext>
      </extLst>
    </cfRule>
    <cfRule type="dataBar" priority="20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{5AEABD6D-1A91-4E3A-8916-8CAF9C2C43A4}</x14:id>
        </ext>
      </extLst>
    </cfRule>
    <cfRule type="dataBar" priority="20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{CE6305D5-F7C1-47E3-8E89-2EF563A31CDC}</x14:id>
        </ext>
      </extLst>
    </cfRule>
    <cfRule type="dataBar" priority="207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{16621AC9-150F-475D-AD9F-9B80BC48A635}</x14:id>
        </ext>
      </extLst>
    </cfRule>
    <cfRule type="dataBar" priority="207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{D29758E2-A6F3-4397-8350-E44B493BDBD3}</x14:id>
        </ext>
      </extLst>
    </cfRule>
  </conditionalFormatting>
  <conditionalFormatting sqref="F28">
    <cfRule type="dataBar" priority="24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{75931DDF-FD56-4541-A719-55D7F80375CC}</x14:id>
        </ext>
      </extLst>
    </cfRule>
    <cfRule type="dataBar" priority="246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{E371156D-5D72-457C-A54B-FB4F2E4C41E1}</x14:id>
        </ext>
      </extLst>
    </cfRule>
    <cfRule type="dataBar" priority="2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{73A1B729-5081-4534-982C-9039346D8905}</x14:id>
        </ext>
      </extLst>
    </cfRule>
    <cfRule type="dataBar" priority="244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{33FF3948-DF72-4331-9A2B-110968660C78}</x14:id>
        </ext>
      </extLst>
    </cfRule>
    <cfRule type="dataBar" priority="245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{042AD57C-72B7-42BB-8757-B1960FE3C96D}</x14:id>
        </ext>
      </extLst>
    </cfRule>
    <cfRule type="dataBar" priority="24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{94780A00-4AAC-4855-9496-1209BCF4F895}</x14:id>
        </ext>
      </extLst>
    </cfRule>
    <cfRule type="dataBar" priority="24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{17A909A4-97AD-4F91-9D62-E57EFC72884E}</x14:id>
        </ext>
      </extLst>
    </cfRule>
    <cfRule type="dataBar" priority="24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{409E2073-8543-4165-A119-213585F92D96}</x14:id>
        </ext>
      </extLst>
    </cfRule>
    <cfRule type="dataBar" priority="24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{9FC65A52-4CBF-4910-B14F-AFE9034B0ABC}</x14:id>
        </ext>
      </extLst>
    </cfRule>
    <cfRule type="dataBar" priority="24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{9771BBBE-7204-4E6E-8D10-A79613B98947}</x14:id>
        </ext>
      </extLst>
    </cfRule>
    <cfRule type="dataBar" priority="245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{631CAD4C-6991-45F2-810C-8D14B0A79387}</x14:id>
        </ext>
      </extLst>
    </cfRule>
    <cfRule type="dataBar" priority="2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{7D39D98F-D131-4017-B1B0-436087427D71}</x14:id>
        </ext>
      </extLst>
    </cfRule>
    <cfRule type="dataBar" priority="2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{643EDB28-C6A1-4224-97A8-345E1B416854}</x14:id>
        </ext>
      </extLst>
    </cfRule>
    <cfRule type="dataBar" priority="2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{960A2E15-68E1-4EEB-9D28-FF200430EBC2}</x14:id>
        </ext>
      </extLst>
    </cfRule>
    <cfRule type="dataBar" priority="24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{C705A509-1739-46BF-858F-FF568569AC80}</x14:id>
        </ext>
      </extLst>
    </cfRule>
    <cfRule type="dataBar" priority="244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{05325184-9322-4FCD-B24D-AA4EC298DCFA}</x14:id>
        </ext>
      </extLst>
    </cfRule>
    <cfRule type="dataBar" priority="244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{74A7942C-CC98-4BE6-AA8C-F99EE93DF904}</x14:id>
        </ext>
      </extLst>
    </cfRule>
  </conditionalFormatting>
  <conditionalFormatting sqref="F29">
    <cfRule type="dataBar" priority="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{27B2E709-DD00-4671-954A-5668C3BFBD28}</x14:id>
        </ext>
      </extLst>
    </cfRule>
    <cfRule type="dataBar" priority="3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{8A05FB70-6B66-4FFA-8D95-CD3A5DFF33D4}</x14:id>
        </ext>
      </extLst>
    </cfRule>
    <cfRule type="dataBar" priority="3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{1DF645D0-1641-4C1B-9615-AF1DF26A2C4C}</x14:id>
        </ext>
      </extLst>
    </cfRule>
    <cfRule type="dataBar" priority="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{509C8933-A7C2-4D20-AC1E-BF027EEA86F8}</x14:id>
        </ext>
      </extLst>
    </cfRule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{5052B7FB-8BA9-4852-93DC-D7486F4FFFBB}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{21481A23-08C4-4EC0-A2F6-95C4C2F18042}</x14:id>
        </ext>
      </extLst>
    </cfRule>
    <cfRule type="dataBar" priority="4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{D13A9BF1-F5F9-4581-8912-4191C3A9B4B6}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{DAB4C8AB-10D0-45DF-AD1B-494BF3454D44}</x14:id>
        </ext>
      </extLst>
    </cfRule>
    <cfRule type="dataBar" priority="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{D05B2A27-1C76-4630-9E0B-1A96EAB950A2}</x14:id>
        </ext>
      </extLst>
    </cfRule>
    <cfRule type="dataBar" priority="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{98F264EE-134D-4D8A-97D3-9704714560F2}</x14:id>
        </ext>
      </extLst>
    </cfRule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{C840CDD5-5E3A-460E-9FC2-223BF333D5F0}</x14:id>
        </ext>
      </extLst>
    </cfRule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{205DB369-67E2-4F9A-B90C-6B208130E0CB}</x14:id>
        </ext>
      </extLst>
    </cfRule>
    <cfRule type="dataBar" priority="3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{B1024D66-E9B8-4DEB-B1AA-E898188168BF}</x14:id>
        </ext>
      </extLst>
    </cfRule>
    <cfRule type="dataBar" priority="3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{AE5BE833-D67E-4CBE-A5E4-57D4DBD3BBFC}</x14:id>
        </ext>
      </extLst>
    </cfRule>
    <cfRule type="dataBar" priority="4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{067EC407-0FCD-4377-9906-490328C12538}</x14:id>
        </ext>
      </extLst>
    </cfRule>
    <cfRule type="dataBar" priority="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{F1A33AA8-5563-40FC-9162-A8731B9BB839}</x14:id>
        </ext>
      </extLst>
    </cfRule>
    <cfRule type="dataBar" priority="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{B0358F59-E3A8-499A-94EF-42C0B1C384DD}</x14:id>
        </ext>
      </extLst>
    </cfRule>
    <cfRule type="dataBar" priority="3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{836BC001-C2F9-4F6E-A11D-5DA3932E3234}</x14:id>
        </ext>
      </extLst>
    </cfRule>
  </conditionalFormatting>
  <conditionalFormatting sqref="G6">
    <cfRule type="dataBar" priority="18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{EC4E5F11-5A78-4AB8-9E78-ED4130FB7716}</x14:id>
        </ext>
      </extLst>
    </cfRule>
    <cfRule type="dataBar" priority="184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{3AD223A4-F48D-4AD0-B231-1BED10B01108}</x14:id>
        </ext>
      </extLst>
    </cfRule>
    <cfRule type="dataBar" priority="1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{58F3DDC7-0B69-4B4D-BC11-A6AABBAC202C}</x14:id>
        </ext>
      </extLst>
    </cfRule>
    <cfRule type="dataBar" priority="1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{E85A90BD-C4E3-4C07-8552-471B0CFC83FC}</x14:id>
        </ext>
      </extLst>
    </cfRule>
    <cfRule type="dataBar" priority="18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{37AA0B4D-DD47-4899-8B98-F2E7108C3954}</x14:id>
        </ext>
      </extLst>
    </cfRule>
    <cfRule type="dataBar" priority="18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{05F2DFE6-EBB6-4A07-9F21-1940D33E48CB}</x14:id>
        </ext>
      </extLst>
    </cfRule>
    <cfRule type="dataBar" priority="184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{31A9E95B-7526-45AE-B371-8DD6070A42B8}</x14:id>
        </ext>
      </extLst>
    </cfRule>
    <cfRule type="dataBar" priority="18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{01CFB644-3712-4B0D-9514-77D0B7B06CBD}</x14:id>
        </ext>
      </extLst>
    </cfRule>
  </conditionalFormatting>
  <conditionalFormatting sqref="G7">
    <cfRule type="dataBar" priority="1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{0F958852-B910-492C-BAA9-EC29EBBA04C9}</x14:id>
        </ext>
      </extLst>
    </cfRule>
    <cfRule type="dataBar" priority="18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{483058DE-CC6A-4D03-BC96-CFE3EAC4F7FD}</x14:id>
        </ext>
      </extLst>
    </cfRule>
    <cfRule type="dataBar" priority="18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{CAC3AE83-D6B1-4CEE-A317-B48D02660A0C}</x14:id>
        </ext>
      </extLst>
    </cfRule>
    <cfRule type="dataBar" priority="18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{97DB8A7A-3FC7-4D84-8FEE-A49CA3E5D0E1}</x14:id>
        </ext>
      </extLst>
    </cfRule>
    <cfRule type="dataBar" priority="18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{66213D15-3B8C-4A05-A466-7DC1FE206B54}</x14:id>
        </ext>
      </extLst>
    </cfRule>
    <cfRule type="dataBar" priority="18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{BEA7D129-3312-454B-908B-F829D1266A0B}</x14:id>
        </ext>
      </extLst>
    </cfRule>
    <cfRule type="dataBar" priority="18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{CE3C5E11-B5BA-4C62-8CF9-74CA271E8E6A}</x14:id>
        </ext>
      </extLst>
    </cfRule>
    <cfRule type="dataBar" priority="1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{48D3BABD-3006-41DF-AAEB-5CFE0E260069}</x14:id>
        </ext>
      </extLst>
    </cfRule>
  </conditionalFormatting>
  <conditionalFormatting sqref="G10">
    <cfRule type="dataBar" priority="183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{1428E66D-4613-47DD-BB4C-88B2655C2A1C}</x14:id>
        </ext>
      </extLst>
    </cfRule>
    <cfRule type="dataBar" priority="182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{1C87FD4A-9202-4C03-A756-25300C95922C}</x14:id>
        </ext>
      </extLst>
    </cfRule>
    <cfRule type="dataBar" priority="1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{12C7CAE6-A130-460B-A916-FB028C610B34}</x14:id>
        </ext>
      </extLst>
    </cfRule>
    <cfRule type="dataBar" priority="183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{8E054C12-C660-45BE-864C-B076D3509E7D}</x14:id>
        </ext>
      </extLst>
    </cfRule>
    <cfRule type="dataBar" priority="18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{1422B4A2-BA7F-4B7F-BC0B-C941B7FE02BD}</x14:id>
        </ext>
      </extLst>
    </cfRule>
    <cfRule type="dataBar" priority="1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{261DBBCA-1257-4248-80EF-1078D0E88B33}</x14:id>
        </ext>
      </extLst>
    </cfRule>
    <cfRule type="dataBar" priority="182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{EDE8CCDB-7543-4789-9075-CA9C747D688C}</x14:id>
        </ext>
      </extLst>
    </cfRule>
    <cfRule type="dataBar" priority="182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{75D5A844-F1F6-4AF6-9A23-AEA4B6C15A58}</x14:id>
        </ext>
      </extLst>
    </cfRule>
  </conditionalFormatting>
  <conditionalFormatting sqref="G11">
    <cfRule type="dataBar" priority="18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{0C6FB16C-1A4B-49D3-8483-1E5C59C39F69}</x14:id>
        </ext>
      </extLst>
    </cfRule>
    <cfRule type="dataBar" priority="1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{F2C1F82C-8D51-4ECF-BE92-5D5331CA7223}</x14:id>
        </ext>
      </extLst>
    </cfRule>
    <cfRule type="dataBar" priority="18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{A5900673-C12C-4299-9BF6-BF3D28880CB5}</x14:id>
        </ext>
      </extLst>
    </cfRule>
    <cfRule type="dataBar" priority="18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{5D1B361D-3309-48DE-951D-28F0FF37694C}</x14:id>
        </ext>
      </extLst>
    </cfRule>
    <cfRule type="dataBar" priority="18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{8244991E-B139-4DC2-B68F-6A21637512F8}</x14:id>
        </ext>
      </extLst>
    </cfRule>
    <cfRule type="dataBar" priority="18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{C61D44E7-22D7-480A-AC80-DE242B2EAEFD}</x14:id>
        </ext>
      </extLst>
    </cfRule>
    <cfRule type="dataBar" priority="18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{7FEE11DC-490D-4B07-9D04-4C01C800924E}</x14:id>
        </ext>
      </extLst>
    </cfRule>
    <cfRule type="dataBar" priority="18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{5177BEE0-130D-485D-B905-6A845589FB74}</x14:id>
        </ext>
      </extLst>
    </cfRule>
  </conditionalFormatting>
  <conditionalFormatting sqref="G12">
    <cfRule type="dataBar" priority="1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{372AD10F-D333-4C73-8221-09E7175C653B}</x14:id>
        </ext>
      </extLst>
    </cfRule>
    <cfRule type="dataBar" priority="18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{ED7F68EC-D108-414F-B71E-8CA0EF8A4A2D}</x14:id>
        </ext>
      </extLst>
    </cfRule>
    <cfRule type="dataBar" priority="18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{BF2E3516-8520-4430-BEDA-9F32D500EAF0}</x14:id>
        </ext>
      </extLst>
    </cfRule>
    <cfRule type="dataBar" priority="181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{29F5EF02-A8AC-4939-84AF-8D82C9A7D9A8}</x14:id>
        </ext>
      </extLst>
    </cfRule>
    <cfRule type="dataBar" priority="181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{51394DAC-4B5B-4D31-BBC7-EC751FB795EF}</x14:id>
        </ext>
      </extLst>
    </cfRule>
    <cfRule type="dataBar" priority="1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{042F0EC1-E4FE-4EFD-9A1F-E89EBC48802F}</x14:id>
        </ext>
      </extLst>
    </cfRule>
    <cfRule type="dataBar" priority="18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{384080A5-A39E-45C3-B4E4-5426956CD156}</x14:id>
        </ext>
      </extLst>
    </cfRule>
    <cfRule type="dataBar" priority="18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{9508CD46-EC32-4234-BCC4-7BAC2B33B70E}</x14:id>
        </ext>
      </extLst>
    </cfRule>
  </conditionalFormatting>
  <conditionalFormatting sqref="G13">
    <cfRule type="dataBar" priority="179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{3568CE16-9C29-43BB-B0E5-7A4F66E94CEA}</x14:id>
        </ext>
      </extLst>
    </cfRule>
    <cfRule type="dataBar" priority="179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{4B51756A-FD71-4630-A4C1-86C88FB302D6}</x14:id>
        </ext>
      </extLst>
    </cfRule>
    <cfRule type="dataBar" priority="17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{68D3F44B-7509-4D2E-9C7A-1BC94B9EE7AD}</x14:id>
        </ext>
      </extLst>
    </cfRule>
    <cfRule type="dataBar" priority="17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{B8D0B985-5FE6-408B-8DEE-068CAE444542}</x14:id>
        </ext>
      </extLst>
    </cfRule>
    <cfRule type="dataBar" priority="17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{AF5A74C1-9329-4C72-9C46-C121BDF43BAB}</x14:id>
        </ext>
      </extLst>
    </cfRule>
    <cfRule type="dataBar" priority="179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{88EEE72A-BC7E-442E-A277-F22EADDE496D}</x14:id>
        </ext>
      </extLst>
    </cfRule>
    <cfRule type="dataBar" priority="1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{52423B92-848E-4F1E-8A19-1B98B3F43CAF}</x14:id>
        </ext>
      </extLst>
    </cfRule>
    <cfRule type="dataBar" priority="1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{AD2CC0BB-0995-4DCF-97C1-D07157DA5FB2}</x14:id>
        </ext>
      </extLst>
    </cfRule>
    <cfRule type="dataBar" priority="17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{AC37DA12-7454-440E-8FAD-281EE64DF9B0}</x14:id>
        </ext>
      </extLst>
    </cfRule>
    <cfRule type="dataBar" priority="180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{4F9AE7A8-F513-4524-AD7C-4B6320C002A2}</x14:id>
        </ext>
      </extLst>
    </cfRule>
    <cfRule type="dataBar" priority="1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{665511FF-ECC0-4ABE-AF36-4C2EE5FAE40F}</x14:id>
        </ext>
      </extLst>
    </cfRule>
    <cfRule type="dataBar" priority="181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{D820AF92-E590-49AB-B1C2-2D581B12FA84}</x14:id>
        </ext>
      </extLst>
    </cfRule>
    <cfRule type="dataBar" priority="17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{80A762FB-94FE-4D59-BF7F-61B9CDA98277}</x14:id>
        </ext>
      </extLst>
    </cfRule>
    <cfRule type="dataBar" priority="180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{3F351760-2A36-4D19-8863-F9BB0EDD3E6A}</x14:id>
        </ext>
      </extLst>
    </cfRule>
    <cfRule type="dataBar" priority="17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{AB218EB9-5215-4848-A977-106E658FD92B}</x14:id>
        </ext>
      </extLst>
    </cfRule>
    <cfRule type="dataBar" priority="180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{7628D22B-4A57-4853-B0F0-41FAACC1A921}</x14:id>
        </ext>
      </extLst>
    </cfRule>
    <cfRule type="dataBar" priority="180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{2DF7CA86-AF08-48B6-9161-4B32713B9ACE}</x14:id>
        </ext>
      </extLst>
    </cfRule>
    <cfRule type="dataBar" priority="1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{C40C9565-3BE3-4136-BF3B-AD5860B28373}</x14:id>
        </ext>
      </extLst>
    </cfRule>
    <cfRule type="dataBar" priority="180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{70FBF74C-985A-42E2-A0BF-44A31657D22A}</x14:id>
        </ext>
      </extLst>
    </cfRule>
    <cfRule type="dataBar" priority="180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{B7FAA2E4-2CD3-4529-BBC0-A4B61C0AAE76}</x14:id>
        </ext>
      </extLst>
    </cfRule>
  </conditionalFormatting>
  <conditionalFormatting sqref="G16">
    <cfRule type="dataBar" priority="1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{299BA83B-2E2A-4E9B-98A8-42C0B11D3FA5}</x14:id>
        </ext>
      </extLst>
    </cfRule>
    <cfRule type="dataBar" priority="17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{CAECCF1A-A603-4697-8FD0-57D006D8380C}</x14:id>
        </ext>
      </extLst>
    </cfRule>
    <cfRule type="dataBar" priority="178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{3E33C400-E952-456B-AC5C-8BDA910BE3A7}</x14:id>
        </ext>
      </extLst>
    </cfRule>
    <cfRule type="dataBar" priority="1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{33C259D4-E87B-40CE-882A-BB2819D320BB}</x14:id>
        </ext>
      </extLst>
    </cfRule>
    <cfRule type="dataBar" priority="178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{96522E1E-FDC1-4617-9264-DBDB76D8B6B0}</x14:id>
        </ext>
      </extLst>
    </cfRule>
    <cfRule type="dataBar" priority="178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{910C45F0-B7D5-402E-AF17-61F11E139FF1}</x14:id>
        </ext>
      </extLst>
    </cfRule>
    <cfRule type="dataBar" priority="17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{D7DAD66E-E034-44AD-B33A-487E56AE8F6E}</x14:id>
        </ext>
      </extLst>
    </cfRule>
    <cfRule type="dataBar" priority="17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{902DC883-134B-4302-A7D3-7D616123375A}</x14:id>
        </ext>
      </extLst>
    </cfRule>
  </conditionalFormatting>
  <conditionalFormatting sqref="G21:G27">
    <cfRule type="dataBar" priority="17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{5C2D3C12-EFFD-48AB-871C-0C3135B85F35}</x14:id>
        </ext>
      </extLst>
    </cfRule>
    <cfRule type="dataBar" priority="17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{38C3A862-09BF-4600-B041-5BE77E6B1E41}</x14:id>
        </ext>
      </extLst>
    </cfRule>
    <cfRule type="dataBar" priority="17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{043E9099-3172-4B70-B85E-3A92ABC117DD}</x14:id>
        </ext>
      </extLst>
    </cfRule>
    <cfRule type="dataBar" priority="175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{A7C1EED8-7E42-4553-B3B1-6E6FB47CF95E}</x14:id>
        </ext>
      </extLst>
    </cfRule>
    <cfRule type="dataBar" priority="17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{07D41111-E4BE-4A85-9F2D-23C2CD6C57F2}</x14:id>
        </ext>
      </extLst>
    </cfRule>
    <cfRule type="dataBar" priority="17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{E6F3638E-DBA6-468D-8026-A68951240A47}</x14:id>
        </ext>
      </extLst>
    </cfRule>
    <cfRule type="dataBar" priority="1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{0A47704C-F3FE-4051-B284-DC03BDE9B272}</x14:id>
        </ext>
      </extLst>
    </cfRule>
    <cfRule type="dataBar" priority="17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{D86E68F9-F961-4EC2-B98E-7AB3BEABA87B}</x14:id>
        </ext>
      </extLst>
    </cfRule>
    <cfRule type="dataBar" priority="17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{33C30833-66F1-4923-BE0F-7B659B12E89A}</x14:id>
        </ext>
      </extLst>
    </cfRule>
    <cfRule type="dataBar" priority="17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{14E0DA59-EE1F-4F01-ABCD-119ECFD77DDA}</x14:id>
        </ext>
      </extLst>
    </cfRule>
    <cfRule type="dataBar" priority="17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{55200CCE-94C9-4852-9551-44D5E9B7963B}</x14:id>
        </ext>
      </extLst>
    </cfRule>
    <cfRule type="dataBar" priority="17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{89F042AA-93EA-40AD-BA51-F21727DC06C4}</x14:id>
        </ext>
      </extLst>
    </cfRule>
    <cfRule type="dataBar" priority="17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{514751D2-95E9-4182-B26F-F7271F93731D}</x14:id>
        </ext>
      </extLst>
    </cfRule>
    <cfRule type="dataBar" priority="1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{AF6CF774-47B4-472C-A9B7-26632213D42F}</x14:id>
        </ext>
      </extLst>
    </cfRule>
    <cfRule type="dataBar" priority="1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{589D73A6-B7A7-499C-8065-D0216807EC88}</x14:id>
        </ext>
      </extLst>
    </cfRule>
    <cfRule type="dataBar" priority="17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{5F14B9D5-BDFA-4E9A-81FA-FADF4C4A1863}</x14:id>
        </ext>
      </extLst>
    </cfRule>
    <cfRule type="dataBar" priority="17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{CF0F4EC7-CB54-4F08-A3E3-5382E18035BE}</x14:id>
        </ext>
      </extLst>
    </cfRule>
    <cfRule type="dataBar" priority="176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{16C619BA-BE07-4754-B4F0-31C0C860F5F1}</x14:id>
        </ext>
      </extLst>
    </cfRule>
    <cfRule type="dataBar" priority="175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{1CD19B12-C162-4D16-A073-DD804B9C0AF5}</x14:id>
        </ext>
      </extLst>
    </cfRule>
    <cfRule type="dataBar" priority="175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{50ED6E7E-9A42-4FAE-A5E9-E376CFF88E2F}</x14:id>
        </ext>
      </extLst>
    </cfRule>
    <cfRule type="dataBar" priority="1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{457A7543-4463-49A8-926C-2E6AC77706BE}</x14:id>
        </ext>
      </extLst>
    </cfRule>
    <cfRule type="dataBar" priority="175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{A9044637-EC36-4B7C-B774-40A5FE1BA201}</x14:id>
        </ext>
      </extLst>
    </cfRule>
    <cfRule type="dataBar" priority="17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{00AB2D99-F0C2-4CDE-A145-D47E2C9BA1F1}</x14:id>
        </ext>
      </extLst>
    </cfRule>
    <cfRule type="dataBar" priority="17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{E5283D2B-3A8A-44CC-B31C-E80C465942C2}</x14:id>
        </ext>
      </extLst>
    </cfRule>
    <cfRule type="dataBar" priority="1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{D1518D91-809A-4819-8D8F-DECB445000CC}</x14:id>
        </ext>
      </extLst>
    </cfRule>
    <cfRule type="dataBar" priority="17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{7F4001C1-B937-4DBE-9DAA-F3F401037598}</x14:id>
        </ext>
      </extLst>
    </cfRule>
    <cfRule type="dataBar" priority="17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{51D33BF7-6384-4940-BDB4-7BFF2F9E05FF}</x14:id>
        </ext>
      </extLst>
    </cfRule>
    <cfRule type="dataBar" priority="17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{FB4636E2-14EB-47CB-A94C-B92B5ECD23D2}</x14:id>
        </ext>
      </extLst>
    </cfRule>
    <cfRule type="dataBar" priority="1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{579A1AC5-37F5-427B-99EE-0F25F6DBCFB4}</x14:id>
        </ext>
      </extLst>
    </cfRule>
    <cfRule type="dataBar" priority="174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{50D18C64-C5EF-4418-9A7A-81F16CEE5D1D}</x14:id>
        </ext>
      </extLst>
    </cfRule>
  </conditionalFormatting>
  <conditionalFormatting sqref="G28">
    <cfRule type="dataBar" priority="2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{FD97435F-0554-4535-B671-1640D23D93AF}</x14:id>
        </ext>
      </extLst>
    </cfRule>
    <cfRule type="dataBar" priority="2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{4FB0DD1C-2212-45F5-B641-63EB089A0566}</x14:id>
        </ext>
      </extLst>
    </cfRule>
    <cfRule type="dataBar" priority="24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{2E847F36-CA29-447E-990C-EF3B7263AB57}</x14:id>
        </ext>
      </extLst>
    </cfRule>
    <cfRule type="dataBar" priority="24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{6F9F51E7-A8D4-49FF-9C98-E0167D4B9B9B}</x14:id>
        </ext>
      </extLst>
    </cfRule>
    <cfRule type="dataBar" priority="24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{EE8CDB9C-E2A1-4B58-AF14-FA727E9E686E}</x14:id>
        </ext>
      </extLst>
    </cfRule>
    <cfRule type="dataBar" priority="24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{37D05D9A-2EBD-4FD3-B0E9-D77C2E8DEE90}</x14:id>
        </ext>
      </extLst>
    </cfRule>
    <cfRule type="dataBar" priority="24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{71312405-715E-4E66-A325-F08702F73C2B}</x14:id>
        </ext>
      </extLst>
    </cfRule>
    <cfRule type="dataBar" priority="2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{08228053-1EEE-4B94-B411-F5BF8FFEC59F}</x14:id>
        </ext>
      </extLst>
    </cfRule>
    <cfRule type="dataBar" priority="24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{9FFCAA1E-844D-46A2-8344-6F5C5FE69033}</x14:id>
        </ext>
      </extLst>
    </cfRule>
    <cfRule type="dataBar" priority="24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{A5B8B7C3-3504-4834-8805-24CC5F91511D}</x14:id>
        </ext>
      </extLst>
    </cfRule>
    <cfRule type="dataBar" priority="2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{2CC646BC-AB88-4ABA-AB2B-24E5B2C71B93}</x14:id>
        </ext>
      </extLst>
    </cfRule>
    <cfRule type="dataBar" priority="24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{80FFCCED-7DBF-4312-9550-ABD321186E18}</x14:id>
        </ext>
      </extLst>
    </cfRule>
    <cfRule type="dataBar" priority="247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{A26E3D0C-956B-43CA-944B-9BB0B22089B7}</x14:id>
        </ext>
      </extLst>
    </cfRule>
  </conditionalFormatting>
  <conditionalFormatting sqref="G29">
    <cfRule type="dataBar" priority="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{CC7D74F4-9C54-4538-8349-28632BEECF90}</x14:id>
        </ext>
      </extLst>
    </cfRule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{F02D5DBF-438E-4AEC-9A60-3BDF32236B18}</x14:id>
        </ext>
      </extLst>
    </cfRule>
    <cfRule type="dataBar" priority="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{91DACD95-2661-41B0-8B1E-475A334BEE52}</x14:id>
        </ext>
      </extLst>
    </cfRule>
    <cfRule type="dataBar" priority="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{6B129690-08D4-43B8-BB30-3EE97FF1DE5F}</x14:id>
        </ext>
      </extLst>
    </cfRule>
    <cfRule type="dataBar" priority="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{3DD870DF-40CB-44B9-AD8F-11494253BB66}</x14:id>
        </ext>
      </extLst>
    </cfRule>
    <cfRule type="dataBar" priority="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{DB967556-6AEC-48F1-8312-FA7E5DC0E07F}</x14:id>
        </ext>
      </extLst>
    </cfRule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{55C65EFB-3991-4DB8-8028-E8EC95CF702F}</x14:id>
        </ext>
      </extLst>
    </cfRule>
    <cfRule type="dataBar" priority="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{6C953733-E0ED-4436-9657-81093E074F8D}</x14:id>
        </ext>
      </extLst>
    </cfRule>
    <cfRule type="dataBar" priority="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{2C9809FC-4FD9-4D5F-911E-D745CF474D35}</x14:id>
        </ext>
      </extLst>
    </cfRule>
    <cfRule type="dataBar" priority="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{6E7474BC-620F-4375-9395-208B970C0FF3}</x14:id>
        </ext>
      </extLst>
    </cfRule>
    <cfRule type="dataBar" priority="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{AA1A15AB-160D-4A4E-8A20-6C96BBAAA710}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{748AE3FF-C5A5-4026-9F5B-4E2471E098AC}</x14:id>
        </ext>
      </extLst>
    </cfRule>
    <cfRule type="dataBar" priority="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{62479781-6A4C-499A-9447-EA1B7DB804D9}</x14:id>
        </ext>
      </extLst>
    </cfRule>
  </conditionalFormatting>
  <conditionalFormatting sqref="G5:H5">
    <cfRule type="dataBar" priority="23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{63C7704A-2646-4285-8511-A1EB9CE11DF7}</x14:id>
        </ext>
      </extLst>
    </cfRule>
    <cfRule type="dataBar" priority="233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{12997303-DB26-4C71-A902-633CFFA7CA3D}</x14:id>
        </ext>
      </extLst>
    </cfRule>
    <cfRule type="dataBar" priority="227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{FDEC9FC2-2803-42C5-AE4C-C160DCE83BD2}</x14:id>
        </ext>
      </extLst>
    </cfRule>
    <cfRule type="dataBar" priority="2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{3CD96C36-9E6E-456E-91EC-8FFE7AE363A1}</x14:id>
        </ext>
      </extLst>
    </cfRule>
    <cfRule type="dataBar" priority="22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{C1EAF39D-EBD7-4061-8363-BB5F72FE4B09}</x14:id>
        </ext>
      </extLst>
    </cfRule>
    <cfRule type="dataBar" priority="22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{5C2D4E3A-3900-4F1F-9296-FF6B1094A1DC}</x14:id>
        </ext>
      </extLst>
    </cfRule>
    <cfRule type="dataBar" priority="233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{EC01C862-35B9-464F-91A0-5D6CB468CDB7}</x14:id>
        </ext>
      </extLst>
    </cfRule>
    <cfRule type="dataBar" priority="2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{BE788ECE-28B1-405B-B345-6E860AB78974}</x14:id>
        </ext>
      </extLst>
    </cfRule>
  </conditionalFormatting>
  <conditionalFormatting sqref="G5:H12 G14:H17 G18:G20 H18:H27">
    <cfRule type="dataBar" priority="2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{4245D537-C22C-4D6E-8064-8FACA97C26FA}</x14:id>
        </ext>
      </extLst>
    </cfRule>
    <cfRule type="dataBar" priority="23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{57704731-2F17-4851-91F2-28AFDE31B645}</x14:id>
        </ext>
      </extLst>
    </cfRule>
    <cfRule type="dataBar" priority="237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{70DA1914-5FCC-43B7-9DB9-38D19EC6D805}</x14:id>
        </ext>
      </extLst>
    </cfRule>
    <cfRule type="dataBar" priority="2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{1126F4D0-F7FE-4EB3-B462-927D672EDF2F}</x14:id>
        </ext>
      </extLst>
    </cfRule>
    <cfRule type="dataBar" priority="23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{FB503834-4D72-4DE2-A6A6-8A1056C94022}</x14:id>
        </ext>
      </extLst>
    </cfRule>
    <cfRule type="dataBar" priority="23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{6395A162-0341-4F60-BC87-A7BF1DE425EE}</x14:id>
        </ext>
      </extLst>
    </cfRule>
    <cfRule type="dataBar" priority="23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{DA57AD39-913B-410C-A70E-553BF0D05F40}</x14:id>
        </ext>
      </extLst>
    </cfRule>
    <cfRule type="dataBar" priority="23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{C51D9A8E-A151-4DA8-A389-BF5ED74E2E84}</x14:id>
        </ext>
      </extLst>
    </cfRule>
    <cfRule type="dataBar" priority="2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{2621812E-4F1D-403A-9590-4AABA2E7B615}</x14:id>
        </ext>
      </extLst>
    </cfRule>
    <cfRule type="dataBar" priority="23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{BC530787-8945-4713-AE2E-D69C7E5B20AF}</x14:id>
        </ext>
      </extLst>
    </cfRule>
    <cfRule type="dataBar" priority="23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{EC0F8960-158B-4590-9CD3-9B83BC62BB5C}</x14:id>
        </ext>
      </extLst>
    </cfRule>
    <cfRule type="dataBar" priority="2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{1BD032DE-DCAE-4620-B4E4-8085D1D861EC}</x14:id>
        </ext>
      </extLst>
    </cfRule>
  </conditionalFormatting>
  <conditionalFormatting sqref="G5:H17 G18:G20 H18:H27 E5:E23">
    <cfRule type="dataBar" priority="58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{47698EC0-D608-4852-A24D-63CABF2C0344}</x14:id>
        </ext>
      </extLst>
    </cfRule>
  </conditionalFormatting>
  <conditionalFormatting sqref="G12:H12">
    <cfRule type="dataBar" priority="22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{9B81F867-84A0-4371-80E5-62E588590B1E}</x14:id>
        </ext>
      </extLst>
    </cfRule>
    <cfRule type="dataBar" priority="228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{03330A33-E830-4D01-AD6F-1B45C54A153F}</x14:id>
        </ext>
      </extLst>
    </cfRule>
    <cfRule type="dataBar" priority="22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{22310027-9228-45E6-9978-C3CE882B66E7}</x14:id>
        </ext>
      </extLst>
    </cfRule>
    <cfRule type="dataBar" priority="2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{6F4E72F3-440F-4B55-A37C-6288438C9524}</x14:id>
        </ext>
      </extLst>
    </cfRule>
    <cfRule type="dataBar" priority="22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{E474C6B2-4487-4FCC-ACFD-E29D5A652816}</x14:id>
        </ext>
      </extLst>
    </cfRule>
    <cfRule type="dataBar" priority="22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{6F914CC3-2ED7-4FC9-85E3-50533733D3E6}</x14:id>
        </ext>
      </extLst>
    </cfRule>
    <cfRule type="dataBar" priority="22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{8B8F960C-5A03-4592-9634-EA696D474278}</x14:id>
        </ext>
      </extLst>
    </cfRule>
    <cfRule type="dataBar" priority="2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{0CD02FC0-1C25-48AB-B6C7-FD48817D6910}</x14:id>
        </ext>
      </extLst>
    </cfRule>
    <cfRule type="dataBar" priority="22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{7FF03ADB-B189-4C35-AE66-DD76236F382C}</x14:id>
        </ext>
      </extLst>
    </cfRule>
    <cfRule type="dataBar" priority="22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{D012233E-C8DA-4F10-9E21-DDC4F405B445}</x14:id>
        </ext>
      </extLst>
    </cfRule>
    <cfRule type="dataBar" priority="22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{B0C684F3-CB2E-47EA-8A32-6EA65DBEDF0B}</x14:id>
        </ext>
      </extLst>
    </cfRule>
  </conditionalFormatting>
  <conditionalFormatting sqref="G13:H13">
    <cfRule type="dataBar" priority="223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{A69AC3B8-9019-4D5F-8FD9-7D18DE2A2289}</x14:id>
        </ext>
      </extLst>
    </cfRule>
    <cfRule type="dataBar" priority="223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{C9AF22E3-9EA9-49D2-A155-7E532F8B9A7D}</x14:id>
        </ext>
      </extLst>
    </cfRule>
    <cfRule type="dataBar" priority="2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{C685B9F5-54A5-4063-881C-AD5DA16C0C43}</x14:id>
        </ext>
      </extLst>
    </cfRule>
    <cfRule type="dataBar" priority="22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{6F55AF6B-89E1-4B41-A0D6-05F78B9ABA1E}</x14:id>
        </ext>
      </extLst>
    </cfRule>
    <cfRule type="dataBar" priority="22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{A03D6E12-BAAC-4881-9070-FDA973CA93F5}</x14:id>
        </ext>
      </extLst>
    </cfRule>
    <cfRule type="dataBar" priority="22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{B592671F-C95B-4D68-9576-94DD4B37D3BC}</x14:id>
        </ext>
      </extLst>
    </cfRule>
    <cfRule type="dataBar" priority="224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{687280FC-4DD1-4E95-AB3F-FA409CD63D1E}</x14:id>
        </ext>
      </extLst>
    </cfRule>
    <cfRule type="dataBar" priority="22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{B2D0410B-E82D-4DD5-9639-F16D839C0763}</x14:id>
        </ext>
      </extLst>
    </cfRule>
    <cfRule type="dataBar" priority="22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{49F66F21-4192-41B0-B6FF-6CFB1DF64A8B}</x14:id>
        </ext>
      </extLst>
    </cfRule>
    <cfRule type="dataBar" priority="2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{424532E8-932E-433D-B948-48533F1D6B7C}</x14:id>
        </ext>
      </extLst>
    </cfRule>
    <cfRule type="dataBar" priority="224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{30556059-3B70-4E47-ADE8-C50C10D59E8C}</x14:id>
        </ext>
      </extLst>
    </cfRule>
    <cfRule type="dataBar" priority="223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{E3D6B731-2A57-4616-B0AF-5F3AFE92FFFA}</x14:id>
        </ext>
      </extLst>
    </cfRule>
    <cfRule type="dataBar" priority="2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{D70F816C-DEC6-449B-AC75-DF3C6AFA58A4}</x14:id>
        </ext>
      </extLst>
    </cfRule>
    <cfRule type="dataBar" priority="225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{43744A22-5109-42A5-A351-C71764A384B8}</x14:id>
        </ext>
      </extLst>
    </cfRule>
    <cfRule type="dataBar" priority="223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{A5C27325-EDA9-4663-851A-3EB5A23E0EDB}</x14:id>
        </ext>
      </extLst>
    </cfRule>
    <cfRule type="dataBar" priority="2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{98D6B47F-401B-4D6D-85C1-60B46FD654FA}</x14:id>
        </ext>
      </extLst>
    </cfRule>
    <cfRule type="dataBar" priority="2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{3D7A6E9D-614D-400A-9F51-98E66EE79287}</x14:id>
        </ext>
      </extLst>
    </cfRule>
    <cfRule type="dataBar" priority="224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{0A63C7FB-2768-4206-ABA9-ABCC25DC1734}</x14:id>
        </ext>
      </extLst>
    </cfRule>
    <cfRule type="dataBar" priority="2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{D30041A7-816D-4FD4-A290-3F01071C2E08}</x14:id>
        </ext>
      </extLst>
    </cfRule>
    <cfRule type="dataBar" priority="22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{CC5AC243-339B-4B7D-8A4A-2923B1DE735D}</x14:id>
        </ext>
      </extLst>
    </cfRule>
    <cfRule type="dataBar" priority="224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{8E0B3D13-A1A2-46FC-B325-0ACBC6E24604}</x14:id>
        </ext>
      </extLst>
    </cfRule>
    <cfRule type="dataBar" priority="224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{E2E8491D-48FE-41EA-81C0-93A027DCE99C}</x14:id>
        </ext>
      </extLst>
    </cfRule>
    <cfRule type="dataBar" priority="22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{523D6DE2-5621-4E4A-9F3F-94A29B878D33}</x14:id>
        </ext>
      </extLst>
    </cfRule>
  </conditionalFormatting>
  <conditionalFormatting sqref="G14:H14">
    <cfRule type="dataBar" priority="22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{2024F6EF-C78A-42E4-BECA-F8882ABDEF2B}</x14:id>
        </ext>
      </extLst>
    </cfRule>
    <cfRule type="dataBar" priority="22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{AAC69D74-0E2F-425E-91DF-42601F3C33AD}</x14:id>
        </ext>
      </extLst>
    </cfRule>
    <cfRule type="dataBar" priority="22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{B3D55E44-E243-41DC-8CFD-532D6854B8FB}</x14:id>
        </ext>
      </extLst>
    </cfRule>
    <cfRule type="dataBar" priority="22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{DB8DBA00-6D5C-4FC7-9149-0109B315E720}</x14:id>
        </ext>
      </extLst>
    </cfRule>
    <cfRule type="dataBar" priority="22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{5DBD6888-AA24-45D2-AE6C-76E6C7D2690D}</x14:id>
        </ext>
      </extLst>
    </cfRule>
    <cfRule type="dataBar" priority="228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{119A9D74-C161-4035-929B-52236AC35ED2}</x14:id>
        </ext>
      </extLst>
    </cfRule>
    <cfRule type="dataBar" priority="229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{05995A58-EB15-49AF-B921-1D4B4CC308D0}</x14:id>
        </ext>
      </extLst>
    </cfRule>
    <cfRule type="dataBar" priority="229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{44F4BCAB-36A7-4906-AA3F-FAFFF0DDDD09}</x14:id>
        </ext>
      </extLst>
    </cfRule>
    <cfRule type="dataBar" priority="229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{84AF7875-A0EC-4B4F-8C33-B5B60F3ECF3E}</x14:id>
        </ext>
      </extLst>
    </cfRule>
    <cfRule type="dataBar" priority="2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{D41C35B9-B359-4FF0-94D9-5D6F12CBDF26}</x14:id>
        </ext>
      </extLst>
    </cfRule>
  </conditionalFormatting>
  <conditionalFormatting sqref="H18">
    <cfRule type="dataBar" priority="58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{55F1D815-6758-423F-B542-4E95AAD1FD74}</x14:id>
        </ext>
      </extLst>
    </cfRule>
    <cfRule type="dataBar" priority="582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{F0611969-A5B5-4EDC-8EA2-BFAF399B542E}</x14:id>
        </ext>
      </extLst>
    </cfRule>
    <cfRule type="dataBar" priority="582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{82465791-7106-409D-AF29-FFAB3CEAA4E7}</x14:id>
        </ext>
      </extLst>
    </cfRule>
    <cfRule type="dataBar" priority="582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{520824EA-2DEA-4A33-9046-528FB6ECC727}</x14:id>
        </ext>
      </extLst>
    </cfRule>
    <cfRule type="dataBar" priority="58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{2A94006B-DA4F-4B4C-8A3A-0AFC5AF28D64}</x14:id>
        </ext>
      </extLst>
    </cfRule>
    <cfRule type="dataBar" priority="582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{085C1557-8C54-40D9-BBC6-E918619DD09E}</x14:id>
        </ext>
      </extLst>
    </cfRule>
    <cfRule type="dataBar" priority="5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{1B541A9B-D6D1-48D0-950E-AD02CE9F082D}</x14:id>
        </ext>
      </extLst>
    </cfRule>
    <cfRule type="dataBar" priority="58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{ED0D062E-1FF8-4938-B274-7C0D9C9220F8}</x14:id>
        </ext>
      </extLst>
    </cfRule>
    <cfRule type="dataBar" priority="58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{08D632AD-A343-4981-B299-465243F5A9A6}</x14:id>
        </ext>
      </extLst>
    </cfRule>
  </conditionalFormatting>
  <conditionalFormatting sqref="J5">
    <cfRule type="dataBar" priority="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{EB42A0A2-68E9-4865-8A26-F483EAB4E1BE}</x14:id>
        </ext>
      </extLst>
    </cfRule>
  </conditionalFormatting>
  <conditionalFormatting sqref="J19">
    <cfRule type="dataBar" priority="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{F70BEDA0-EF33-462E-B14B-3EA39DD2407C}</x14:id>
        </ext>
      </extLst>
    </cfRule>
  </conditionalFormatting>
  <conditionalFormatting sqref="J20:J23 J6:J18">
    <cfRule type="dataBar" priority="23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{11A50A4B-F13D-48AD-A0D5-1585A5FCB16F}</x14:id>
        </ext>
      </extLst>
    </cfRule>
  </conditionalFormatting>
  <conditionalFormatting sqref="J25">
    <cfRule type="dataBar" priority="21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{7F43F24D-6F00-4C1B-B004-86178F0919DF}</x14:id>
        </ext>
      </extLst>
    </cfRule>
  </conditionalFormatting>
  <conditionalFormatting sqref="J26">
    <cfRule type="dataBar" priority="21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{F76AA9B9-8928-4A6F-B754-7F2EA3E4628F}</x14:id>
        </ext>
      </extLst>
    </cfRule>
  </conditionalFormatting>
  <conditionalFormatting sqref="J29">
    <cfRule type="dataBar" priority="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{9DBB8E14-8F22-4174-BD71-9AED32E42ADB}</x14:id>
        </ext>
      </extLst>
    </cfRule>
  </conditionalFormatting>
  <conditionalFormatting sqref="K5:K28">
    <cfRule type="dataBar" priority="60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{B40CE992-B38A-4B51-8DD7-ACAA45194F40}</x14:id>
        </ext>
      </extLst>
    </cfRule>
  </conditionalFormatting>
  <conditionalFormatting sqref="K5:K29">
    <cfRule type="dataBar" priority="255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{E661D0F1-8FBA-438B-B767-D3A77E9DC89B}</x14:id>
        </ext>
      </extLst>
    </cfRule>
  </conditionalFormatting>
  <conditionalFormatting sqref="K27">
    <cfRule type="dataBar" priority="20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{D3D1905F-89AF-4E98-B6F0-0E5DB6684029}</x14:id>
        </ext>
      </extLst>
    </cfRule>
    <cfRule type="dataBar" priority="206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{B7793761-CF13-4E77-A1AD-081B3D73CB54}</x14:id>
        </ext>
      </extLst>
    </cfRule>
    <cfRule type="dataBar" priority="20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{AAA27252-B74C-4911-AD49-B99647EEF686}</x14:id>
        </ext>
      </extLst>
    </cfRule>
    <cfRule type="dataBar" priority="20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{3FAF7E2A-3FAB-4BE3-BAD3-F7BD51A915FF}</x14:id>
        </ext>
      </extLst>
    </cfRule>
    <cfRule type="dataBar" priority="20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{3C1F9801-AC08-4032-960E-16F49ABF1A94}</x14:id>
        </ext>
      </extLst>
    </cfRule>
    <cfRule type="dataBar" priority="20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{5DDCEF70-141E-4D6F-847B-21D338E2A5FD}</x14:id>
        </ext>
      </extLst>
    </cfRule>
    <cfRule type="dataBar" priority="2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{B59C7BDE-7698-41E0-8C5C-FD9A09D1F9C7}</x14:id>
        </ext>
      </extLst>
    </cfRule>
    <cfRule type="dataBar" priority="20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{E4A80DFA-94F0-4679-8E6D-FF4DCD45F3C3}</x14:id>
        </ext>
      </extLst>
    </cfRule>
    <cfRule type="dataBar" priority="206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{4ED954C0-3500-4097-9F22-9BE86EE0FD07}</x14:id>
        </ext>
      </extLst>
    </cfRule>
    <cfRule type="dataBar" priority="206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{441B6877-5973-4BDC-951F-29F2EF57E37E}</x14:id>
        </ext>
      </extLst>
    </cfRule>
    <cfRule type="dataBar" priority="20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{7960EB04-3F5F-47C2-86E2-4777F068F720}</x14:id>
        </ext>
      </extLst>
    </cfRule>
    <cfRule type="dataBar" priority="20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{3C27C50F-65F3-4779-9FE1-E267D91D90E4}</x14:id>
        </ext>
      </extLst>
    </cfRule>
    <cfRule type="dataBar" priority="20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{5E58CCB7-CE43-4488-B4B7-43DC8B462B6A}</x14:id>
        </ext>
      </extLst>
    </cfRule>
    <cfRule type="dataBar" priority="20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{52976C3B-198C-4BF8-A65F-263DA9ABCC56}</x14:id>
        </ext>
      </extLst>
    </cfRule>
    <cfRule type="dataBar" priority="20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{296843FE-D4FF-46A1-84D0-EDDF1D37EF21}</x14:id>
        </ext>
      </extLst>
    </cfRule>
    <cfRule type="dataBar" priority="20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{E09AD75B-2724-494A-B598-9E0618662028}</x14:id>
        </ext>
      </extLst>
    </cfRule>
    <cfRule type="dataBar" priority="20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{577FE049-F87E-4A9F-9994-E362D267F951}</x14:id>
        </ext>
      </extLst>
    </cfRule>
  </conditionalFormatting>
  <conditionalFormatting sqref="K28">
    <cfRule type="dataBar" priority="25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{AF5CA05F-A38C-4E32-940F-C1329C20F2C5}</x14:id>
        </ext>
      </extLst>
    </cfRule>
    <cfRule type="dataBar" priority="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{1E3CF7AC-F103-4A18-9E03-156F252B28E8}</x14:id>
        </ext>
      </extLst>
    </cfRule>
    <cfRule type="dataBar" priority="253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{BFF8168B-6EA2-4F2F-9147-5220823C61E2}</x14:id>
        </ext>
      </extLst>
    </cfRule>
    <cfRule type="dataBar" priority="2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{55067374-D48F-4F65-B48D-6FB4B126A599}</x14:id>
        </ext>
      </extLst>
    </cfRule>
    <cfRule type="dataBar" priority="25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{ED114840-D593-4040-A29A-8FED9CAC6BBC}</x14:id>
        </ext>
      </extLst>
    </cfRule>
    <cfRule type="dataBar" priority="25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{72F843E5-8A8F-4C8F-B466-3A095D7526A7}</x14:id>
        </ext>
      </extLst>
    </cfRule>
    <cfRule type="dataBar" priority="25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{B030B7DF-17A4-41ED-9B1F-E8DA63F66BF6}</x14:id>
        </ext>
      </extLst>
    </cfRule>
    <cfRule type="dataBar" priority="25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{90DAC9FA-3D5B-4F67-9424-75C7921E679E}</x14:id>
        </ext>
      </extLst>
    </cfRule>
    <cfRule type="dataBar" priority="253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{1410D11C-C2A3-4E2D-B329-82B87E312EA2}</x14:id>
        </ext>
      </extLst>
    </cfRule>
    <cfRule type="dataBar" priority="253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{74EB5B4A-5824-4D73-AB95-8FE976B39D66}</x14:id>
        </ext>
      </extLst>
    </cfRule>
    <cfRule type="dataBar" priority="253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{463B67FF-562B-4DFD-B397-E26D6D96D597}</x14:id>
        </ext>
      </extLst>
    </cfRule>
    <cfRule type="dataBar" priority="25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{4ABB2D06-B094-43ED-8D1F-ED54344C81D1}</x14:id>
        </ext>
      </extLst>
    </cfRule>
    <cfRule type="dataBar" priority="25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{CA93D28A-23EE-47C9-A43B-35A073512F46}</x14:id>
        </ext>
      </extLst>
    </cfRule>
    <cfRule type="dataBar" priority="253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{0800CE9A-B9C1-40D7-A20E-E0267C9AD00A}</x14:id>
        </ext>
      </extLst>
    </cfRule>
    <cfRule type="dataBar" priority="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{6FDCC05D-8BB2-4DF6-855F-1A322BB0812D}</x14:id>
        </ext>
      </extLst>
    </cfRule>
    <cfRule type="dataBar" priority="254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{9248F4BA-0076-40D2-9A06-57F64E4E5C58}</x14:id>
        </ext>
      </extLst>
    </cfRule>
    <cfRule type="dataBar" priority="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{C8E3266A-DA05-4E7E-BD98-630EAA776852}</x14:id>
        </ext>
      </extLst>
    </cfRule>
  </conditionalFormatting>
  <conditionalFormatting sqref="K29">
    <cfRule type="dataBar" priority="1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{25164181-CE0C-4CC4-B108-5010CC3F0724}</x14:id>
        </ext>
      </extLst>
    </cfRule>
    <cfRule type="dataBar" priority="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{313D5361-DABE-43D9-8AD1-7C3A8E63D5C4}</x14:id>
        </ext>
      </extLst>
    </cfRule>
    <cfRule type="dataBar" priority="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{0126C619-38AD-4514-9CEB-6E4B684F94D5}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{784862CB-F084-49CB-9445-821FABEC9DBE}</x14:id>
        </ext>
      </extLst>
    </cfRule>
    <cfRule type="dataBar" priority="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{AB5D38E3-9957-4A19-9DCC-6C45B4F688AA}</x14:id>
        </ext>
      </extLst>
    </cfRule>
    <cfRule type="dataBar" priority="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{6A3CA42A-B627-439B-A67E-C74DFA489050}</x14:id>
        </ext>
      </extLst>
    </cfRule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{16E61630-EADE-49FF-A721-E6B289466C60}</x14:id>
        </ext>
      </extLst>
    </cfRule>
    <cfRule type="dataBar" priority="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{7DDA9477-B24B-4E12-BD4D-6C53000F159A}</x14:id>
        </ext>
      </extLst>
    </cfRule>
    <cfRule type="dataBar" priority="2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{7CB60498-0F20-4318-9755-DA1E7E86F073}</x14:id>
        </ext>
      </extLst>
    </cfRule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{FDC58E36-96E4-4BBD-8F13-2F2A1E2EC8F2}</x14:id>
        </ext>
      </extLst>
    </cfRule>
    <cfRule type="dataBar" priority="1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{575295A7-CF67-4B21-8FAE-79D161F05EB1}</x14:id>
        </ext>
      </extLst>
    </cfRule>
    <cfRule type="dataBar" priority="1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{AD29DA6E-324B-4F16-A5B4-9BD170E4A33B}</x14:id>
        </ext>
      </extLst>
    </cfRule>
    <cfRule type="dataBar" priority="1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{52FD0AC7-CF7A-4862-B6D3-119D22A9889A}</x14:id>
        </ext>
      </extLst>
    </cfRule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{C1B54023-9E2B-4743-B4D0-AFD0C9F918CE}</x14:id>
        </ext>
      </extLst>
    </cfRule>
    <cfRule type="dataBar" priority="1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{905E9C23-8B82-493C-BF9E-CBEDE8CEE845}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{6BBC2B21-5C44-48F0-9E83-AC2BC24C36F5}</x14:id>
        </ext>
      </extLst>
    </cfRule>
    <cfRule type="dataBar" priority="1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{6CDDC22C-2284-4E51-8E8D-E33664AC02B2}</x14:id>
        </ext>
      </extLst>
    </cfRule>
    <cfRule type="dataBar" priority="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{B8C5C3C4-EAE6-4D7D-AF80-9A9A537A5142}</x14:id>
        </ext>
      </extLst>
    </cfRule>
  </conditionalFormatting>
  <conditionalFormatting sqref="L5">
    <cfRule type="dataBar" priority="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{A570A389-E1C3-43E8-B5C8-4979D3E7DF62}</x14:id>
        </ext>
      </extLst>
    </cfRule>
    <cfRule type="dataBar" priority="6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{8148277D-C005-4772-946D-033BF7166DA9}</x14:id>
        </ext>
      </extLst>
    </cfRule>
    <cfRule type="dataBar" priority="6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{21ED37B6-0490-4014-BA05-89A9113F817A}</x14:id>
        </ext>
      </extLst>
    </cfRule>
    <cfRule type="dataBar" priority="6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{44D90AEB-E415-4F7D-B487-9F29AF055002}</x14:id>
        </ext>
      </extLst>
    </cfRule>
    <cfRule type="dataBar" priority="6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{2FC740A4-31D1-4166-BE50-DFC461499F4E}</x14:id>
        </ext>
      </extLst>
    </cfRule>
    <cfRule type="dataBar" priority="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{B39116DF-F2F3-43BB-9872-AA5AC1076682}</x14:id>
        </ext>
      </extLst>
    </cfRule>
    <cfRule type="dataBar" priority="6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{03759E22-1FCE-4E54-8BBE-0EA9703A7B22}</x14:id>
        </ext>
      </extLst>
    </cfRule>
    <cfRule type="dataBar" priority="6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{7584D1E4-FC7F-40C7-8407-29D5333B657B}</x14:id>
        </ext>
      </extLst>
    </cfRule>
    <cfRule type="dataBar" priority="6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{A30C7F16-17B1-40D1-852A-801A2BD8A16F}</x14:id>
        </ext>
      </extLst>
    </cfRule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{D4D5F557-3F11-4627-8C02-C7C2B466BADF}</x14:id>
        </ext>
      </extLst>
    </cfRule>
    <cfRule type="dataBar" priority="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{021FAF56-D874-44A9-B574-88CF85E8FA18}</x14:id>
        </ext>
      </extLst>
    </cfRule>
    <cfRule type="dataBar" priority="6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{BAD4261A-8440-4778-A3B8-480AA975E551}</x14:id>
        </ext>
      </extLst>
    </cfRule>
    <cfRule type="dataBar" priority="6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{677AC2DB-94E7-4345-AA81-FB73E60780E1}</x14:id>
        </ext>
      </extLst>
    </cfRule>
  </conditionalFormatting>
  <conditionalFormatting sqref="L6">
    <cfRule type="dataBar" priority="165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{4D9BA4AE-AECE-424C-8D5B-71865932C23C}</x14:id>
        </ext>
      </extLst>
    </cfRule>
    <cfRule type="dataBar" priority="164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{CFDD270E-C879-4BA6-A756-E98E3340EC9C}</x14:id>
        </ext>
      </extLst>
    </cfRule>
    <cfRule type="dataBar" priority="16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{AC8EA088-8012-4B02-A0FB-FB46987104C7}</x14:id>
        </ext>
      </extLst>
    </cfRule>
    <cfRule type="dataBar" priority="16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{DA9B6056-A4D2-4C14-9DBF-B53FAB4BDA99}</x14:id>
        </ext>
      </extLst>
    </cfRule>
    <cfRule type="dataBar" priority="16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{B45DB38D-BF00-4401-9919-60AB1018222C}</x14:id>
        </ext>
      </extLst>
    </cfRule>
    <cfRule type="dataBar" priority="16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{659DDF4A-2DC9-44DB-91E8-5940FC19F0E1}</x14:id>
        </ext>
      </extLst>
    </cfRule>
    <cfRule type="dataBar" priority="1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{3F3E5283-1D02-4861-A718-B03F8F1A83A4}</x14:id>
        </ext>
      </extLst>
    </cfRule>
    <cfRule type="dataBar" priority="1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{DFA9CFD6-8288-4F84-9501-6D43BDA4FC5B}</x14:id>
        </ext>
      </extLst>
    </cfRule>
    <cfRule type="dataBar" priority="164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{D67138E3-9C8F-448C-9082-9173871E263C}</x14:id>
        </ext>
      </extLst>
    </cfRule>
    <cfRule type="dataBar" priority="1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{D9511CAF-F229-4923-996D-4A25AEB03C95}</x14:id>
        </ext>
      </extLst>
    </cfRule>
    <cfRule type="dataBar" priority="164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{546E343F-DF97-4375-BEFF-709AB8E83EB7}</x14:id>
        </ext>
      </extLst>
    </cfRule>
    <cfRule type="dataBar" priority="163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{180C0AE5-A2F7-489A-8E15-098D26DD0181}</x14:id>
        </ext>
      </extLst>
    </cfRule>
    <cfRule type="dataBar" priority="163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{3276F217-7BDB-4946-A03B-90A12C9D0DE0}</x14:id>
        </ext>
      </extLst>
    </cfRule>
    <cfRule type="dataBar" priority="16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{49FD9B04-8AFD-4428-A3A1-D63304610493}</x14:id>
        </ext>
      </extLst>
    </cfRule>
    <cfRule type="dataBar" priority="1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{5D806718-3E89-434A-A985-1B83FFFC8D4D}</x14:id>
        </ext>
      </extLst>
    </cfRule>
    <cfRule type="dataBar" priority="16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{EB54724B-4F1C-43BD-A759-6A5564B4B030}</x14:id>
        </ext>
      </extLst>
    </cfRule>
    <cfRule type="dataBar" priority="16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{89135B9F-B7D7-43D5-BDD5-69CFC689EEC0}</x14:id>
        </ext>
      </extLst>
    </cfRule>
    <cfRule type="dataBar" priority="16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{780F7787-64D1-4112-9191-FD8077DFA158}</x14:id>
        </ext>
      </extLst>
    </cfRule>
    <cfRule type="dataBar" priority="1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{F01A0270-75B3-4E97-A01B-72DC7806F92E}</x14:id>
        </ext>
      </extLst>
    </cfRule>
    <cfRule type="dataBar" priority="16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{ECAEB107-4F6D-4C3A-9CB1-2B130CED1558}</x14:id>
        </ext>
      </extLst>
    </cfRule>
    <cfRule type="dataBar" priority="16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{25DB0B1B-6384-4859-BE2C-ADD28CE12501}</x14:id>
        </ext>
      </extLst>
    </cfRule>
    <cfRule type="dataBar" priority="1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{0633B7D6-946E-4EFE-94F1-537256670C22}</x14:id>
        </ext>
      </extLst>
    </cfRule>
    <cfRule type="dataBar" priority="16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{46F66CE8-C562-48F2-BAB4-2B7A278943EB}</x14:id>
        </ext>
      </extLst>
    </cfRule>
    <cfRule type="dataBar" priority="16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{4965FFE5-5053-4564-88A9-768F1D2EA04E}</x14:id>
        </ext>
      </extLst>
    </cfRule>
    <cfRule type="dataBar" priority="16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{1AA0ABA1-3F33-45E3-87E0-F7D7A8F4B2FE}</x14:id>
        </ext>
      </extLst>
    </cfRule>
    <cfRule type="dataBar" priority="16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{55BDBE87-4E28-4670-8889-5B594418D48E}</x14:id>
        </ext>
      </extLst>
    </cfRule>
    <cfRule type="dataBar" priority="16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{ECBA43D3-5107-4D2E-82BE-1A104633DCE2}</x14:id>
        </ext>
      </extLst>
    </cfRule>
    <cfRule type="dataBar" priority="165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{4192197B-53EA-4C26-891E-BA41D40F523B}</x14:id>
        </ext>
      </extLst>
    </cfRule>
    <cfRule type="dataBar" priority="1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{F0911A4A-FBFA-4C78-BDBF-783E7E4B0340}</x14:id>
        </ext>
      </extLst>
    </cfRule>
    <cfRule type="dataBar" priority="165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{382CE83D-B329-45E7-8209-484C3D221E9E}</x14:id>
        </ext>
      </extLst>
    </cfRule>
  </conditionalFormatting>
  <conditionalFormatting sqref="L7">
    <cfRule type="dataBar" priority="3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{1A5688EC-7C5B-400F-9024-33ACEE67CDF4}</x14:id>
        </ext>
      </extLst>
    </cfRule>
    <cfRule type="dataBar" priority="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{A84B297F-4889-40F1-9867-04ECB6C66A8D}</x14:id>
        </ext>
      </extLst>
    </cfRule>
    <cfRule type="dataBar" priority="32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{1339DF04-85C5-46AB-9E88-CE65AF8957D5}</x14:id>
        </ext>
      </extLst>
    </cfRule>
    <cfRule type="dataBar" priority="32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{974F8CEA-E1AF-41A9-A5AC-D8F208BAB2BE}</x14:id>
        </ext>
      </extLst>
    </cfRule>
    <cfRule type="dataBar" priority="33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{386E914B-A8AC-40EC-80BC-964CBC6F00C3}</x14:id>
        </ext>
      </extLst>
    </cfRule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{F3CAD6F6-C6D5-4C48-92CF-B486F80A80D8}</x14:id>
        </ext>
      </extLst>
    </cfRule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{84E0274C-A16D-403E-981B-E4DDC33075B7}</x14:id>
        </ext>
      </extLst>
    </cfRule>
    <cfRule type="dataBar" priority="3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{9894CD26-2752-4D01-95D3-BF78A5D46251}</x14:id>
        </ext>
      </extLst>
    </cfRule>
    <cfRule type="dataBar" priority="31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{187B4B3F-8519-48DD-B272-30EE5038A0E1}</x14:id>
        </ext>
      </extLst>
    </cfRule>
    <cfRule type="dataBar" priority="3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{619F65A4-C0BD-49E6-A624-B77CA8D69EA7}</x14:id>
        </ext>
      </extLst>
    </cfRule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{296B552E-3692-41F3-8CD8-E15CD7757719}</x14:id>
        </ext>
      </extLst>
    </cfRule>
    <cfRule type="dataBar" priority="32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{07461789-303C-40B7-8159-C68760B465A5}</x14:id>
        </ext>
      </extLst>
    </cfRule>
    <cfRule type="dataBar" priority="32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{C8DFFD81-5AAE-440E-9E47-7E02EC7F6460}</x14:id>
        </ext>
      </extLst>
    </cfRule>
  </conditionalFormatting>
  <conditionalFormatting sqref="L8">
    <cfRule type="dataBar" priority="160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{FEE42417-0C5C-47B1-9720-BFDAC4A7FB41}</x14:id>
        </ext>
      </extLst>
    </cfRule>
    <cfRule type="dataBar" priority="16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{8E3DC79F-F177-4622-BB29-27C362059E25}</x14:id>
        </ext>
      </extLst>
    </cfRule>
    <cfRule type="dataBar" priority="1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{875CF120-CE76-438F-8A20-4EC9A08C04DE}</x14:id>
        </ext>
      </extLst>
    </cfRule>
    <cfRule type="dataBar" priority="160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{F40C3B73-96D7-4A31-BFE1-E628420A3330}</x14:id>
        </ext>
      </extLst>
    </cfRule>
    <cfRule type="dataBar" priority="16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{B4097121-F5C5-4C6F-A940-CBA100B1D7D6}</x14:id>
        </ext>
      </extLst>
    </cfRule>
    <cfRule type="dataBar" priority="160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{5CB4670F-97C8-4E94-8DB4-EAFAA8EFB029}</x14:id>
        </ext>
      </extLst>
    </cfRule>
    <cfRule type="dataBar" priority="1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{DBAECF62-2DE3-4677-8061-6BAAA11826B7}</x14:id>
        </ext>
      </extLst>
    </cfRule>
    <cfRule type="dataBar" priority="160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{FE3BED2D-8863-44CE-AFA2-D75C269FF7E7}</x14:id>
        </ext>
      </extLst>
    </cfRule>
    <cfRule type="dataBar" priority="16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{B078ADAF-EF96-4A69-9511-2B29BA24623B}</x14:id>
        </ext>
      </extLst>
    </cfRule>
    <cfRule type="dataBar" priority="159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{DD773B35-0AF1-45F9-8F2E-DC9BD006C972}</x14:id>
        </ext>
      </extLst>
    </cfRule>
    <cfRule type="dataBar" priority="1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{502FB973-D9D8-4C09-B075-29704D577277}</x14:id>
        </ext>
      </extLst>
    </cfRule>
    <cfRule type="dataBar" priority="15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{4960FA3C-2829-4041-B3E9-3CC834C7FFEE}</x14:id>
        </ext>
      </extLst>
    </cfRule>
    <cfRule type="dataBar" priority="15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{603ACDB7-8F41-44C7-8EA2-F31B7D0C4B53}</x14:id>
        </ext>
      </extLst>
    </cfRule>
    <cfRule type="dataBar" priority="15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{B9372E5B-9963-4C2A-BD31-BEF91363B477}</x14:id>
        </ext>
      </extLst>
    </cfRule>
    <cfRule type="dataBar" priority="162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{F4372140-AD5A-404F-9084-25AB3D7186AB}</x14:id>
        </ext>
      </extLst>
    </cfRule>
    <cfRule type="dataBar" priority="1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{55EB4D32-69B7-4BC4-AE0D-289DEE2B726E}</x14:id>
        </ext>
      </extLst>
    </cfRule>
    <cfRule type="dataBar" priority="160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{3982A620-7C8A-49D2-8422-E4C03E82F898}</x14:id>
        </ext>
      </extLst>
    </cfRule>
    <cfRule type="dataBar" priority="161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{9F0B8374-E559-4800-BA7C-021ECABD802C}</x14:id>
        </ext>
      </extLst>
    </cfRule>
    <cfRule type="dataBar" priority="1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{5C2CF713-7CA6-4A1C-A66F-00D991028402}</x14:id>
        </ext>
      </extLst>
    </cfRule>
    <cfRule type="dataBar" priority="162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{209CEAFF-01B5-4651-AFA9-19959A96ACD2}</x14:id>
        </ext>
      </extLst>
    </cfRule>
    <cfRule type="dataBar" priority="1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{155D6BCA-E2C7-4D3E-BF1D-1C69CC29CD94}</x14:id>
        </ext>
      </extLst>
    </cfRule>
    <cfRule type="dataBar" priority="1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{B242850C-6E18-4989-AB22-6AD7E3A6BF34}</x14:id>
        </ext>
      </extLst>
    </cfRule>
    <cfRule type="dataBar" priority="16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{B1C5C725-0488-43EF-B356-EDBE78B6AD0C}</x14:id>
        </ext>
      </extLst>
    </cfRule>
    <cfRule type="dataBar" priority="16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{772650F9-B57E-489C-BA3E-B4CD2442C8F6}</x14:id>
        </ext>
      </extLst>
    </cfRule>
    <cfRule type="dataBar" priority="16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{71B05834-35E6-4A99-8086-F0A35E9EE795}</x14:id>
        </ext>
      </extLst>
    </cfRule>
    <cfRule type="dataBar" priority="161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{5C4A24FE-9548-4933-A826-F4D1CF84CA17}</x14:id>
        </ext>
      </extLst>
    </cfRule>
    <cfRule type="dataBar" priority="1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{F626AEC2-AAAF-4349-927C-69DEDEB2AFC9}</x14:id>
        </ext>
      </extLst>
    </cfRule>
    <cfRule type="dataBar" priority="16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{FF7FB312-2A97-48F5-BE8B-679CD71E767D}</x14:id>
        </ext>
      </extLst>
    </cfRule>
    <cfRule type="dataBar" priority="16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{D0353651-1B9D-4062-99A5-3CA77F35226E}</x14:id>
        </ext>
      </extLst>
    </cfRule>
    <cfRule type="dataBar" priority="16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{40EA1303-3797-4B7F-A9FD-01FC98D69F47}</x14:id>
        </ext>
      </extLst>
    </cfRule>
  </conditionalFormatting>
  <conditionalFormatting sqref="L9">
    <cfRule type="dataBar" priority="1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{70758C9A-303E-49C4-B150-F259BD11CC8D}</x14:id>
        </ext>
      </extLst>
    </cfRule>
    <cfRule type="dataBar" priority="15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{1B62BC80-DF62-4C3E-A936-55C37A1D0CAD}</x14:id>
        </ext>
      </extLst>
    </cfRule>
    <cfRule type="dataBar" priority="15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{0AD58BF9-5B61-42F0-B3C8-7E0C84B2370B}</x14:id>
        </ext>
      </extLst>
    </cfRule>
    <cfRule type="dataBar" priority="1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{2AEB88DB-EBC9-402F-A93C-628DE45263CA}</x14:id>
        </ext>
      </extLst>
    </cfRule>
    <cfRule type="dataBar" priority="159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{AC86D992-2794-446F-8E79-B94D303AAB50}</x14:id>
        </ext>
      </extLst>
    </cfRule>
    <cfRule type="dataBar" priority="15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{070068D2-1576-4EF1-83E7-67A5AD46F59F}</x14:id>
        </ext>
      </extLst>
    </cfRule>
    <cfRule type="dataBar" priority="15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{BDEF545A-8813-4E9B-9BEE-8CDBDF2A2A72}</x14:id>
        </ext>
      </extLst>
    </cfRule>
    <cfRule type="dataBar" priority="15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{7C0199B0-156E-410B-A587-86438F2AF0C5}</x14:id>
        </ext>
      </extLst>
    </cfRule>
    <cfRule type="dataBar" priority="15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{3B30628E-B5CC-472A-9FD3-9074ED3C9C92}</x14:id>
        </ext>
      </extLst>
    </cfRule>
    <cfRule type="dataBar" priority="15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{B1CB7163-12EF-4A8D-A146-50FD96D8D771}</x14:id>
        </ext>
      </extLst>
    </cfRule>
    <cfRule type="dataBar" priority="15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{C41E3936-D6FA-4234-985E-CF7BB411B1E8}</x14:id>
        </ext>
      </extLst>
    </cfRule>
    <cfRule type="dataBar" priority="1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{338512A4-F321-48F6-8FEE-E9A9E697FF6B}</x14:id>
        </ext>
      </extLst>
    </cfRule>
    <cfRule type="dataBar" priority="15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{1DC9DA7A-FA27-41E4-852B-212C9CA597CB}</x14:id>
        </ext>
      </extLst>
    </cfRule>
    <cfRule type="dataBar" priority="15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{2B2F40D2-DA2B-413D-AABF-B7A93336D224}</x14:id>
        </ext>
      </extLst>
    </cfRule>
    <cfRule type="dataBar" priority="15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{9D0632DC-2798-4257-9D25-FDE5E9F87F45}</x14:id>
        </ext>
      </extLst>
    </cfRule>
    <cfRule type="dataBar" priority="157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{8AAD5822-B709-4FAE-AD3F-51345E257DEF}</x14:id>
        </ext>
      </extLst>
    </cfRule>
    <cfRule type="dataBar" priority="15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{68D3EDB7-51E1-46A2-801D-0E3F15E0BCDC}</x14:id>
        </ext>
      </extLst>
    </cfRule>
    <cfRule type="dataBar" priority="15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{4FFA29AE-BBDE-4568-98F1-EC4C87C9555B}</x14:id>
        </ext>
      </extLst>
    </cfRule>
    <cfRule type="dataBar" priority="15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{5A2DC757-B211-4C04-879E-6F37FC906CC8}</x14:id>
        </ext>
      </extLst>
    </cfRule>
    <cfRule type="dataBar" priority="1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{12D5EFCA-A4CA-435D-A64F-E3C153B228DB}</x14:id>
        </ext>
      </extLst>
    </cfRule>
    <cfRule type="dataBar" priority="15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{6F217A6C-9234-45EB-8263-85DABBC2A3C9}</x14:id>
        </ext>
      </extLst>
    </cfRule>
    <cfRule type="dataBar" priority="157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{0E7274AC-FAA6-4E6A-8866-79B20EEC2F66}</x14:id>
        </ext>
      </extLst>
    </cfRule>
    <cfRule type="dataBar" priority="1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{F4C9A649-6D28-4D0A-94D8-9D6A1FC5A36F}</x14:id>
        </ext>
      </extLst>
    </cfRule>
    <cfRule type="dataBar" priority="15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{EFE1950B-2D78-4E60-B3B4-698E0D10A984}</x14:id>
        </ext>
      </extLst>
    </cfRule>
    <cfRule type="dataBar" priority="15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{1CDADAAC-F034-4728-A4C0-2C3067A3D561}</x14:id>
        </ext>
      </extLst>
    </cfRule>
    <cfRule type="dataBar" priority="15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{7E7D5888-75DB-4073-BB3B-5DF62EDF28B9}</x14:id>
        </ext>
      </extLst>
    </cfRule>
    <cfRule type="dataBar" priority="1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{91847DBC-2C96-49B0-8FBC-90322E0B7A50}</x14:id>
        </ext>
      </extLst>
    </cfRule>
    <cfRule type="dataBar" priority="15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{4B58D19E-433B-4DD6-AD27-2AD2A766516C}</x14:id>
        </ext>
      </extLst>
    </cfRule>
    <cfRule type="dataBar" priority="157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{7B77852A-7C8F-4DA5-B075-4AAD27FD0BA3}</x14:id>
        </ext>
      </extLst>
    </cfRule>
    <cfRule type="dataBar" priority="158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{5739C0A8-6220-4A0B-8977-5835B381AF44}</x14:id>
        </ext>
      </extLst>
    </cfRule>
  </conditionalFormatting>
  <conditionalFormatting sqref="L10">
    <cfRule type="dataBar" priority="64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{AC88F8A4-3EC2-4AB2-8763-79F4AFC62B5B}</x14:id>
        </ext>
      </extLst>
    </cfRule>
    <cfRule type="dataBar" priority="65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{094681DA-6847-4C19-A2B2-21F065AA336D}</x14:id>
        </ext>
      </extLst>
    </cfRule>
    <cfRule type="dataBar" priority="6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{8A2B813D-44A4-4046-9195-5F4FF3A82627}</x14:id>
        </ext>
      </extLst>
    </cfRule>
    <cfRule type="dataBar" priority="6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{1F05B9E0-58DE-4E38-A307-598D4A3419DE}</x14:id>
        </ext>
      </extLst>
    </cfRule>
    <cfRule type="dataBar" priority="64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{BB218DE3-7D4A-4DA0-BEC7-1ADF005943A3}</x14:id>
        </ext>
      </extLst>
    </cfRule>
    <cfRule type="dataBar" priority="64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{32CFA44D-E841-4A2B-B177-F955B86738EF}</x14:id>
        </ext>
      </extLst>
    </cfRule>
    <cfRule type="dataBar" priority="64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{04E89758-72FB-4C9B-94A8-E079B8DCBB7E}</x14:id>
        </ext>
      </extLst>
    </cfRule>
    <cfRule type="dataBar" priority="64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{F7282E7A-B997-4D16-86F6-B2F39BD8D040}</x14:id>
        </ext>
      </extLst>
    </cfRule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{DE437A15-9342-49DA-A987-22FBADEBA794}</x14:id>
        </ext>
      </extLst>
    </cfRule>
    <cfRule type="dataBar" priority="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{FB99E538-114C-42B7-9EA0-4C7F59920ACB}</x14:id>
        </ext>
      </extLst>
    </cfRule>
    <cfRule type="dataBar" priority="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{D0FDAA51-8930-4B5C-94A3-FCA7365428F9}</x14:id>
        </ext>
      </extLst>
    </cfRule>
    <cfRule type="dataBar" priority="6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{24016454-21CF-410B-B46F-02A285982B69}</x14:id>
        </ext>
      </extLst>
    </cfRule>
    <cfRule type="dataBar" priority="63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{B7C00B49-370D-4FEA-9F42-74599FC678B0}</x14:id>
        </ext>
      </extLst>
    </cfRule>
  </conditionalFormatting>
  <conditionalFormatting sqref="L11">
    <cfRule type="dataBar" priority="15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{100AAE63-6BC3-462C-9D2D-51E383384D47}</x14:id>
        </ext>
      </extLst>
    </cfRule>
    <cfRule type="dataBar" priority="1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{FFBC1D37-97A4-4ED1-999F-8207D3383898}</x14:id>
        </ext>
      </extLst>
    </cfRule>
    <cfRule type="dataBar" priority="1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{6B85AF4E-1589-40F6-A2FA-8EE22BA1AA8C}</x14:id>
        </ext>
      </extLst>
    </cfRule>
    <cfRule type="dataBar" priority="15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{069F7312-5C2B-4842-B0CD-586A50E9F996}</x14:id>
        </ext>
      </extLst>
    </cfRule>
    <cfRule type="dataBar" priority="1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{B45DC93F-1537-4DF8-BF73-19B83E116B69}</x14:id>
        </ext>
      </extLst>
    </cfRule>
    <cfRule type="dataBar" priority="155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{E205F220-32D3-4A21-BBE8-9A8FE5C8B494}</x14:id>
        </ext>
      </extLst>
    </cfRule>
    <cfRule type="dataBar" priority="154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{913526B6-64B9-47EC-A890-5FEA75EAF85A}</x14:id>
        </ext>
      </extLst>
    </cfRule>
    <cfRule type="dataBar" priority="154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{126A1D06-4385-42E9-A83E-3FB6DF15270A}</x14:id>
        </ext>
      </extLst>
    </cfRule>
    <cfRule type="dataBar" priority="154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{3CFD740C-0286-4A80-8580-59CB3A216829}</x14:id>
        </ext>
      </extLst>
    </cfRule>
    <cfRule type="dataBar" priority="15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{47D0C2ED-3E55-4863-B154-8FC6F874E668}</x14:id>
        </ext>
      </extLst>
    </cfRule>
    <cfRule type="dataBar" priority="1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{505B7B67-5536-4C9F-8543-75CA98260B21}</x14:id>
        </ext>
      </extLst>
    </cfRule>
    <cfRule type="dataBar" priority="15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{3F36EC10-B077-4934-8CFB-F59C1BE544FF}</x14:id>
        </ext>
      </extLst>
    </cfRule>
    <cfRule type="dataBar" priority="15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{E65F4D1A-7CC8-4DAF-8157-6B116E069FB5}</x14:id>
        </ext>
      </extLst>
    </cfRule>
    <cfRule type="dataBar" priority="15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{5E1C0A75-2ECD-4488-B46C-7EBB7C380EEA}</x14:id>
        </ext>
      </extLst>
    </cfRule>
    <cfRule type="dataBar" priority="15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{D44C41D0-777A-4B29-B538-470A8C2FE912}</x14:id>
        </ext>
      </extLst>
    </cfRule>
    <cfRule type="dataBar" priority="1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{4CF3BD8C-D452-4C77-B56F-BF74E04EF285}</x14:id>
        </ext>
      </extLst>
    </cfRule>
    <cfRule type="dataBar" priority="1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{553EBCBE-5675-4AA0-97FF-792F8B000F06}</x14:id>
        </ext>
      </extLst>
    </cfRule>
    <cfRule type="dataBar" priority="154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{DFCF7A01-0E84-4694-892C-3E2A0EC9E1EF}</x14:id>
        </ext>
      </extLst>
    </cfRule>
    <cfRule type="dataBar" priority="15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{50531229-53AC-4A68-ACED-B32871756116}</x14:id>
        </ext>
      </extLst>
    </cfRule>
    <cfRule type="dataBar" priority="15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{09B4A50F-7662-423F-AF9C-95287F6A0A3C}</x14:id>
        </ext>
      </extLst>
    </cfRule>
    <cfRule type="dataBar" priority="15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{73C8F9A0-C350-4CC5-8A7C-40730D8570AE}</x14:id>
        </ext>
      </extLst>
    </cfRule>
    <cfRule type="dataBar" priority="15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{7AF1D326-0282-45C5-96A7-8B2A007DE8F6}</x14:id>
        </ext>
      </extLst>
    </cfRule>
    <cfRule type="dataBar" priority="15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{AF1E1F44-200F-498D-8B85-C703BFB0E04D}</x14:id>
        </ext>
      </extLst>
    </cfRule>
    <cfRule type="dataBar" priority="1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{0C79A09A-5712-4ABB-B7D9-741FEA344EE6}</x14:id>
        </ext>
      </extLst>
    </cfRule>
    <cfRule type="dataBar" priority="15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{4F153DE2-8B30-4923-8329-AD7EC80D307F}</x14:id>
        </ext>
      </extLst>
    </cfRule>
    <cfRule type="dataBar" priority="15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{4E052B96-6C46-409C-8A69-5FBEEEC9DE0B}</x14:id>
        </ext>
      </extLst>
    </cfRule>
    <cfRule type="dataBar" priority="15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{8D668E35-508D-4099-919D-16E17D10C003}</x14:id>
        </ext>
      </extLst>
    </cfRule>
    <cfRule type="dataBar" priority="1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{EE8207BD-2291-46BC-9D9D-39907DA98ECE}</x14:id>
        </ext>
      </extLst>
    </cfRule>
    <cfRule type="dataBar" priority="15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{4126191F-DE06-43B3-B34F-4C76BF56DDFC}</x14:id>
        </ext>
      </extLst>
    </cfRule>
    <cfRule type="dataBar" priority="15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{14D82506-F33C-4A11-B570-64F8A366E62A}</x14:id>
        </ext>
      </extLst>
    </cfRule>
  </conditionalFormatting>
  <conditionalFormatting sqref="L12">
    <cfRule type="dataBar" priority="151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{79E9F622-A6B8-4DCE-9C23-E3C2F9FE05F3}</x14:id>
        </ext>
      </extLst>
    </cfRule>
    <cfRule type="dataBar" priority="151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{DAFC0394-63E3-4CD7-B2E2-D1CB58A6500A}</x14:id>
        </ext>
      </extLst>
    </cfRule>
    <cfRule type="dataBar" priority="152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{8EC7948E-DA57-4037-94F1-9AFD184297FA}</x14:id>
        </ext>
      </extLst>
    </cfRule>
    <cfRule type="dataBar" priority="15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{49195F6D-8CE8-4549-95CF-7A8138245CB1}</x14:id>
        </ext>
      </extLst>
    </cfRule>
    <cfRule type="dataBar" priority="1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{86B42E4D-AD95-40C2-AE68-4A0E09A673F7}</x14:id>
        </ext>
      </extLst>
    </cfRule>
    <cfRule type="dataBar" priority="1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{86701AEB-9260-4AEF-9FD2-F9D63853A036}</x14:id>
        </ext>
      </extLst>
    </cfRule>
    <cfRule type="dataBar" priority="15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{389E9964-C45F-44BF-B9E8-993734A269B7}</x14:id>
        </ext>
      </extLst>
    </cfRule>
    <cfRule type="dataBar" priority="15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{4F352812-FB40-47A2-8DF2-6E4EEEED6276}</x14:id>
        </ext>
      </extLst>
    </cfRule>
    <cfRule type="dataBar" priority="1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{B2DC1085-9269-4F41-B3FC-13F3A6B4B050}</x14:id>
        </ext>
      </extLst>
    </cfRule>
    <cfRule type="dataBar" priority="15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{EF06C369-0024-4E2B-B9DE-75F781522EC0}</x14:id>
        </ext>
      </extLst>
    </cfRule>
    <cfRule type="dataBar" priority="15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{21FB53C6-468D-445E-96E2-8D5ADBE5F1D5}</x14:id>
        </ext>
      </extLst>
    </cfRule>
    <cfRule type="dataBar" priority="15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{273A2E04-265D-4797-BED6-A9357712409E}</x14:id>
        </ext>
      </extLst>
    </cfRule>
    <cfRule type="dataBar" priority="1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{52D71371-0C1F-475B-86DE-80DCFD69E6DE}</x14:id>
        </ext>
      </extLst>
    </cfRule>
    <cfRule type="dataBar" priority="153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{4631B362-ED6D-4D3D-BAD5-E3EBFA64A1B4}</x14:id>
        </ext>
      </extLst>
    </cfRule>
    <cfRule type="dataBar" priority="15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{E1B38573-272A-4E2C-BF69-5179D40C9B54}</x14:id>
        </ext>
      </extLst>
    </cfRule>
    <cfRule type="dataBar" priority="15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{068D5CD2-C565-47A2-8736-E6BB6A42C898}</x14:id>
        </ext>
      </extLst>
    </cfRule>
    <cfRule type="dataBar" priority="15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{D19F0D0A-39FA-445D-8B1E-8CE0C7A45526}</x14:id>
        </ext>
      </extLst>
    </cfRule>
    <cfRule type="dataBar" priority="15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{B8458C28-4438-44B8-B660-3DC1ED5D490B}</x14:id>
        </ext>
      </extLst>
    </cfRule>
    <cfRule type="dataBar" priority="15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{9A77FAAD-D0D8-406F-9D40-F2C894BD13EC}</x14:id>
        </ext>
      </extLst>
    </cfRule>
    <cfRule type="dataBar" priority="1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{2322631D-DFB6-4567-9C1B-D4C1F2C0F66F}</x14:id>
        </ext>
      </extLst>
    </cfRule>
    <cfRule type="dataBar" priority="15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{C834A038-E177-4CE6-B7BC-EC946E711A90}</x14:id>
        </ext>
      </extLst>
    </cfRule>
    <cfRule type="dataBar" priority="15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{8F7D21B6-F9C5-4AEF-A82F-C19BF21EC56D}</x14:id>
        </ext>
      </extLst>
    </cfRule>
    <cfRule type="dataBar" priority="151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{64D806FD-79E2-4985-AED4-1592381EE8ED}</x14:id>
        </ext>
      </extLst>
    </cfRule>
    <cfRule type="dataBar" priority="1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{4F0EDFAF-BDB2-4D1C-8676-A5AD513C5B55}</x14:id>
        </ext>
      </extLst>
    </cfRule>
    <cfRule type="dataBar" priority="15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{B7E0D2C4-44D1-47C5-91B2-4AFF48D01FD7}</x14:id>
        </ext>
      </extLst>
    </cfRule>
    <cfRule type="dataBar" priority="1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{3413369E-4CAA-4D34-A5EB-858225643373}</x14:id>
        </ext>
      </extLst>
    </cfRule>
    <cfRule type="dataBar" priority="15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{F9F2F27F-9FDC-4744-861C-3132E5256752}</x14:id>
        </ext>
      </extLst>
    </cfRule>
    <cfRule type="dataBar" priority="15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{A14C9439-7A54-4D96-9F0B-39332F621F6B}</x14:id>
        </ext>
      </extLst>
    </cfRule>
    <cfRule type="dataBar" priority="1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{EE886C9E-72DB-48A6-98A5-818746EE4273}</x14:id>
        </ext>
      </extLst>
    </cfRule>
    <cfRule type="dataBar" priority="15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{8B9B1EE6-9C83-4A81-A486-3762B0889294}</x14:id>
        </ext>
      </extLst>
    </cfRule>
  </conditionalFormatting>
  <conditionalFormatting sqref="L13:L15">
    <cfRule type="dataBar" priority="63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{93C32A19-BEA7-4EA0-8F1C-8E5864C9AAA3}</x14:id>
        </ext>
      </extLst>
    </cfRule>
    <cfRule type="dataBar" priority="6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{26875C82-DDA7-438F-B129-65C11200DE6F}</x14:id>
        </ext>
      </extLst>
    </cfRule>
    <cfRule type="dataBar" priority="6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{8D751BB2-87FA-4660-9BE8-FFF5EAD1C7AD}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{EA39FAF4-9406-4F45-AFAE-AFA8F1041427}</x14:id>
        </ext>
      </extLst>
    </cfRule>
    <cfRule type="dataBar" priority="6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{6A80EA24-F304-44B4-A6E4-46988AFC3CB2}</x14:id>
        </ext>
      </extLst>
    </cfRule>
    <cfRule type="dataBar" priority="63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{FDCEE11A-0679-48A5-8825-9E74B41845BA}</x14:id>
        </ext>
      </extLst>
    </cfRule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{5DE46020-E025-4C84-A03C-7069AE70A9FC}</x14:id>
        </ext>
      </extLst>
    </cfRule>
    <cfRule type="dataBar" priority="63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{B85F652E-4758-42E3-ADA8-F6C984698CB4}</x14:id>
        </ext>
      </extLst>
    </cfRule>
    <cfRule type="dataBar" priority="63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{13E3C1BC-06AB-4DC8-B7EA-62BB2AD6566C}</x14:id>
        </ext>
      </extLst>
    </cfRule>
    <cfRule type="dataBar" priority="63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{19DF039E-04B6-4FD7-AF47-59ABE509CDC6}</x14:id>
        </ext>
      </extLst>
    </cfRule>
    <cfRule type="dataBar" priority="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{FBA7D442-FA40-4884-AA57-DEB446C0EC77}</x14:id>
        </ext>
      </extLst>
    </cfRule>
    <cfRule type="dataBar" priority="6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{8826C7D5-0B45-4A43-BD8E-F9E3D9439C69}</x14:id>
        </ext>
      </extLst>
    </cfRule>
    <cfRule type="dataBar" priority="6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{14E93D24-8C27-4684-9B4D-465A6B2F5809}</x14:id>
        </ext>
      </extLst>
    </cfRule>
  </conditionalFormatting>
  <conditionalFormatting sqref="L16">
    <cfRule type="dataBar" priority="6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{04F91E78-D3B5-4C0F-A6FC-D3D68F61940A}</x14:id>
        </ext>
      </extLst>
    </cfRule>
    <cfRule type="dataBar" priority="62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{89633E3C-DEDD-479F-840C-CD476CD2001F}</x14:id>
        </ext>
      </extLst>
    </cfRule>
    <cfRule type="dataBar" priority="6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{F6866735-5E56-4EC3-8A95-F2D9A67EB37E}</x14:id>
        </ext>
      </extLst>
    </cfRule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{F4E3D7AE-5DA6-4706-860E-011D90516A19}</x14:id>
        </ext>
      </extLst>
    </cfRule>
    <cfRule type="dataBar" priority="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{05BB7115-75C7-4AB4-8066-EF98FC94E856}</x14:id>
        </ext>
      </extLst>
    </cfRule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{7D927251-FDE3-446A-AA90-B62A9DFB3AB2}</x14:id>
        </ext>
      </extLst>
    </cfRule>
    <cfRule type="dataBar" priority="6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{A43B6222-1C91-4E5D-9E51-F443878D681A}</x14:id>
        </ext>
      </extLst>
    </cfRule>
    <cfRule type="dataBar" priority="6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{BE0F7829-1E9D-4DD3-9B80-D427A0898878}</x14:id>
        </ext>
      </extLst>
    </cfRule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{AE5AE6FB-2369-47D1-AAD7-EA69484AE9B4}</x14:id>
        </ext>
      </extLst>
    </cfRule>
    <cfRule type="dataBar" priority="6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{80DEADD3-AF27-4A9B-8BFE-77AE0CEA8CA9}</x14:id>
        </ext>
      </extLst>
    </cfRule>
    <cfRule type="dataBar" priority="6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{3B97C067-52F4-4A3F-9A61-3C75F58159C2}</x14:id>
        </ext>
      </extLst>
    </cfRule>
    <cfRule type="dataBar" priority="6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{5AB25360-1078-419A-BED5-ED055B30ABA1}</x14:id>
        </ext>
      </extLst>
    </cfRule>
    <cfRule type="dataBar" priority="6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{89B5207B-9CC6-4A04-A93E-B67E8A5F4658}</x14:id>
        </ext>
      </extLst>
    </cfRule>
    <cfRule type="dataBar" priority="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{A7DB8CBE-0E19-45C8-99E1-653EA4AE504E}</x14:id>
        </ext>
      </extLst>
    </cfRule>
    <cfRule type="dataBar" priority="6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{FFE7F2BE-E051-4A49-B92D-3A9C7B70D95C}</x14:id>
        </ext>
      </extLst>
    </cfRule>
    <cfRule type="dataBar" priority="6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{F2DC5A82-8AE9-4DE2-AAF1-0BB011E20FB2}</x14:id>
        </ext>
      </extLst>
    </cfRule>
    <cfRule type="dataBar" priority="6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{D55B9C73-BC35-4EE7-AC9C-7FE0F861C7F0}</x14:id>
        </ext>
      </extLst>
    </cfRule>
    <cfRule type="dataBar" priority="6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{ACBE286C-11E5-4CB1-9417-941A13EC268C}</x14:id>
        </ext>
      </extLst>
    </cfRule>
    <cfRule type="dataBar" priority="6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{08F9CCEB-4E00-45C9-B070-D9F92C087DF1}</x14:id>
        </ext>
      </extLst>
    </cfRule>
    <cfRule type="dataBar" priority="6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{256FFD55-242B-4EE2-A720-DC81D317279C}</x14:id>
        </ext>
      </extLst>
    </cfRule>
    <cfRule type="dataBar" priority="6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{9A5E4A83-23BA-4E2B-B6C5-574E996ECF48}</x14:id>
        </ext>
      </extLst>
    </cfRule>
    <cfRule type="dataBar" priority="5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{989EB82D-2861-4740-A237-9207947F9086}</x14:id>
        </ext>
      </extLst>
    </cfRule>
    <cfRule type="dataBar" priority="5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{40962B54-16AF-4A1F-95C7-239E9788416F}</x14:id>
        </ext>
      </extLst>
    </cfRule>
    <cfRule type="dataBar" priority="5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{9230F6D1-1F03-465B-81B9-5EAB2C74A558}</x14:id>
        </ext>
      </extLst>
    </cfRule>
    <cfRule type="dataBar" priority="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{8C28CD5C-EC09-4550-AD9A-4CB850EE58A1}</x14:id>
        </ext>
      </extLst>
    </cfRule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{AA0727C4-A778-4D4F-9DCA-FDB7A070DE8D}</x14:id>
        </ext>
      </extLst>
    </cfRule>
    <cfRule type="dataBar" priority="6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{57A7A12C-6667-457A-9A1D-25CAA894A74E}</x14:id>
        </ext>
      </extLst>
    </cfRule>
    <cfRule type="dataBar" priority="6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{4A9E7B78-B0B2-4147-84A7-1EC59BB3AA7F}</x14:id>
        </ext>
      </extLst>
    </cfRule>
    <cfRule type="dataBar" priority="6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{EF23504A-E060-4247-A8B4-584CEDBF70DD}</x14:id>
        </ext>
      </extLst>
    </cfRule>
    <cfRule type="dataBar" priority="6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{54413113-F333-4C5D-8BFC-E959DE1E9D6E}</x14:id>
        </ext>
      </extLst>
    </cfRule>
  </conditionalFormatting>
  <conditionalFormatting sqref="L17">
    <cfRule type="dataBar" priority="1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{25CA1416-E5A1-416D-AFFF-098B74CC044C}</x14:id>
        </ext>
      </extLst>
    </cfRule>
    <cfRule type="dataBar" priority="14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{70B9C7A6-E85A-4D7E-A30F-4D0028130448}</x14:id>
        </ext>
      </extLst>
    </cfRule>
    <cfRule type="dataBar" priority="1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{373C4086-B585-4E46-9A29-FFC0738FA9DD}</x14:id>
        </ext>
      </extLst>
    </cfRule>
    <cfRule type="dataBar" priority="14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{198F28C6-D181-4F68-931A-46F282FA147F}</x14:id>
        </ext>
      </extLst>
    </cfRule>
    <cfRule type="dataBar" priority="149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{AAC4B18F-6C77-4442-9933-8D237F039F4D}</x14:id>
        </ext>
      </extLst>
    </cfRule>
    <cfRule type="dataBar" priority="14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{EF38DBE3-AE4A-45A4-AEB5-8BBC960AD96D}</x14:id>
        </ext>
      </extLst>
    </cfRule>
    <cfRule type="dataBar" priority="150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{CCDE6686-467C-4678-9370-F8E4E7504E10}</x14:id>
        </ext>
      </extLst>
    </cfRule>
    <cfRule type="dataBar" priority="150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{38CA6E42-25FC-4F8A-B4C6-D0AB5F834C3F}</x14:id>
        </ext>
      </extLst>
    </cfRule>
    <cfRule type="dataBar" priority="15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{98FD6540-572A-41A9-B135-8E73A4191731}</x14:id>
        </ext>
      </extLst>
    </cfRule>
    <cfRule type="dataBar" priority="150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{1A9B88C8-D828-4059-9B94-5CB08CDDD1D3}</x14:id>
        </ext>
      </extLst>
    </cfRule>
    <cfRule type="dataBar" priority="150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{A82BB254-9971-4B68-B7CE-30616A0AAC23}</x14:id>
        </ext>
      </extLst>
    </cfRule>
    <cfRule type="dataBar" priority="149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{368A2F19-039E-4B24-B382-3560271DEA7B}</x14:id>
        </ext>
      </extLst>
    </cfRule>
    <cfRule type="dataBar" priority="1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{41818426-93F7-4DED-BC16-8153FE0DAF20}</x14:id>
        </ext>
      </extLst>
    </cfRule>
    <cfRule type="dataBar" priority="14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{33A0BD99-B884-4420-BCB4-C5DF9FD8802B}</x14:id>
        </ext>
      </extLst>
    </cfRule>
    <cfRule type="dataBar" priority="14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{4452EC74-1D14-45F2-8EDB-07D9536F7DD2}</x14:id>
        </ext>
      </extLst>
    </cfRule>
    <cfRule type="dataBar" priority="1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{9F7B685C-5E19-438D-986A-CE3F686A5951}</x14:id>
        </ext>
      </extLst>
    </cfRule>
    <cfRule type="dataBar" priority="1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{FC0B9031-B385-4630-ABB0-B03BAECAC5B0}</x14:id>
        </ext>
      </extLst>
    </cfRule>
    <cfRule type="dataBar" priority="14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{B320BABD-9836-4B37-B38B-942B39791B86}</x14:id>
        </ext>
      </extLst>
    </cfRule>
    <cfRule type="dataBar" priority="1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{5D0CB24D-30E2-486B-BCBF-0B234DD01909}</x14:id>
        </ext>
      </extLst>
    </cfRule>
    <cfRule type="dataBar" priority="14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{2515F5B7-313E-4485-BF49-F3EAB6064DE6}</x14:id>
        </ext>
      </extLst>
    </cfRule>
    <cfRule type="dataBar" priority="14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{1512EB0A-4198-4B58-8B6B-F7A75363DB8E}</x14:id>
        </ext>
      </extLst>
    </cfRule>
    <cfRule type="dataBar" priority="148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{15E391D4-81D5-42BD-BC2B-456B3B9F5D06}</x14:id>
        </ext>
      </extLst>
    </cfRule>
    <cfRule type="dataBar" priority="14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{A3D52EC9-E960-48B0-9173-6ECE352B8D77}</x14:id>
        </ext>
      </extLst>
    </cfRule>
    <cfRule type="dataBar" priority="14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{C002E268-E8D6-4801-AC54-1F67064CF395}</x14:id>
        </ext>
      </extLst>
    </cfRule>
    <cfRule type="dataBar" priority="148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{A437AA62-2756-4B6C-9D47-FC3085A0C16E}</x14:id>
        </ext>
      </extLst>
    </cfRule>
    <cfRule type="dataBar" priority="1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{EA1F75FB-07DC-49E8-BB00-A9F0FE4DEE08}</x14:id>
        </ext>
      </extLst>
    </cfRule>
    <cfRule type="dataBar" priority="148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{525AFD5D-73E8-4E22-95DA-6A369864461F}</x14:id>
        </ext>
      </extLst>
    </cfRule>
    <cfRule type="dataBar" priority="148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{6EAFD930-FC9F-4C1D-B3BC-437DF7664A4B}</x14:id>
        </ext>
      </extLst>
    </cfRule>
    <cfRule type="dataBar" priority="148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{77647A1C-51C4-445A-97DD-4AAFFBCA9482}</x14:id>
        </ext>
      </extLst>
    </cfRule>
    <cfRule type="dataBar" priority="149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{2DC65F29-088A-4FFD-ADEE-3888618446C3}</x14:id>
        </ext>
      </extLst>
    </cfRule>
  </conditionalFormatting>
  <conditionalFormatting sqref="L18">
    <cfRule type="dataBar" priority="14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{C070C2B5-EAEC-4BDA-B218-C91FC6D6FF6C}</x14:id>
        </ext>
      </extLst>
    </cfRule>
    <cfRule type="dataBar" priority="1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{B5BA6711-2AFB-4856-B1D6-91A2744B9180}</x14:id>
        </ext>
      </extLst>
    </cfRule>
    <cfRule type="dataBar" priority="14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{FF4A6BF7-91D6-48F7-80B4-5644BCBDD3DF}</x14:id>
        </ext>
      </extLst>
    </cfRule>
    <cfRule type="dataBar" priority="14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{511A5378-C6A5-43B0-8268-D3D209263A62}</x14:id>
        </ext>
      </extLst>
    </cfRule>
    <cfRule type="dataBar" priority="143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{E4133A4F-98C6-4733-AFD7-D91FEF2CF5BF}</x14:id>
        </ext>
      </extLst>
    </cfRule>
    <cfRule type="dataBar" priority="144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{241F25B9-3E8A-40BA-A8A8-AFD188FD9117}</x14:id>
        </ext>
      </extLst>
    </cfRule>
    <cfRule type="dataBar" priority="1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{5D757FDA-044B-45F6-B770-550D1F6F84D0}</x14:id>
        </ext>
      </extLst>
    </cfRule>
    <cfRule type="dataBar" priority="14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{60CF8728-1236-4AAE-A74F-77780EB0E3EF}</x14:id>
        </ext>
      </extLst>
    </cfRule>
    <cfRule type="dataBar" priority="14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{A3C06399-8D90-4C9C-BEA9-AFD1EC73194B}</x14:id>
        </ext>
      </extLst>
    </cfRule>
    <cfRule type="dataBar" priority="14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{35628B2E-DD4A-446C-98ED-9617D6F5AA6C}</x14:id>
        </ext>
      </extLst>
    </cfRule>
    <cfRule type="dataBar" priority="142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{03828ADD-A6CA-4D8F-80CE-0D08EC2A0C0D}</x14:id>
        </ext>
      </extLst>
    </cfRule>
    <cfRule type="dataBar" priority="14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{2975CA4E-9AD9-453C-ACAC-08122D0568B2}</x14:id>
        </ext>
      </extLst>
    </cfRule>
    <cfRule type="dataBar" priority="14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{BAF27F9A-E96D-4DA7-88DF-BBE0FE10941B}</x14:id>
        </ext>
      </extLst>
    </cfRule>
    <cfRule type="dataBar" priority="14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{E01F0EFC-3994-42D5-BB26-A1753E820471}</x14:id>
        </ext>
      </extLst>
    </cfRule>
    <cfRule type="dataBar" priority="14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{144BE5A1-A78F-455A-A94C-B937C9D899CD}</x14:id>
        </ext>
      </extLst>
    </cfRule>
    <cfRule type="dataBar" priority="142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{640A2B24-8407-4357-AE93-4B2ED3840121}</x14:id>
        </ext>
      </extLst>
    </cfRule>
    <cfRule type="dataBar" priority="14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{26C4E52C-D582-46BF-90B9-F6D79A3D7849}</x14:id>
        </ext>
      </extLst>
    </cfRule>
    <cfRule type="dataBar" priority="1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{0CAD647E-F902-4011-94B9-A80830BD6CAD}</x14:id>
        </ext>
      </extLst>
    </cfRule>
    <cfRule type="dataBar" priority="14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{AD5FF254-F3A2-4DE0-A2F8-A141CDC17BDC}</x14:id>
        </ext>
      </extLst>
    </cfRule>
    <cfRule type="dataBar" priority="14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{DC885453-5FF8-4453-ACCF-DFEABE302C9D}</x14:id>
        </ext>
      </extLst>
    </cfRule>
    <cfRule type="dataBar" priority="1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{D9A0C140-76EA-486E-B9DE-2ED15B1753D5}</x14:id>
        </ext>
      </extLst>
    </cfRule>
    <cfRule type="dataBar" priority="142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{5B6A7AC5-69F9-4E54-A841-C94BE7AC1CC1}</x14:id>
        </ext>
      </extLst>
    </cfRule>
    <cfRule type="dataBar" priority="144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{E6EAEB07-CE92-42EC-9B81-DC1B7B35E38E}</x14:id>
        </ext>
      </extLst>
    </cfRule>
    <cfRule type="dataBar" priority="143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{8273B79C-C616-49B8-8BF7-9B7ADF6E78AE}</x14:id>
        </ext>
      </extLst>
    </cfRule>
    <cfRule type="dataBar" priority="14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{465476FF-562C-441E-8D95-2B29E7C15766}</x14:id>
        </ext>
      </extLst>
    </cfRule>
    <cfRule type="dataBar" priority="14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{078A3C2D-7AA9-43AF-A897-3321F4CC9F47}</x14:id>
        </ext>
      </extLst>
    </cfRule>
    <cfRule type="dataBar" priority="1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{6091D04B-A733-47D6-B91C-E17B889B91E6}</x14:id>
        </ext>
      </extLst>
    </cfRule>
    <cfRule type="dataBar" priority="14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{7EBE195E-8DEF-4364-A550-E29F19A705DC}</x14:id>
        </ext>
      </extLst>
    </cfRule>
    <cfRule type="dataBar" priority="14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{CD067070-442F-4102-A165-9556A6856CB6}</x14:id>
        </ext>
      </extLst>
    </cfRule>
    <cfRule type="dataBar" priority="144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{A2FD9066-7480-4B5F-B14B-14D990781131}</x14:id>
        </ext>
      </extLst>
    </cfRule>
  </conditionalFormatting>
  <conditionalFormatting sqref="L19">
    <cfRule type="dataBar" priority="59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{62A7C797-97E5-4B87-AF5E-C22EC185BB3E}</x14:id>
        </ext>
      </extLst>
    </cfRule>
    <cfRule type="dataBar" priority="58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{9A30D477-533D-41E0-A741-88D8B3914EF5}</x14:id>
        </ext>
      </extLst>
    </cfRule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{CC4D415B-A6AF-494C-946E-C8B1EF015F25}</x14:id>
        </ext>
      </extLst>
    </cfRule>
    <cfRule type="dataBar" priority="5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{DA4A07C7-0CFC-4D02-95A7-74D233A3F5F5}</x14:id>
        </ext>
      </extLst>
    </cfRule>
    <cfRule type="dataBar" priority="59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{A4AFEFB1-6F51-482E-84CF-06FCB20E10C8}</x14:id>
        </ext>
      </extLst>
    </cfRule>
    <cfRule type="dataBar" priority="59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{E8821BA0-C5AF-4BF8-BBDA-A64E886D3143}</x14:id>
        </ext>
      </extLst>
    </cfRule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{57594404-BD6C-4E0A-B8B6-126565BB2460}</x14:id>
        </ext>
      </extLst>
    </cfRule>
    <cfRule type="dataBar" priority="5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{835E6D7A-822E-4DFE-A95C-B487D65A8293}</x14:id>
        </ext>
      </extLst>
    </cfRule>
    <cfRule type="dataBar" priority="5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{A7DBE91A-2EC9-40DD-B3EB-2CA02DEE32A5}</x14:id>
        </ext>
      </extLst>
    </cfRule>
    <cfRule type="dataBar" priority="5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{FCC287E3-0EF7-4CCB-A57D-C568834BF975}</x14:id>
        </ext>
      </extLst>
    </cfRule>
    <cfRule type="dataBar" priority="5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{21CCD5C7-7892-4884-9CAC-5188B3BDE7FE}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{182B36C7-7310-4AF7-951D-13C9BEB2C012}</x14:id>
        </ext>
      </extLst>
    </cfRule>
    <cfRule type="dataBar" priority="5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{73D17CCF-900C-4C6A-93D8-DD896F46F63B}</x14:id>
        </ext>
      </extLst>
    </cfRule>
  </conditionalFormatting>
  <conditionalFormatting sqref="L20:L27">
    <cfRule type="dataBar" priority="25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{258A89FA-E514-4468-AD61-B88464E4BD2A}</x14:id>
        </ext>
      </extLst>
    </cfRule>
    <cfRule type="dataBar" priority="25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{E4CF2BDF-C38C-45B3-85B4-3A3843DECDC4}</x14:id>
        </ext>
      </extLst>
    </cfRule>
    <cfRule type="dataBar" priority="2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{8B213D62-75EA-44F1-A062-6CEF0C3F68FB}</x14:id>
        </ext>
      </extLst>
    </cfRule>
    <cfRule type="dataBar" priority="25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{B36F49F1-A022-4C2B-96F2-335FDD66E8CD}</x14:id>
        </ext>
      </extLst>
    </cfRule>
    <cfRule type="dataBar" priority="25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{AB06B874-156A-4940-A5D1-6FF0B7027F40}</x14:id>
        </ext>
      </extLst>
    </cfRule>
    <cfRule type="dataBar" priority="2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{099EB4CE-E4B5-4E92-914B-0478E248EDD3}</x14:id>
        </ext>
      </extLst>
    </cfRule>
    <cfRule type="dataBar" priority="251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{22AF1D85-76C6-4707-8689-DA3169D30071}</x14:id>
        </ext>
      </extLst>
    </cfRule>
    <cfRule type="dataBar" priority="251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{5B65329B-0000-47DB-A74F-5AE2F1C8E831}</x14:id>
        </ext>
      </extLst>
    </cfRule>
    <cfRule type="dataBar" priority="251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{3090F45F-3B08-462A-83F6-5E23790A6D10}</x14:id>
        </ext>
      </extLst>
    </cfRule>
    <cfRule type="dataBar" priority="251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{BCC4D7EB-2036-4A15-82AA-850F0875825F}</x14:id>
        </ext>
      </extLst>
    </cfRule>
    <cfRule type="dataBar" priority="2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{AB495F66-F563-445F-8EC5-EF988EE12348}</x14:id>
        </ext>
      </extLst>
    </cfRule>
    <cfRule type="dataBar" priority="251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{96377038-764C-4C5E-A784-3A3D3071D966}</x14:id>
        </ext>
      </extLst>
    </cfRule>
    <cfRule type="dataBar" priority="25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{EF0013F8-4923-4833-BC90-D823BEE0C5F6}</x14:id>
        </ext>
      </extLst>
    </cfRule>
    <cfRule type="dataBar" priority="251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{46440D33-E35E-41A7-A9BD-469D19CEF7E9}</x14:id>
        </ext>
      </extLst>
    </cfRule>
    <cfRule type="dataBar" priority="25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{CBCB3176-2C2C-4DDC-AFAA-766DED51ED80}</x14:id>
        </ext>
      </extLst>
    </cfRule>
    <cfRule type="dataBar" priority="252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{484AA217-C1D1-4E03-BCAF-41015DFDAF77}</x14:id>
        </ext>
      </extLst>
    </cfRule>
    <cfRule type="dataBar" priority="2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{0DB5542D-06FB-4106-8C5B-DF53DEB9AA69}</x14:id>
        </ext>
      </extLst>
    </cfRule>
  </conditionalFormatting>
  <conditionalFormatting sqref="L28">
    <cfRule type="dataBar" priority="25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{697540B6-C363-4AE8-9E72-F0FD629DA4F8}</x14:id>
        </ext>
      </extLst>
    </cfRule>
    <cfRule type="dataBar" priority="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{FB4C2138-783D-4200-AFCE-D0FA96264417}</x14:id>
        </ext>
      </extLst>
    </cfRule>
    <cfRule type="dataBar" priority="255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{FBE57B86-968D-4DD1-B67C-F7966BDAB7B6}</x14:id>
        </ext>
      </extLst>
    </cfRule>
    <cfRule type="dataBar" priority="255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{D097E8A4-C79A-4E16-8D35-241F7742D947}</x14:id>
        </ext>
      </extLst>
    </cfRule>
    <cfRule type="dataBar" priority="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{0826FD1C-0101-4AFE-AE9B-AD01FA7CF0FC}</x14:id>
        </ext>
      </extLst>
    </cfRule>
    <cfRule type="dataBar" priority="25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{43161E4D-75B6-48D8-901D-F64572C3E5B1}</x14:id>
        </ext>
      </extLst>
    </cfRule>
    <cfRule type="dataBar" priority="255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{AA747099-9872-4B93-A5E4-67F2A103D063}</x14:id>
        </ext>
      </extLst>
    </cfRule>
    <cfRule type="dataBar" priority="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{EBE7351F-2157-42F3-BA0F-224DA59919C9}</x14:id>
        </ext>
      </extLst>
    </cfRule>
    <cfRule type="dataBar" priority="255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{B34F2A91-C5FF-478E-834B-A03EC34983C3}</x14:id>
        </ext>
      </extLst>
    </cfRule>
    <cfRule type="dataBar" priority="255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{1F16AC90-A4D2-4856-BC56-615576ED1974}</x14:id>
        </ext>
      </extLst>
    </cfRule>
    <cfRule type="dataBar" priority="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{17B1BDC5-11F3-4FCA-8F14-5D1A3F4F9075}</x14:id>
        </ext>
      </extLst>
    </cfRule>
    <cfRule type="dataBar" priority="255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{C7EBC511-999A-44B4-9602-C1AEE3872436}</x14:id>
        </ext>
      </extLst>
    </cfRule>
    <cfRule type="dataBar" priority="255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{25615F43-90BA-4E6A-B34E-A52CF7A9B67C}</x14:id>
        </ext>
      </extLst>
    </cfRule>
  </conditionalFormatting>
  <conditionalFormatting sqref="L29">
    <cfRule type="dataBar" priority="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{40E1C19B-19C9-437F-8C05-7A842C37B178}</x14:id>
        </ext>
      </extLst>
    </cfRule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{EA53CB1B-4D0B-4694-83C1-371486C58965}</x14:id>
        </ext>
      </extLst>
    </cfRule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{86228547-5EA7-4BEC-AC8E-725732EDFBB3}</x14:id>
        </ext>
      </extLst>
    </cfRule>
    <cfRule type="dataBar" priority="4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{D5B39E41-5059-4940-A48B-D4D6AC0DF8F0}</x14:id>
        </ext>
      </extLst>
    </cfRule>
    <cfRule type="dataBar" priority="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{445DF4A3-263B-4748-B4B3-1FB6F14690FE}</x14:id>
        </ext>
      </extLst>
    </cfRule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{0AEC9FBA-6AD6-4C68-AF24-4AFF8BBF452B}</x14:id>
        </ext>
      </extLst>
    </cfRule>
    <cfRule type="dataBar" priority="5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{5100C0C6-34C5-45F3-A14A-30CE7F7893FA}</x14:id>
        </ext>
      </extLst>
    </cfRule>
    <cfRule type="dataBar" priority="5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{F498D222-3AE5-41D7-9EB0-9E2D5097799B}</x14:id>
        </ext>
      </extLst>
    </cfRule>
    <cfRule type="dataBar" priority="5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{67563BFD-0E5E-48F6-8B80-AC3BBEB0DA93}</x14:id>
        </ext>
      </extLst>
    </cfRule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{92C03E15-1305-41CE-B1A0-5F359CDA5EA9}</x14:id>
        </ext>
      </extLst>
    </cfRule>
    <cfRule type="dataBar" priority="6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{1EF8118A-2AC7-40F2-8698-9F9B460E0DFF}</x14:id>
        </ext>
      </extLst>
    </cfRule>
    <cfRule type="dataBar" priority="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{0DC8804C-5F3F-4624-9254-2A4261B8CACC}</x14:id>
        </ext>
      </extLst>
    </cfRule>
    <cfRule type="dataBar" priority="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{EC4F0DE7-03E7-4EF2-9C20-FF0A79295FBD}</x14:id>
        </ext>
      </extLst>
    </cfRule>
  </conditionalFormatting>
  <conditionalFormatting sqref="M22:N23 M21 N24:N26 K5:K26 M5:N20 M24:M28">
    <cfRule type="dataBar" priority="59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{9373AE4B-D520-4223-8D06-CC737164E290}</x14:id>
        </ext>
      </extLst>
    </cfRule>
    <cfRule type="dataBar" priority="59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{7F722A2A-5F6A-438D-91E0-968C8594AE9D}</x14:id>
        </ext>
      </extLst>
    </cfRule>
    <cfRule type="dataBar" priority="596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{CB6E501C-CAF2-46CB-91B9-E503B809FDD1}</x14:id>
        </ext>
      </extLst>
    </cfRule>
    <cfRule type="dataBar" priority="596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{B19B9988-60B5-4BE4-A1A8-1C7E8136C957}</x14:id>
        </ext>
      </extLst>
    </cfRule>
    <cfRule type="dataBar" priority="596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{D655E9F8-2D38-4424-97D3-1019656C0ED0}</x14:id>
        </ext>
      </extLst>
    </cfRule>
    <cfRule type="dataBar" priority="596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{A5137CAF-BC5A-446D-B07A-A269A11DF44C}</x14:id>
        </ext>
      </extLst>
    </cfRule>
    <cfRule type="dataBar" priority="5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{08A0F22E-A50A-481D-998E-EA06CFCFADD0}</x14:id>
        </ext>
      </extLst>
    </cfRule>
    <cfRule type="dataBar" priority="59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{C29E20AA-6E94-4910-AB7F-F4FC0BA676AB}</x14:id>
        </ext>
      </extLst>
    </cfRule>
    <cfRule type="dataBar" priority="600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{DF6A0E06-3D42-44CE-92D2-5A5F700828FB}</x14:id>
        </ext>
      </extLst>
    </cfRule>
    <cfRule type="dataBar" priority="6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{F0F02F6D-51C6-4182-B232-627D2518AA4D}</x14:id>
        </ext>
      </extLst>
    </cfRule>
    <cfRule type="dataBar" priority="60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{937E1D3C-EE53-487E-9D6D-95FD7E90EA8B}</x14:id>
        </ext>
      </extLst>
    </cfRule>
    <cfRule type="dataBar" priority="60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{2A6DF16D-67E7-43CD-9B08-1D4BD01BD62B}</x14:id>
        </ext>
      </extLst>
    </cfRule>
    <cfRule type="dataBar" priority="6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{49748828-C669-4FA3-847C-BAF430CCDBA2}</x14:id>
        </ext>
      </extLst>
    </cfRule>
    <cfRule type="dataBar" priority="60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{543BC292-E66B-4578-8F6A-CB17E272E1C8}</x14:id>
        </ext>
      </extLst>
    </cfRule>
    <cfRule type="dataBar" priority="599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{75388358-2903-4BE8-8248-47203673BF60}</x14:id>
        </ext>
      </extLst>
    </cfRule>
    <cfRule type="dataBar" priority="6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{55154A4F-4C46-4B8B-A32C-29F61AD5C6FC}</x14:id>
        </ext>
      </extLst>
    </cfRule>
    <cfRule type="dataBar" priority="59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{E59FCFC9-6543-421E-A6B5-91B0C5528C4F}</x14:id>
        </ext>
      </extLst>
    </cfRule>
  </conditionalFormatting>
  <conditionalFormatting sqref="O6">
    <cfRule type="dataBar" priority="209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{533DAD5B-341A-484E-B615-54032C8EC0DC}</x14:id>
        </ext>
      </extLst>
    </cfRule>
  </conditionalFormatting>
  <conditionalFormatting sqref="O7:O14 O5 O16:O18 O20:O22">
    <cfRule type="dataBar" priority="2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{927C7D4F-70A1-4487-AB15-C5FA96CDE8F0}</x14:id>
        </ext>
      </extLst>
    </cfRule>
  </conditionalFormatting>
  <conditionalFormatting sqref="O15">
    <cfRule type="dataBar" priority="209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{8A152A11-C51C-4E08-B834-1E0EF54E7113}</x14:id>
        </ext>
      </extLst>
    </cfRule>
  </conditionalFormatting>
  <conditionalFormatting sqref="O17">
    <cfRule type="dataBar" priority="218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{E7029E13-3246-44BA-B565-BD7C3779F7AB}</x14:id>
        </ext>
      </extLst>
    </cfRule>
  </conditionalFormatting>
  <conditionalFormatting sqref="O18">
    <cfRule type="dataBar" priority="21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{30AE3068-4109-4DA8-9893-3E21B8B559DA}</x14:id>
        </ext>
      </extLst>
    </cfRule>
  </conditionalFormatting>
  <conditionalFormatting sqref="O19">
    <cfRule type="dataBar" priority="20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{5D8790B5-0D3A-4B3C-84A2-7AD93C61F9C5}</x14:id>
        </ext>
      </extLst>
    </cfRule>
  </conditionalFormatting>
  <conditionalFormatting sqref="O20">
    <cfRule type="dataBar" priority="21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{3B96D13B-2DC6-4BFD-98E1-0C5BE18AE0F3}</x14:id>
        </ext>
      </extLst>
    </cfRule>
  </conditionalFormatting>
  <conditionalFormatting sqref="O24">
    <cfRule type="dataBar" priority="21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{CF6A4F46-FBBD-4F61-858F-744BDC9A6FBB}</x14:id>
        </ext>
      </extLst>
    </cfRule>
  </conditionalFormatting>
  <conditionalFormatting sqref="P5:P22">
    <cfRule type="dataBar" priority="2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{9A79DF2D-5C9E-40D5-9D3D-2630808829A6}</x14:id>
        </ext>
      </extLst>
    </cfRule>
    <cfRule type="dataBar" priority="23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{DAF94AC9-4B7A-4CCC-BC18-895FBBF0B439}</x14:id>
        </ext>
      </extLst>
    </cfRule>
    <cfRule type="dataBar" priority="238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{6461A6D6-C3E5-4593-ADE8-D76E7C2FE658}</x14:id>
        </ext>
      </extLst>
    </cfRule>
    <cfRule type="dataBar" priority="2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{60F094B8-14DC-4150-A1B6-A0F970894FEE}</x14:id>
        </ext>
      </extLst>
    </cfRule>
    <cfRule type="dataBar" priority="238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{7C040EE2-595A-44F3-A4AA-EF8AA30264C8}</x14:id>
        </ext>
      </extLst>
    </cfRule>
    <cfRule type="dataBar" priority="23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{4251C7CD-30A4-4598-AF16-F5D1B28E9D3E}</x14:id>
        </ext>
      </extLst>
    </cfRule>
  </conditionalFormatting>
  <conditionalFormatting sqref="P5:P23">
    <cfRule type="dataBar" priority="2391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{30770BC2-A211-4D15-8DD9-0692BEDA3100}</x14:id>
        </ext>
      </extLst>
    </cfRule>
    <cfRule type="dataBar" priority="239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{D7119ACB-74A9-4CCF-B565-0A8D411C2938}</x14:id>
        </ext>
      </extLst>
    </cfRule>
  </conditionalFormatting>
  <conditionalFormatting sqref="P5:P26">
    <cfRule type="dataBar" priority="1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{E85F0F2D-0A62-433E-8A2B-A9BC43D8B069}</x14:id>
        </ext>
      </extLst>
    </cfRule>
    <cfRule type="dataBar" priority="256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{5AECFE04-DA4B-47AD-B290-0C98EE6895BB}</x14:id>
        </ext>
      </extLst>
    </cfRule>
  </conditionalFormatting>
  <conditionalFormatting sqref="P23">
    <cfRule type="dataBar" priority="2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{01212FCD-B4D0-4758-B479-2536BF921050}</x14:id>
        </ext>
      </extLst>
    </cfRule>
    <cfRule type="dataBar" priority="217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{7275BC1B-36F0-46D0-8162-410D356914E6}</x14:id>
        </ext>
      </extLst>
    </cfRule>
    <cfRule type="dataBar" priority="217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{89647C9B-05B8-42CE-8607-33E2BDD3C667}</x14:id>
        </ext>
      </extLst>
    </cfRule>
    <cfRule type="dataBar" priority="2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{A3BA1AE2-88FB-4AB4-BDD5-9148F2FA78AB}</x14:id>
        </ext>
      </extLst>
    </cfRule>
    <cfRule type="dataBar" priority="21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{91810E8B-01DE-40DE-B5EA-DFCA11D501FC}</x14:id>
        </ext>
      </extLst>
    </cfRule>
    <cfRule type="dataBar" priority="218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{7BF6F4D4-68CF-42FF-84A1-7F2D8F1E6F1C}</x14:id>
        </ext>
      </extLst>
    </cfRule>
  </conditionalFormatting>
  <conditionalFormatting sqref="P24">
    <cfRule type="dataBar" priority="212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{F6E9FC05-41D8-4B82-AB76-18A6908D9E87}</x14:id>
        </ext>
      </extLst>
    </cfRule>
    <cfRule type="dataBar" priority="212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{51501766-EC5C-44FA-8941-EAF6A9CDF20C}</x14:id>
        </ext>
      </extLst>
    </cfRule>
    <cfRule type="dataBar" priority="212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{E4B547C3-A400-477E-A184-DF5A167BC5F6}</x14:id>
        </ext>
      </extLst>
    </cfRule>
    <cfRule type="dataBar" priority="21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{93FC9780-70AE-488B-BF1C-9F225BE544C4}</x14:id>
        </ext>
      </extLst>
    </cfRule>
    <cfRule type="dataBar" priority="2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{3AA659FD-AF7A-485E-A734-FCCBED2122EE}</x14:id>
        </ext>
      </extLst>
    </cfRule>
    <cfRule type="dataBar" priority="21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{0D1F81C3-38BF-4734-957E-3AFEEAF11E4A}</x14:id>
        </ext>
      </extLst>
    </cfRule>
    <cfRule type="dataBar" priority="21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{E2EEC9C7-EDDB-453D-A944-06ADE2648CBD}</x14:id>
        </ext>
      </extLst>
    </cfRule>
    <cfRule type="dataBar" priority="2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{F9D6C2A1-BE1A-4EE9-B114-3D68BB4FC829}</x14:id>
        </ext>
      </extLst>
    </cfRule>
  </conditionalFormatting>
  <conditionalFormatting sqref="P25">
    <cfRule type="dataBar" priority="205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{A40E5FE9-6331-410E-A530-FD194B298B0C}</x14:id>
        </ext>
      </extLst>
    </cfRule>
    <cfRule type="dataBar" priority="20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{E470031B-2C4A-431E-84DD-706D71BD41F3}</x14:id>
        </ext>
      </extLst>
    </cfRule>
    <cfRule type="dataBar" priority="20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{7CB119C8-49B7-4006-B026-5BAF3BCB2C96}</x14:id>
        </ext>
      </extLst>
    </cfRule>
    <cfRule type="dataBar" priority="205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{BFE637F0-9CF0-435F-B810-F4BCDA0F2BD2}</x14:id>
        </ext>
      </extLst>
    </cfRule>
    <cfRule type="dataBar" priority="205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{2FF6B0B7-63CC-416A-83ED-002237BCA3A6}</x14:id>
        </ext>
      </extLst>
    </cfRule>
    <cfRule type="dataBar" priority="204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{B827BFF7-5208-472D-BA71-3D315B6D95FE}</x14:id>
        </ext>
      </extLst>
    </cfRule>
    <cfRule type="dataBar" priority="20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{E68405D6-B66C-48D0-A623-A197E08562F9}</x14:id>
        </ext>
      </extLst>
    </cfRule>
    <cfRule type="dataBar" priority="20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{790AF28D-3589-4AC4-A752-D76D4243FF9E}</x14:id>
        </ext>
      </extLst>
    </cfRule>
  </conditionalFormatting>
  <conditionalFormatting sqref="P26">
    <cfRule type="dataBar" priority="256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{F4FDC923-EC8F-42A1-B196-E598BDD5F299}</x14:id>
        </ext>
      </extLst>
    </cfRule>
    <cfRule type="dataBar" priority="2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{CF6F3347-D504-4127-8483-D68C55BFA56D}</x14:id>
        </ext>
      </extLst>
    </cfRule>
    <cfRule type="dataBar" priority="256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{1C60A669-2FCF-4E73-9106-7D1C937112E5}</x14:id>
        </ext>
      </extLst>
    </cfRule>
    <cfRule type="dataBar" priority="2561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{DB0214AF-7598-4CE4-B13B-C8CEEF58106E}</x14:id>
        </ext>
      </extLst>
    </cfRule>
    <cfRule type="dataBar" priority="2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{6BDAED88-77B5-4877-AB4D-C4A79F343A0C}</x14:id>
        </ext>
      </extLst>
    </cfRule>
    <cfRule type="dataBar" priority="256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{8921BB94-5627-41E3-B117-9C1B5FD224DE}</x14:id>
        </ext>
      </extLst>
    </cfRule>
    <cfRule type="dataBar" priority="256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{CF4E581D-2E4B-40B8-9F14-BB40A70D5CC6}</x14:id>
        </ext>
      </extLst>
    </cfRule>
    <cfRule type="dataBar" priority="256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{3AB31B76-8258-488B-8C97-B55D953A60C9}</x14:id>
        </ext>
      </extLst>
    </cfRule>
  </conditionalFormatting>
  <conditionalFormatting sqref="Q5">
    <cfRule type="dataBar" priority="20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{3E633762-7C8A-49D0-9A3B-978085EC4D7F}</x14:id>
        </ext>
      </extLst>
    </cfRule>
    <cfRule type="dataBar" priority="20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{22F0AC20-D951-4277-BCE7-7D46FF2C4753}</x14:id>
        </ext>
      </extLst>
    </cfRule>
    <cfRule type="dataBar" priority="202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{CD22BE7D-76CB-4BFF-AFB3-040074E3DDDC}</x14:id>
        </ext>
      </extLst>
    </cfRule>
    <cfRule type="dataBar" priority="202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{33D12F9B-6839-46F5-AC98-2172CEA084F1}</x14:id>
        </ext>
      </extLst>
    </cfRule>
    <cfRule type="dataBar" priority="202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{15DD991D-7101-45F7-920E-2A93D362A7CE}</x14:id>
        </ext>
      </extLst>
    </cfRule>
    <cfRule type="dataBar" priority="202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{0E932712-0D8C-42F8-A607-03900D700E63}</x14:id>
        </ext>
      </extLst>
    </cfRule>
    <cfRule type="dataBar" priority="203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{CEEC39BD-C3CF-4E5B-96A6-999A808601DA}</x14:id>
        </ext>
      </extLst>
    </cfRule>
    <cfRule type="dataBar" priority="20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{C2710769-14C2-470F-9173-5790FC2FE3FF}</x14:id>
        </ext>
      </extLst>
    </cfRule>
    <cfRule type="dataBar" priority="20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{6FA6852E-C5A1-4064-B707-96E69FACB70E}</x14:id>
        </ext>
      </extLst>
    </cfRule>
    <cfRule type="dataBar" priority="20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{F61BCBF4-916B-4DF0-B7B9-67F035CD2DE6}</x14:id>
        </ext>
      </extLst>
    </cfRule>
    <cfRule type="dataBar" priority="2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{B3E6EE6F-1753-42E9-920F-12BFC835C190}</x14:id>
        </ext>
      </extLst>
    </cfRule>
    <cfRule type="dataBar" priority="20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{91930C4E-F319-4AF6-BADD-DF0BD49211F2}</x14:id>
        </ext>
      </extLst>
    </cfRule>
    <cfRule type="dataBar" priority="20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{2B5089BA-C2F1-4D68-8DB0-3280C61A9CD8}</x14:id>
        </ext>
      </extLst>
    </cfRule>
    <cfRule type="dataBar" priority="20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{B087CF5C-AB5F-468F-9A0B-1BBC2902A754}</x14:id>
        </ext>
      </extLst>
    </cfRule>
    <cfRule type="dataBar" priority="20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{89E992FE-E7FE-4E06-84B7-E8B9607A751E}</x14:id>
        </ext>
      </extLst>
    </cfRule>
    <cfRule type="dataBar" priority="2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{E46E26C2-19B5-48CE-86A7-14E73723C36D}</x14:id>
        </ext>
      </extLst>
    </cfRule>
    <cfRule type="dataBar" priority="2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{C57C223D-BBCC-49BD-9A68-98A21BD82947}</x14:id>
        </ext>
      </extLst>
    </cfRule>
  </conditionalFormatting>
  <conditionalFormatting sqref="Q6">
    <cfRule type="dataBar" priority="57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{53B4F266-1E51-4BA4-83A9-DBF5656CEEE9}</x14:id>
        </ext>
      </extLst>
    </cfRule>
    <cfRule type="dataBar" priority="5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{2F9A4F3C-DAAE-4780-9567-EC44D5FF41EC}</x14:id>
        </ext>
      </extLst>
    </cfRule>
    <cfRule type="dataBar" priority="5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{E9AAED39-9CB7-49B2-BAF5-09A647A2B45B}</x14:id>
        </ext>
      </extLst>
    </cfRule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{4700E157-9D02-40AB-83A0-34E073CA8D3B}</x14:id>
        </ext>
      </extLst>
    </cfRule>
    <cfRule type="dataBar" priority="57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{7EAD040F-BEF6-47D5-B9F7-88BD30F01329}</x14:id>
        </ext>
      </extLst>
    </cfRule>
    <cfRule type="dataBar" priority="5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{757FF36D-C215-407C-A6D1-540F8A85DF58}</x14:id>
        </ext>
      </extLst>
    </cfRule>
    <cfRule type="dataBar" priority="58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{B38F898C-01A2-4A7C-A991-372BCB82B516}</x14:id>
        </ext>
      </extLst>
    </cfRule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{4C7338BC-AEC7-47B9-9F71-7E95943E0C9C}</x14:id>
        </ext>
      </extLst>
    </cfRule>
    <cfRule type="dataBar" priority="57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{C1C89465-99E1-459E-8C51-1FFDBC197754}</x14:id>
        </ext>
      </extLst>
    </cfRule>
    <cfRule type="dataBar" priority="57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{1597133B-ED1D-4B7D-A38F-873E4ACB0484}</x14:id>
        </ext>
      </extLst>
    </cfRule>
    <cfRule type="dataBar" priority="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{430177D2-03A7-4725-914D-D248174750E0}</x14:id>
        </ext>
      </extLst>
    </cfRule>
    <cfRule type="dataBar" priority="57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{73A46128-D5BC-4831-8F58-C17CB7E39EA1}</x14:id>
        </ext>
      </extLst>
    </cfRule>
    <cfRule type="dataBar" priority="57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{CEB4AFD7-D61F-4303-AE26-549747896810}</x14:id>
        </ext>
      </extLst>
    </cfRule>
  </conditionalFormatting>
  <conditionalFormatting sqref="Q7:Q14">
    <cfRule type="dataBar" priority="17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{EC10D150-1E31-4ED5-A1EB-C58B5994F459}</x14:id>
        </ext>
      </extLst>
    </cfRule>
    <cfRule type="dataBar" priority="174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{FB9CC38A-CF7B-4F14-B00B-E1A229D085A5}</x14:id>
        </ext>
      </extLst>
    </cfRule>
    <cfRule type="dataBar" priority="174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{6DEAE131-BEE1-4B75-99D2-98D1D5F6CAEA}</x14:id>
        </ext>
      </extLst>
    </cfRule>
    <cfRule type="dataBar" priority="17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{3A59FF9F-4E15-4D6B-B4A3-E5D186F6FEAA}</x14:id>
        </ext>
      </extLst>
    </cfRule>
    <cfRule type="dataBar" priority="17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{3855D7D3-DE7F-4F53-B91D-51939B3AA8DA}</x14:id>
        </ext>
      </extLst>
    </cfRule>
    <cfRule type="dataBar" priority="1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{801D6F68-0154-48C8-A202-D975B8B70BFA}</x14:id>
        </ext>
      </extLst>
    </cfRule>
    <cfRule type="dataBar" priority="1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{8CD135D3-3E33-467F-B709-CFCF1ABB159E}</x14:id>
        </ext>
      </extLst>
    </cfRule>
    <cfRule type="dataBar" priority="17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{2DDEBA1D-5B71-468E-B80F-779D5E607B45}</x14:id>
        </ext>
      </extLst>
    </cfRule>
    <cfRule type="dataBar" priority="17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{7C7F59D7-A057-426B-B154-CB605E10BC20}</x14:id>
        </ext>
      </extLst>
    </cfRule>
    <cfRule type="dataBar" priority="17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{126B6547-EAC8-4360-B56A-E6C174123035}</x14:id>
        </ext>
      </extLst>
    </cfRule>
    <cfRule type="dataBar" priority="1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{A68C838F-50EE-4377-831D-DD97A08AE05A}</x14:id>
        </ext>
      </extLst>
    </cfRule>
    <cfRule type="dataBar" priority="17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{9C134527-CEDF-4A5B-A510-FDB77385C8DD}</x14:id>
        </ext>
      </extLst>
    </cfRule>
    <cfRule type="dataBar" priority="17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{CF9FA136-EC1F-4EBE-9CD5-4506CB3EC29C}</x14:id>
        </ext>
      </extLst>
    </cfRule>
    <cfRule type="dataBar" priority="17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{A748ADEE-7BDE-4BF6-A1C7-2F28A33F1F80}</x14:id>
        </ext>
      </extLst>
    </cfRule>
    <cfRule type="dataBar" priority="172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{D0A2F576-7616-4FC5-BCEF-FD10BFFBAAE3}</x14:id>
        </ext>
      </extLst>
    </cfRule>
    <cfRule type="dataBar" priority="17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{7CA45FDB-9FB3-4D59-998B-BB79CAC41C01}</x14:id>
        </ext>
      </extLst>
    </cfRule>
    <cfRule type="dataBar" priority="172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{52D172AA-7C4E-4C9A-98E1-6974E520ACD9}</x14:id>
        </ext>
      </extLst>
    </cfRule>
    <cfRule type="dataBar" priority="172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{3381BB64-F159-4354-A57B-0837DECF04C9}</x14:id>
        </ext>
      </extLst>
    </cfRule>
    <cfRule type="dataBar" priority="173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{CB67FB19-BADE-4DA5-B852-FE6317B265E8}</x14:id>
        </ext>
      </extLst>
    </cfRule>
    <cfRule type="dataBar" priority="174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{664EED53-CB72-4D9E-A1A0-0879AA8D3349}</x14:id>
        </ext>
      </extLst>
    </cfRule>
    <cfRule type="dataBar" priority="17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{337E6FB0-0AF9-4B06-B5AC-E559E24D8103}</x14:id>
        </ext>
      </extLst>
    </cfRule>
    <cfRule type="dataBar" priority="17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{89556570-AFC2-444F-93FA-88522D54028E}</x14:id>
        </ext>
      </extLst>
    </cfRule>
    <cfRule type="dataBar" priority="17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{ABD374D5-1479-4DB0-B4B7-070B10E419D9}</x14:id>
        </ext>
      </extLst>
    </cfRule>
    <cfRule type="dataBar" priority="1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{B850F653-83AE-4490-AFD8-6D391DCE5C81}</x14:id>
        </ext>
      </extLst>
    </cfRule>
    <cfRule type="dataBar" priority="1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{407C0B3F-1A5F-4F21-B9E1-D9439C29A63D}</x14:id>
        </ext>
      </extLst>
    </cfRule>
    <cfRule type="dataBar" priority="17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{A8625666-D1A5-4339-B6ED-E0D78C33CFBE}</x14:id>
        </ext>
      </extLst>
    </cfRule>
    <cfRule type="dataBar" priority="17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{567D0F96-5D58-4A38-A7B4-ACB8562836F4}</x14:id>
        </ext>
      </extLst>
    </cfRule>
    <cfRule type="dataBar" priority="1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{1EA3F020-1B9F-4184-9E24-74381D6B84C6}</x14:id>
        </ext>
      </extLst>
    </cfRule>
    <cfRule type="dataBar" priority="17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{8DE7B259-83CE-43B5-9066-B950625BD0EC}</x14:id>
        </ext>
      </extLst>
    </cfRule>
    <cfRule type="dataBar" priority="173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{A9EFE97E-3DD1-4374-894A-DD40221C83AE}</x14:id>
        </ext>
      </extLst>
    </cfRule>
  </conditionalFormatting>
  <conditionalFormatting sqref="Q15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{A97E6314-E481-4526-98BB-8ACDC9EED786}</x14:id>
        </ext>
      </extLst>
    </cfRule>
    <cfRule type="dataBar" priority="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{3060A13C-C83B-4B7C-AB09-80762E0F2EA5}</x14:id>
        </ext>
      </extLst>
    </cfRule>
    <cfRule type="dataBar" priority="3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{0EFBCC1C-DF36-42F9-BC9E-FDB59B9C84F3}</x14:id>
        </ext>
      </extLst>
    </cfRule>
    <cfRule type="dataBar" priority="3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{E1A2114A-8549-4DEF-89DB-3981B572FC34}</x14:id>
        </ext>
      </extLst>
    </cfRule>
    <cfRule type="dataBar" priority="3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{74977695-808C-4BE7-91C3-BD2649A07E6B}</x14:id>
        </ext>
      </extLst>
    </cfRule>
    <cfRule type="dataBar" priority="31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{61B3410E-CB9F-48C5-9910-74E2675CE1A7}</x14:id>
        </ext>
      </extLst>
    </cfRule>
    <cfRule type="dataBar" priority="31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{DC02A9BA-F137-4018-A8D6-D11E613E23B3}</x14:id>
        </ext>
      </extLst>
    </cfRule>
    <cfRule type="dataBar" priority="31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{13A2E038-DA32-4AD9-A645-8D68FECF7904}</x14:id>
        </ext>
      </extLst>
    </cfRule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{6C262B7B-89E4-4E48-AC26-717BEC0503BE}</x14:id>
        </ext>
      </extLst>
    </cfRule>
    <cfRule type="dataBar" priority="3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{8D31B02F-A98A-49E2-A202-EA22C968B207}</x14:id>
        </ext>
      </extLst>
    </cfRule>
    <cfRule type="dataBar" priority="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{18DB4674-9638-4ED2-BEB2-5EFA6C08A929}</x14:id>
        </ext>
      </extLst>
    </cfRule>
    <cfRule type="dataBar" priority="3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{8FC13E90-708E-42FA-B068-A5629C95E4BA}</x14:id>
        </ext>
      </extLst>
    </cfRule>
    <cfRule type="dataBar" priority="3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{F88C40A5-485F-4E7F-8AB3-32278FAE7FDD}</x14:id>
        </ext>
      </extLst>
    </cfRule>
  </conditionalFormatting>
  <conditionalFormatting sqref="Q16:Q23">
    <cfRule type="dataBar" priority="169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{84457330-5B04-4C32-A7D5-A6A4EF68F947}</x14:id>
        </ext>
      </extLst>
    </cfRule>
    <cfRule type="dataBar" priority="16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{11988AFA-7A47-41A8-BE4A-F754B06A522A}</x14:id>
        </ext>
      </extLst>
    </cfRule>
    <cfRule type="dataBar" priority="168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{A524E3AF-159A-4DBC-99D2-F1F4F9167D7E}</x14:id>
        </ext>
      </extLst>
    </cfRule>
    <cfRule type="dataBar" priority="1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{31C6B6CD-421A-452E-8BE2-61285C8F3BAF}</x14:id>
        </ext>
      </extLst>
    </cfRule>
    <cfRule type="dataBar" priority="16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{5F19E3DC-0BF2-4629-B668-B848F30FF967}</x14:id>
        </ext>
      </extLst>
    </cfRule>
    <cfRule type="dataBar" priority="16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{2B39B845-5C91-4849-8685-FA636774DD66}</x14:id>
        </ext>
      </extLst>
    </cfRule>
    <cfRule type="dataBar" priority="16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{940B7148-3530-4432-9177-277583BC0183}</x14:id>
        </ext>
      </extLst>
    </cfRule>
    <cfRule type="dataBar" priority="1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{20CFCE8F-B687-4C1A-9BD0-D0F6490F29C2}</x14:id>
        </ext>
      </extLst>
    </cfRule>
    <cfRule type="dataBar" priority="17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{969E1264-0B49-4A11-9113-F3479BE93686}</x14:id>
        </ext>
      </extLst>
    </cfRule>
    <cfRule type="dataBar" priority="17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{9D143537-55F6-4833-86CE-D6C115BB8B03}</x14:id>
        </ext>
      </extLst>
    </cfRule>
    <cfRule type="dataBar" priority="1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{D4F50AAD-9108-4711-A21B-BF4587C3697C}</x14:id>
        </ext>
      </extLst>
    </cfRule>
    <cfRule type="dataBar" priority="17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{0251FDB3-CCFF-4D24-AFBA-AB3BA2ACA8CB}</x14:id>
        </ext>
      </extLst>
    </cfRule>
    <cfRule type="dataBar" priority="17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{C944448A-E8FA-4D65-8F34-1EFD52C01067}</x14:id>
        </ext>
      </extLst>
    </cfRule>
    <cfRule type="dataBar" priority="17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{1D273F6C-0295-44E1-84EA-B9384E08078C}</x14:id>
        </ext>
      </extLst>
    </cfRule>
    <cfRule type="dataBar" priority="17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{AC4F39DF-D941-4BE0-9716-8DA5DE57F796}</x14:id>
        </ext>
      </extLst>
    </cfRule>
    <cfRule type="dataBar" priority="1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{EC306812-0C1B-49F9-9FC9-ECCB3D9C279C}</x14:id>
        </ext>
      </extLst>
    </cfRule>
    <cfRule type="dataBar" priority="17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{F880F2AD-FA5D-465D-A6A7-1E314B551F00}</x14:id>
        </ext>
      </extLst>
    </cfRule>
    <cfRule type="dataBar" priority="17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{77B189DC-8601-4D34-9079-D6A274AE964A}</x14:id>
        </ext>
      </extLst>
    </cfRule>
    <cfRule type="dataBar" priority="1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{C2565D7F-D7ED-49C4-B7E3-65F9BB429805}</x14:id>
        </ext>
      </extLst>
    </cfRule>
    <cfRule type="dataBar" priority="1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{CB63B4A9-95E0-488B-BEAA-9D3E1C69C197}</x14:id>
        </ext>
      </extLst>
    </cfRule>
    <cfRule type="dataBar" priority="17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{0858D6AD-7B18-40B9-9B86-BE9C0D314005}</x14:id>
        </ext>
      </extLst>
    </cfRule>
    <cfRule type="dataBar" priority="1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{650D1A0A-60E5-438F-84FD-88F57EFD085C}</x14:id>
        </ext>
      </extLst>
    </cfRule>
    <cfRule type="dataBar" priority="170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{3AB45D46-A245-422B-823E-A9444AABFC4B}</x14:id>
        </ext>
      </extLst>
    </cfRule>
    <cfRule type="dataBar" priority="169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{9B84A2B8-ADF8-4AC9-888B-D34E67240C3C}</x14:id>
        </ext>
      </extLst>
    </cfRule>
    <cfRule type="dataBar" priority="169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{F0513443-0B23-426C-927A-182D3D00AAF4}</x14:id>
        </ext>
      </extLst>
    </cfRule>
    <cfRule type="dataBar" priority="169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{1F9ABFFA-514F-4FCF-B2EB-E451DAD2F987}</x14:id>
        </ext>
      </extLst>
    </cfRule>
    <cfRule type="dataBar" priority="16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{90B6C4CB-586A-405D-B833-6843CE2B2163}</x14:id>
        </ext>
      </extLst>
    </cfRule>
    <cfRule type="dataBar" priority="169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{E4AC745F-CFA0-481A-9420-2F55A2100FB2}</x14:id>
        </ext>
      </extLst>
    </cfRule>
    <cfRule type="dataBar" priority="169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{47D81DDC-B64E-4212-8D64-CE89CA04C4C8}</x14:id>
        </ext>
      </extLst>
    </cfRule>
    <cfRule type="dataBar" priority="169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{9341B9CE-8B2D-4E34-B18D-AF1550EEA752}</x14:id>
        </ext>
      </extLst>
    </cfRule>
  </conditionalFormatting>
  <conditionalFormatting sqref="Q24"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{68330856-8A91-496E-BE4E-45888566E8C2}</x14:id>
        </ext>
      </extLst>
    </cfRule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{FED28FA2-AF8E-4FB6-9D13-FA8DC3F8174F}</x14:id>
        </ext>
      </extLst>
    </cfRule>
    <cfRule type="dataBar" priority="5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{9C3E1928-1D8E-4994-84A4-235923CD385A}</x14:id>
        </ext>
      </extLst>
    </cfRule>
    <cfRule type="dataBar" priority="5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{0C8880CB-6C4C-4B0F-A46F-11699C8AA260}</x14:id>
        </ext>
      </extLst>
    </cfRule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{985A6343-6206-48CE-9067-8413319754B6}</x14:id>
        </ext>
      </extLst>
    </cfRule>
    <cfRule type="dataBar" priority="5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{0B5A7806-2A1E-4A7A-899A-4C7074ACF4DA}</x14:id>
        </ext>
      </extLst>
    </cfRule>
    <cfRule type="dataBar" priority="56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{B3618EB7-D3BD-4B9D-BDDB-89C112E5F808}</x14:id>
        </ext>
      </extLst>
    </cfRule>
    <cfRule type="dataBar" priority="56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{55E22020-AFC2-4FEE-B825-B184157FCDB6}</x14:id>
        </ext>
      </extLst>
    </cfRule>
    <cfRule type="dataBar" priority="56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{36756A3C-B0DB-46AA-A36B-BC4DF3CAEB31}</x14:id>
        </ext>
      </extLst>
    </cfRule>
    <cfRule type="dataBar" priority="5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{9750BBC3-1949-4BAA-B69D-2F97589A0299}</x14:id>
        </ext>
      </extLst>
    </cfRule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{13196DFD-F49A-46C3-A28F-7D3D6CCF4520}</x14:id>
        </ext>
      </extLst>
    </cfRule>
    <cfRule type="dataBar" priority="56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{3C06CDBC-0B16-4DA5-ACAB-FA77B6EE0DAE}</x14:id>
        </ext>
      </extLst>
    </cfRule>
    <cfRule type="dataBar" priority="5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{D9E4A093-2A55-4511-B7AC-DCEE61AB40B6}</x14:id>
        </ext>
      </extLst>
    </cfRule>
  </conditionalFormatting>
  <conditionalFormatting sqref="Q25:Q26">
    <cfRule type="dataBar" priority="16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{576DEA97-EEC0-449A-B762-5D1CC47C4174}</x14:id>
        </ext>
      </extLst>
    </cfRule>
    <cfRule type="dataBar" priority="16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{2987A007-EFE0-419D-873A-BD1208D47BCB}</x14:id>
        </ext>
      </extLst>
    </cfRule>
    <cfRule type="dataBar" priority="1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{DE727FA1-9458-44D6-95DC-3059920A2D38}</x14:id>
        </ext>
      </extLst>
    </cfRule>
    <cfRule type="dataBar" priority="166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{2D28079A-1908-4F95-AB51-7DFF8D098DE7}</x14:id>
        </ext>
      </extLst>
    </cfRule>
    <cfRule type="dataBar" priority="16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{CCC16775-DD80-4DF1-BD34-18FDD45176B8}</x14:id>
        </ext>
      </extLst>
    </cfRule>
    <cfRule type="dataBar" priority="16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{521A76FB-C215-4B23-A812-A3374E3CB76B}</x14:id>
        </ext>
      </extLst>
    </cfRule>
    <cfRule type="dataBar" priority="1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{EE655BA5-E143-4112-AA92-DE11B8585E32}</x14:id>
        </ext>
      </extLst>
    </cfRule>
    <cfRule type="dataBar" priority="16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{C0123830-1420-470B-A3E3-1C37C3B6E4F6}</x14:id>
        </ext>
      </extLst>
    </cfRule>
    <cfRule type="dataBar" priority="16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{D7AB3769-C5D2-4C2D-9EC8-2DC7BE661F0A}</x14:id>
        </ext>
      </extLst>
    </cfRule>
    <cfRule type="dataBar" priority="16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{B6EE7F1E-B8D9-4B66-AC6E-2B6EAADE6A71}</x14:id>
        </ext>
      </extLst>
    </cfRule>
    <cfRule type="dataBar" priority="16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{3A899721-1BB3-4172-8377-542FDAA5DE70}</x14:id>
        </ext>
      </extLst>
    </cfRule>
    <cfRule type="dataBar" priority="16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{3B3C9027-DE16-4163-A529-35DA562BBAD3}</x14:id>
        </ext>
      </extLst>
    </cfRule>
    <cfRule type="dataBar" priority="16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{3FF213F3-21FC-4DE8-9D7C-B8AC422C3F61}</x14:id>
        </ext>
      </extLst>
    </cfRule>
    <cfRule type="dataBar" priority="16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{18D1DDC9-865C-45BB-B400-5584A41AC71D}</x14:id>
        </ext>
      </extLst>
    </cfRule>
    <cfRule type="dataBar" priority="16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{69F46008-EC06-4AE1-9798-6241644F9593}</x14:id>
        </ext>
      </extLst>
    </cfRule>
    <cfRule type="dataBar" priority="16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{61D1DDDF-4F61-4380-BA9C-AA452BA8AA1E}</x14:id>
        </ext>
      </extLst>
    </cfRule>
    <cfRule type="dataBar" priority="1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{C8E67729-35BF-4148-B38F-8A797D00C342}</x14:id>
        </ext>
      </extLst>
    </cfRule>
    <cfRule type="dataBar" priority="166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{3CDE4A0B-3399-4750-997A-D6345C5D3DC9}</x14:id>
        </ext>
      </extLst>
    </cfRule>
    <cfRule type="dataBar" priority="166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{778D769C-0299-47BB-AED8-421D0B0D0FCD}</x14:id>
        </ext>
      </extLst>
    </cfRule>
    <cfRule type="dataBar" priority="166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{85D50D48-35BB-4F4B-90E2-64E21095C134}</x14:id>
        </ext>
      </extLst>
    </cfRule>
    <cfRule type="dataBar" priority="167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{84398CBA-0F3A-45EC-A6AB-0C02327D828B}</x14:id>
        </ext>
      </extLst>
    </cfRule>
    <cfRule type="dataBar" priority="1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{A0EECF77-B09C-4131-8689-49E3EA146092}</x14:id>
        </ext>
      </extLst>
    </cfRule>
    <cfRule type="dataBar" priority="16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{79A2108C-B234-4BB3-B41D-F35E77E1AD52}</x14:id>
        </ext>
      </extLst>
    </cfRule>
    <cfRule type="dataBar" priority="16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{4EFC92DC-75B9-43D6-8AE1-6DFCA0D38DF9}</x14:id>
        </ext>
      </extLst>
    </cfRule>
    <cfRule type="dataBar" priority="16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{4523FD96-46C1-45C2-A188-B57D012B7FAD}</x14:id>
        </ext>
      </extLst>
    </cfRule>
    <cfRule type="dataBar" priority="16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{65B41E0F-1153-469A-9F8D-E1D7B129E4DF}</x14:id>
        </ext>
      </extLst>
    </cfRule>
    <cfRule type="dataBar" priority="16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{31CD41B4-732D-40AF-A833-CBFB687B0044}</x14:id>
        </ext>
      </extLst>
    </cfRule>
    <cfRule type="dataBar" priority="16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{8D240E20-11C5-451B-A9A6-416A9B96A8E3}</x14:id>
        </ext>
      </extLst>
    </cfRule>
    <cfRule type="dataBar" priority="1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{3B70B34E-BF4C-4477-8EF9-3194F9187BC5}</x14:id>
        </ext>
      </extLst>
    </cfRule>
    <cfRule type="dataBar" priority="16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{26A5D242-17CF-401C-B152-1F4E4CE7C251}</x14:id>
        </ext>
      </extLst>
    </cfRule>
  </conditionalFormatting>
  <conditionalFormatting sqref="Q27">
    <cfRule type="dataBar" priority="12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{52A6EFB7-6EEC-4541-91D7-9D78A709839D}</x14:id>
        </ext>
      </extLst>
    </cfRule>
    <cfRule type="dataBar" priority="11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{C2D5358E-E8F1-4FD4-BB99-3E674DC181EE}</x14:id>
        </ext>
      </extLst>
    </cfRule>
    <cfRule type="dataBar" priority="1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{09F42889-30CA-4FEE-BCBC-FED27C6EE6AB}</x14:id>
        </ext>
      </extLst>
    </cfRule>
    <cfRule type="dataBar" priority="12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{149E8866-59FE-4151-9742-7668455DB59D}</x14:id>
        </ext>
      </extLst>
    </cfRule>
    <cfRule type="dataBar" priority="13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{F7F668D8-6742-4D5A-841F-23E677A9DA56}</x14:id>
        </ext>
      </extLst>
    </cfRule>
    <cfRule type="dataBar" priority="1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{0DF1D074-E69F-40A8-8992-97B1C6E75666}</x14:id>
        </ext>
      </extLst>
    </cfRule>
    <cfRule type="dataBar" priority="1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{02B9B0AF-E423-4689-AAEB-F1C95F9C5C8B}</x14:id>
        </ext>
      </extLst>
    </cfRule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{AC5F509E-D963-4C2A-A82B-EC29090E4CAF}</x14:id>
        </ext>
      </extLst>
    </cfRule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{F6AE1652-E58D-4503-8446-B30F0DCA9975}</x14:id>
        </ext>
      </extLst>
    </cfRule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{1C82CD94-C200-4B5B-BF75-558593C36710}</x14:id>
        </ext>
      </extLst>
    </cfRule>
    <cfRule type="dataBar" priority="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{75B32951-A6CD-4797-9CA6-39951CED013E}</x14:id>
        </ext>
      </extLst>
    </cfRule>
    <cfRule type="dataBar" priority="12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{4598D87A-2DAD-441B-91F1-FAB6FDF2EA83}</x14:id>
        </ext>
      </extLst>
    </cfRule>
    <cfRule type="dataBar" priority="12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{F71E4DC0-CE60-43E9-9666-8ACFE218BC28}</x14:id>
        </ext>
      </extLst>
    </cfRule>
  </conditionalFormatting>
  <conditionalFormatting sqref="Q28">
    <cfRule type="dataBar" priority="1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{F03585A2-8C6E-4B47-9C4A-9CF0A5F1A352}</x14:id>
        </ext>
      </extLst>
    </cfRule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{9C9676EE-30DD-47CD-965E-AD0DDEE2FE32}</x14:id>
        </ext>
      </extLst>
    </cfRule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{43F4916F-9F46-4EF2-A07A-3812E5888B28}</x14:id>
        </ext>
      </extLst>
    </cfRule>
    <cfRule type="dataBar" priority="1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{C4F4EC29-EA22-46F1-B2F5-199B5C005EF3}</x14:id>
        </ext>
      </extLst>
    </cfRule>
    <cfRule type="dataBar" priority="1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{C154EFC2-23AD-454A-9CB1-0348170942EB}</x14:id>
        </ext>
      </extLst>
    </cfRule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{47B900F2-8D56-468D-8C4F-5A0C7C26CFC4}</x14:id>
        </ext>
      </extLst>
    </cfRule>
    <cfRule type="dataBar" priority="11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{9B3FC6D7-9506-429A-B66D-9208F8590949}</x14:id>
        </ext>
      </extLst>
    </cfRule>
    <cfRule type="dataBar" priority="11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{316E6E7A-F8F1-4FAB-99C2-6F89BD5D28BE}</x14:id>
        </ext>
      </extLst>
    </cfRule>
    <cfRule type="dataBar" priority="1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{FEE3DCCE-C1D3-4E69-9720-3EEE21C3B2BA}</x14:id>
        </ext>
      </extLst>
    </cfRule>
    <cfRule type="dataBar" priority="11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{67186644-421C-4A34-A8DD-276A6188D69B}</x14:id>
        </ext>
      </extLst>
    </cfRule>
    <cfRule type="dataBar" priority="1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{FC7BB21D-6F96-45BC-86C8-B77DFB327EC0}</x14:id>
        </ext>
      </extLst>
    </cfRule>
    <cfRule type="dataBar" priority="1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{4F9297EA-C613-4180-B5E7-FFD827C0DBAF}</x14:id>
        </ext>
      </extLst>
    </cfRule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{555C2474-22DA-41B1-A0FF-FCD63E7ABD78}</x14:id>
        </ext>
      </extLst>
    </cfRule>
  </conditionalFormatting>
  <conditionalFormatting sqref="T12">
    <cfRule type="dataBar" priority="20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{A2291033-40F7-4448-942E-18DB280690DA}</x14:id>
        </ext>
      </extLst>
    </cfRule>
  </conditionalFormatting>
  <conditionalFormatting sqref="T13">
    <cfRule type="dataBar" priority="209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{B606D11F-7374-4B87-AE4A-E5B999F7F83E}</x14:id>
        </ext>
      </extLst>
    </cfRule>
  </conditionalFormatting>
  <conditionalFormatting sqref="T15">
    <cfRule type="dataBar" priority="21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{493515CC-4019-44A6-BD7F-5910C9AC9492}</x14:id>
        </ext>
      </extLst>
    </cfRule>
  </conditionalFormatting>
  <conditionalFormatting sqref="T16">
    <cfRule type="dataBar" priority="20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{085CB1DE-8F05-4D4A-AD5C-DDE5DBB9B0AF}</x14:id>
        </ext>
      </extLst>
    </cfRule>
  </conditionalFormatting>
  <conditionalFormatting sqref="T19">
    <cfRule type="dataBar" priority="21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{147B64E7-3097-4646-8662-FA9B5D7DB0E1}</x14:id>
        </ext>
      </extLst>
    </cfRule>
  </conditionalFormatting>
  <conditionalFormatting sqref="T22">
    <cfRule type="dataBar" priority="209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{7EC71BB6-0CA7-47DA-8E03-640396E51117}</x14:id>
        </ext>
      </extLst>
    </cfRule>
  </conditionalFormatting>
  <conditionalFormatting sqref="T23">
    <cfRule type="dataBar" priority="21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{827F9092-1AE7-4A19-84D8-3526A1FC5214}</x14:id>
        </ext>
      </extLst>
    </cfRule>
  </conditionalFormatting>
  <conditionalFormatting sqref="T24">
    <cfRule type="dataBar" priority="21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{8ED2E5A7-DC3D-4665-B980-ABE88898D88F}</x14:id>
        </ext>
      </extLst>
    </cfRule>
  </conditionalFormatting>
  <conditionalFormatting sqref="T25">
    <cfRule type="dataBar" priority="20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{D9520E30-1FF2-495B-AACF-EB2DC2131D72}</x14:id>
        </ext>
      </extLst>
    </cfRule>
  </conditionalFormatting>
  <conditionalFormatting sqref="U5:U22">
    <cfRule type="dataBar" priority="2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{27FDDB1D-F10F-45E1-93D3-E28991AB3C9E}</x14:id>
        </ext>
      </extLst>
    </cfRule>
    <cfRule type="dataBar" priority="239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{876C11D4-0D59-40BC-B21C-09E25971591F}</x14:id>
        </ext>
      </extLst>
    </cfRule>
    <cfRule type="dataBar" priority="258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{6BCD51C0-06F6-49ED-ADEE-1DFC87E16932}</x14:id>
        </ext>
      </extLst>
    </cfRule>
    <cfRule type="dataBar" priority="2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{87492C97-292A-4F00-B9D2-382A9D148DAB}</x14:id>
        </ext>
      </extLst>
    </cfRule>
    <cfRule type="dataBar" priority="239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{041B08A3-F4E0-4379-965F-356102E220FC}</x14:id>
        </ext>
      </extLst>
    </cfRule>
    <cfRule type="dataBar" priority="239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{7800135F-467A-48AA-A952-D8F7DFC6C770}</x14:id>
        </ext>
      </extLst>
    </cfRule>
    <cfRule type="dataBar" priority="239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{F5327ADD-526A-40BE-B236-59B559938033}</x14:id>
        </ext>
      </extLst>
    </cfRule>
  </conditionalFormatting>
  <conditionalFormatting sqref="U5:U26">
    <cfRule type="dataBar" priority="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{43177B5A-7B89-4180-A91A-E6C15544FF78}</x14:id>
        </ext>
      </extLst>
    </cfRule>
    <cfRule type="dataBar" priority="26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{F844A193-886F-466A-960B-ECBC683E3CD0}</x14:id>
        </ext>
      </extLst>
    </cfRule>
  </conditionalFormatting>
  <conditionalFormatting sqref="U23">
    <cfRule type="dataBar" priority="21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{C0AB4B75-307D-4555-B347-6B63EE37C594}</x14:id>
        </ext>
      </extLst>
    </cfRule>
    <cfRule type="dataBar" priority="216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{06DBFE8D-ACDA-4B4B-9272-E179BCB914E1}</x14:id>
        </ext>
      </extLst>
    </cfRule>
    <cfRule type="dataBar" priority="216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{B16A0FD0-D597-41AE-8A20-9B81B12A2BD1}</x14:id>
        </ext>
      </extLst>
    </cfRule>
    <cfRule type="dataBar" priority="2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{804EE400-5EB5-480E-9013-F93352765237}</x14:id>
        </ext>
      </extLst>
    </cfRule>
    <cfRule type="dataBar" priority="21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{5EB43E10-47DA-4B93-A7E0-8D92C60DED8F}</x14:id>
        </ext>
      </extLst>
    </cfRule>
    <cfRule type="dataBar" priority="21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{E00F8E9D-AACA-4635-A166-D9556345C370}</x14:id>
        </ext>
      </extLst>
    </cfRule>
    <cfRule type="dataBar" priority="2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{29FF92AE-0849-4CFB-B822-6586061DD5CA}</x14:id>
        </ext>
      </extLst>
    </cfRule>
  </conditionalFormatting>
  <conditionalFormatting sqref="U24">
    <cfRule type="dataBar" priority="21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{4009D7A9-4727-407C-8D95-6BD771E52BBB}</x14:id>
        </ext>
      </extLst>
    </cfRule>
    <cfRule type="dataBar" priority="2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{C0287CF7-92CD-4DEE-9DB6-750719DA4BB7}</x14:id>
        </ext>
      </extLst>
    </cfRule>
    <cfRule type="dataBar" priority="211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{17EAA475-DD63-425B-A939-3FBED32B7E91}</x14:id>
        </ext>
      </extLst>
    </cfRule>
    <cfRule type="dataBar" priority="21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{D83AEFF6-8FC3-462E-AECB-CC8F87D573C2}</x14:id>
        </ext>
      </extLst>
    </cfRule>
    <cfRule type="dataBar" priority="211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{376CE7D5-6799-4975-B443-C0A7705E270B}</x14:id>
        </ext>
      </extLst>
    </cfRule>
    <cfRule type="dataBar" priority="21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{7FB23FCF-46FF-465D-9A69-5C2C3C6FF443}</x14:id>
        </ext>
      </extLst>
    </cfRule>
    <cfRule type="dataBar" priority="2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{46BF1C54-1A8C-421C-B223-6C2E965AECC6}</x14:id>
        </ext>
      </extLst>
    </cfRule>
  </conditionalFormatting>
  <conditionalFormatting sqref="U25">
    <cfRule type="dataBar" priority="203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{7A5895B9-8A14-41ED-B0EB-AACC2B00731C}</x14:id>
        </ext>
      </extLst>
    </cfRule>
    <cfRule type="dataBar" priority="204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{FE6B2494-B4BA-4233-AC7B-2D921395E117}</x14:id>
        </ext>
      </extLst>
    </cfRule>
    <cfRule type="dataBar" priority="204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{F49E8C24-684A-4B35-9EE1-B52ED248D9DF}</x14:id>
        </ext>
      </extLst>
    </cfRule>
    <cfRule type="dataBar" priority="2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{901DB457-4C60-4AF5-8F8A-3E9AAA40E816}</x14:id>
        </ext>
      </extLst>
    </cfRule>
    <cfRule type="dataBar" priority="20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{4BDB06E1-F581-4BC0-A7CD-3E7CA2144E77}</x14:id>
        </ext>
      </extLst>
    </cfRule>
    <cfRule type="dataBar" priority="20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{054A84F1-1DBA-4AD3-83AA-D2AF1318DE92}</x14:id>
        </ext>
      </extLst>
    </cfRule>
    <cfRule type="dataBar" priority="204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{29503462-F075-43C4-B5D6-D7306639F5B6}</x14:id>
        </ext>
      </extLst>
    </cfRule>
  </conditionalFormatting>
  <conditionalFormatting sqref="U26">
    <cfRule type="dataBar" priority="2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{4AFC7C6E-0906-4890-9086-67480E30127E}</x14:id>
        </ext>
      </extLst>
    </cfRule>
    <cfRule type="dataBar" priority="257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{5E5E7A89-5DF4-49D0-BF5B-C0FAA825FD90}</x14:id>
        </ext>
      </extLst>
    </cfRule>
    <cfRule type="dataBar" priority="25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{0115F0F3-E6B4-4D4E-8F04-90B1CD6C8A8F}</x14:id>
        </ext>
      </extLst>
    </cfRule>
    <cfRule type="dataBar" priority="25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{E701E135-5BBA-4C02-9A18-6A5E7E5BD3B4}</x14:id>
        </ext>
      </extLst>
    </cfRule>
    <cfRule type="dataBar" priority="2575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{A6A521F4-90C6-4BBA-A4B9-90F27B8CC7E2}</x14:id>
        </ext>
      </extLst>
    </cfRule>
    <cfRule type="dataBar" priority="257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{3889AB9F-919D-4BFA-A8A1-C64ABCCFDD0F}</x14:id>
        </ext>
      </extLst>
    </cfRule>
    <cfRule type="dataBar" priority="25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{1EB4A5C9-42EE-4CA6-ADDE-8B49C2EA84BE}</x14:id>
        </ext>
      </extLst>
    </cfRule>
  </conditionalFormatting>
  <conditionalFormatting sqref="V5:V11">
    <cfRule type="dataBar" priority="14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{0A3E221B-B506-43B6-8577-438D2DEA0298}</x14:id>
        </ext>
      </extLst>
    </cfRule>
    <cfRule type="dataBar" priority="1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{7C2FEF48-DBD5-4652-BDB1-552A4CE53252}</x14:id>
        </ext>
      </extLst>
    </cfRule>
    <cfRule type="dataBar" priority="139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{4F2B3279-35D1-4855-A176-F150F0AB2D5F}</x14:id>
        </ext>
      </extLst>
    </cfRule>
    <cfRule type="dataBar" priority="140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{DB013193-7C94-4945-BEE2-92969BD35313}</x14:id>
        </ext>
      </extLst>
    </cfRule>
    <cfRule type="dataBar" priority="139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{7266E6ED-DC84-4B3E-94AA-763DE665AA83}</x14:id>
        </ext>
      </extLst>
    </cfRule>
    <cfRule type="dataBar" priority="139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{3DE4134E-36D2-4BBE-9B75-9C69942B9AE7}</x14:id>
        </ext>
      </extLst>
    </cfRule>
    <cfRule type="dataBar" priority="139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{7A42A600-B582-4114-AD1E-F61E6BA7345A}</x14:id>
        </ext>
      </extLst>
    </cfRule>
    <cfRule type="dataBar" priority="1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{5FBC94FB-2A65-4885-B30D-5397D767EC34}</x14:id>
        </ext>
      </extLst>
    </cfRule>
    <cfRule type="dataBar" priority="139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{C6255BE9-8FD0-41C6-B402-8AD6C80B641B}</x14:id>
        </ext>
      </extLst>
    </cfRule>
    <cfRule type="dataBar" priority="139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{554F47A1-3714-458C-A42B-2C07CF58DFE8}</x14:id>
        </ext>
      </extLst>
    </cfRule>
    <cfRule type="dataBar" priority="1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{0F6C35FA-3B41-4ED0-96AE-0340E73F5775}</x14:id>
        </ext>
      </extLst>
    </cfRule>
    <cfRule type="dataBar" priority="139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{13B54220-B995-4266-9EF9-19CD6C1B3FC6}</x14:id>
        </ext>
      </extLst>
    </cfRule>
    <cfRule type="dataBar" priority="13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{90FEC8F3-7C97-4FEB-9835-BC120876E4FA}</x14:id>
        </ext>
      </extLst>
    </cfRule>
    <cfRule type="dataBar" priority="138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{91F06BAC-5EEC-40DB-B42A-4C87628F6812}</x14:id>
        </ext>
      </extLst>
    </cfRule>
    <cfRule type="dataBar" priority="13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{C16EC366-6251-48A2-9DC0-334EFC1FCD94}</x14:id>
        </ext>
      </extLst>
    </cfRule>
    <cfRule type="dataBar" priority="13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{D35A9403-5629-4837-A792-B89468236589}</x14:id>
        </ext>
      </extLst>
    </cfRule>
    <cfRule type="dataBar" priority="13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{79227287-452D-4848-8E4A-E9040D0277CC}</x14:id>
        </ext>
      </extLst>
    </cfRule>
    <cfRule type="dataBar" priority="13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{CD354596-864C-4AA7-AE26-B11D96851D0A}</x14:id>
        </ext>
      </extLst>
    </cfRule>
    <cfRule type="dataBar" priority="14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{2B615DCC-0EF7-4D22-A109-56AC39765DF6}</x14:id>
        </ext>
      </extLst>
    </cfRule>
    <cfRule type="dataBar" priority="14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{58BCAA4D-B4A9-4573-9BDF-E1A30B3019E0}</x14:id>
        </ext>
      </extLst>
    </cfRule>
    <cfRule type="dataBar" priority="1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{A001FDDE-7BEB-4E5E-B957-69D535929867}</x14:id>
        </ext>
      </extLst>
    </cfRule>
    <cfRule type="dataBar" priority="14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{39805978-2FE8-4019-8F81-7DDDAB215135}</x14:id>
        </ext>
      </extLst>
    </cfRule>
    <cfRule type="dataBar" priority="14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{2A54522A-5031-43AD-93E5-DE17E63B2F2C}</x14:id>
        </ext>
      </extLst>
    </cfRule>
    <cfRule type="dataBar" priority="14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{91875545-4E95-495D-992D-6498D7EFCDAD}</x14:id>
        </ext>
      </extLst>
    </cfRule>
    <cfRule type="dataBar" priority="14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{45F5D084-EF9C-4F80-8CC8-84A00DB8AD82}</x14:id>
        </ext>
      </extLst>
    </cfRule>
    <cfRule type="dataBar" priority="1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{9D550112-3ED3-4DD1-8615-78BD0C333F5B}</x14:id>
        </ext>
      </extLst>
    </cfRule>
    <cfRule type="dataBar" priority="14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{61CC8AA6-1051-4A8D-BBEC-88456D4F3BA7}</x14:id>
        </ext>
      </extLst>
    </cfRule>
    <cfRule type="dataBar" priority="14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{2CB5328F-EBC9-4258-B1F8-F46FE4BD59CC}</x14:id>
        </ext>
      </extLst>
    </cfRule>
    <cfRule type="dataBar" priority="1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{63EE1772-9B2E-4F18-AF2B-44E13F8D240E}</x14:id>
        </ext>
      </extLst>
    </cfRule>
    <cfRule type="dataBar" priority="1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{A81829A0-DB35-4822-B98C-FE4FEBDD6BD2}</x14:id>
        </ext>
      </extLst>
    </cfRule>
  </conditionalFormatting>
  <conditionalFormatting sqref="V12">
    <cfRule type="dataBar" priority="55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{42E5C08B-B51B-4046-B4EA-3E60C5D4FD3C}</x14:id>
        </ext>
      </extLst>
    </cfRule>
    <cfRule type="dataBar" priority="55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{F3E2A2E5-86D7-4D24-B5D0-92A8960F53C1}</x14:id>
        </ext>
      </extLst>
    </cfRule>
    <cfRule type="dataBar" priority="55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{CBA5EE82-1911-41F9-9FEC-12FB3F066EBC}</x14:id>
        </ext>
      </extLst>
    </cfRule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{1FFBE8AF-EE0E-443D-AACE-624AECEC7155}</x14:id>
        </ext>
      </extLst>
    </cfRule>
    <cfRule type="dataBar" priority="5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{72906708-5FA7-4109-99FA-E563B6B78ED3}</x14:id>
        </ext>
      </extLst>
    </cfRule>
    <cfRule type="dataBar" priority="5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{FE7AAA07-EE88-4935-ADE8-02C4FF2A57D6}</x14:id>
        </ext>
      </extLst>
    </cfRule>
    <cfRule type="dataBar" priority="5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{D9EAD972-3BB4-4B53-ADE6-BA5EF56C5D05}</x14:id>
        </ext>
      </extLst>
    </cfRule>
    <cfRule type="dataBar" priority="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{B95A85DA-2758-4C2F-BACA-C2F2E35D1428}</x14:id>
        </ext>
      </extLst>
    </cfRule>
    <cfRule type="dataBar" priority="5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{A2CF5B1A-D0D1-4D84-8A6C-89B4E2CB26B0}</x14:id>
        </ext>
      </extLst>
    </cfRule>
    <cfRule type="dataBar" priority="5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{C79E617A-1870-462F-A43C-861B0FEDD74A}</x14:id>
        </ext>
      </extLst>
    </cfRule>
    <cfRule type="dataBar" priority="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{F00540A2-23F7-40C4-BE59-720650A1F83A}</x14:id>
        </ext>
      </extLst>
    </cfRule>
    <cfRule type="dataBar" priority="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{7BD55836-B0E7-4C17-9AC0-EF48F6F282E5}</x14:id>
        </ext>
      </extLst>
    </cfRule>
    <cfRule type="dataBar" priority="5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{6DA16A54-8A5D-4B31-868B-D59FEF5C51AD}</x14:id>
        </ext>
      </extLst>
    </cfRule>
  </conditionalFormatting>
  <conditionalFormatting sqref="V13">
    <cfRule type="dataBar" priority="3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{66B0946C-A430-4F0B-9AED-9C78EF52BD71}</x14:id>
        </ext>
      </extLst>
    </cfRule>
    <cfRule type="dataBar" priority="3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{09CFEFBC-8AD6-4FF4-B7AB-C89CACF9AD96}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{3F32976F-35E5-4EE0-BE80-8894B91A12A4}</x14:id>
        </ext>
      </extLst>
    </cfRule>
    <cfRule type="dataBar" priority="2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{4B9E84ED-7015-4B72-90B1-4A6835CB72AA}</x14:id>
        </ext>
      </extLst>
    </cfRule>
    <cfRule type="dataBar" priority="2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{85C4E827-CF6B-4C7A-850E-5A7DA72D6DEF}</x14:id>
        </ext>
      </extLst>
    </cfRule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{1FA71A6A-2595-406A-9551-F1BD45E7EA2F}</x14:id>
        </ext>
      </extLst>
    </cfRule>
    <cfRule type="dataBar" priority="3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{552DCAC9-8009-40D7-B250-A0D819048625}</x14:id>
        </ext>
      </extLst>
    </cfRule>
    <cfRule type="dataBar" priority="3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{82C44A46-1F34-41AD-8AAE-F379E37BFB35}</x14:id>
        </ext>
      </extLst>
    </cfRule>
    <cfRule type="dataBar" priority="29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{AF2C06C6-255F-4560-B55F-0978C55BD087}</x14:id>
        </ext>
      </extLst>
    </cfRule>
    <cfRule type="dataBar" priority="2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{4DF7B2C6-B45D-409E-B87C-DC47DDCCB65F}</x14:id>
        </ext>
      </extLst>
    </cfRule>
    <cfRule type="dataBar" priority="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{5DF32083-894C-4285-8AC0-6E6E6A3D7FB8}</x14:id>
        </ext>
      </extLst>
    </cfRule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{5BF7E3BB-B101-48B9-8E21-390D0125E103}</x14:id>
        </ext>
      </extLst>
    </cfRule>
    <cfRule type="dataBar" priority="30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{3DFE9AB5-C3F6-4889-A544-A1B9F82B8B60}</x14:id>
        </ext>
      </extLst>
    </cfRule>
  </conditionalFormatting>
  <conditionalFormatting sqref="V14">
    <cfRule type="dataBar" priority="51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{77BAC14F-4C6C-488E-8761-EED3A02303B0}</x14:id>
        </ext>
      </extLst>
    </cfRule>
    <cfRule type="dataBar" priority="5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{ECAF5E1E-600C-45A6-A051-3A37DD50D627}</x14:id>
        </ext>
      </extLst>
    </cfRule>
    <cfRule type="dataBar" priority="5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{2CC540F5-2FCD-409D-BEE4-BE0944C534DF}</x14:id>
        </ext>
      </extLst>
    </cfRule>
    <cfRule type="dataBar" priority="51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{A89E6E49-3B4A-453A-B6E5-61A021F64395}</x14:id>
        </ext>
      </extLst>
    </cfRule>
    <cfRule type="dataBar" priority="5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{EDCAF192-84A3-404E-8516-75FAC3491C66}</x14:id>
        </ext>
      </extLst>
    </cfRule>
    <cfRule type="dataBar" priority="5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{00C9DD3C-110E-4B51-8E41-71BD9DB2B3CD}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{B908DC68-8C27-4F5C-A18C-9529129475B3}</x14:id>
        </ext>
      </extLst>
    </cfRule>
    <cfRule type="dataBar" priority="5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{DC728527-0B3B-4C6D-B323-051420AA3CF3}</x14:id>
        </ext>
      </extLst>
    </cfRule>
    <cfRule type="dataBar" priority="5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{64E89DC2-A21C-4889-837F-D905D15712B9}</x14:id>
        </ext>
      </extLst>
    </cfRule>
    <cfRule type="dataBar" priority="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{872849E5-FE65-4874-B0CF-A815BE14A0A0}</x14:id>
        </ext>
      </extLst>
    </cfRule>
    <cfRule type="dataBar" priority="50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{D80778B4-AA0D-4B30-9F60-0CCE9343B0C4}</x14:id>
        </ext>
      </extLst>
    </cfRule>
    <cfRule type="dataBar" priority="50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{60018807-AE2A-4966-BC51-549D99DDF0DE}</x14:id>
        </ext>
      </extLst>
    </cfRule>
    <cfRule type="dataBar" priority="5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{C8110FD4-BEFD-46A0-80A9-09CC10CC8883}</x14:id>
        </ext>
      </extLst>
    </cfRule>
    <cfRule type="dataBar" priority="5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{6E9FD4BF-A6F9-4A80-89EF-8C2D434906C2}</x14:id>
        </ext>
      </extLst>
    </cfRule>
    <cfRule type="dataBar" priority="5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{EFA0198A-3E6B-4A52-B6DC-F2DA4710C30A}</x14:id>
        </ext>
      </extLst>
    </cfRule>
    <cfRule type="dataBar" priority="5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{115B60C2-AE6E-4359-8370-0EB30B61D76A}</x14:id>
        </ext>
      </extLst>
    </cfRule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{A0ECDAEE-601E-43A8-BC25-525B3D1D8120}</x14:id>
        </ext>
      </extLst>
    </cfRule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{5B07010B-7995-493D-A921-326E573BE287}</x14:id>
        </ext>
      </extLst>
    </cfRule>
    <cfRule type="dataBar" priority="5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{568E264A-D353-4D1F-A740-553C495FD752}</x14:id>
        </ext>
      </extLst>
    </cfRule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{8FC8DE97-4A22-4EEC-A8BA-046CF10D3F42}</x14:id>
        </ext>
      </extLst>
    </cfRule>
    <cfRule type="dataBar" priority="51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{2A9182A7-E157-42C3-85D7-7EAAE1A4DADF}</x14:id>
        </ext>
      </extLst>
    </cfRule>
    <cfRule type="dataBar" priority="51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{482C8329-88D0-4C7C-A79E-925D1E25F3EF}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{ED3FBCD1-C76B-4F1A-815F-4B9D47566081}</x14:id>
        </ext>
      </extLst>
    </cfRule>
    <cfRule type="dataBar" priority="53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{7F836C6F-F33D-4FAF-9EC8-5BBA75BD3590}</x14:id>
        </ext>
      </extLst>
    </cfRule>
    <cfRule type="dataBar" priority="5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{08C9BA47-C535-4BFD-8B6B-852391FEFA14}</x14:id>
        </ext>
      </extLst>
    </cfRule>
    <cfRule type="dataBar" priority="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{7B85482E-8572-423F-BDBB-CB9201E9EDDC}</x14:id>
        </ext>
      </extLst>
    </cfRule>
    <cfRule type="dataBar" priority="52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{19652CC2-CB98-4AE9-ADF3-0C8154952445}</x14:id>
        </ext>
      </extLst>
    </cfRule>
    <cfRule type="dataBar" priority="52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{03B54636-2F58-4EAD-8B77-C81FB64A829F}</x14:id>
        </ext>
      </extLst>
    </cfRule>
    <cfRule type="dataBar" priority="52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{EABDBB34-F97A-444F-BD70-A00149DC2110}</x14:id>
        </ext>
      </extLst>
    </cfRule>
    <cfRule type="dataBar" priority="5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{CFD4CE7C-1906-4F85-A777-3C0D4CF44ADB}</x14:id>
        </ext>
      </extLst>
    </cfRule>
  </conditionalFormatting>
  <conditionalFormatting sqref="V15:V23">
    <cfRule type="dataBar" priority="2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{2119291A-12D7-4A5C-85F2-D23AF99E7158}</x14:id>
        </ext>
      </extLst>
    </cfRule>
    <cfRule type="dataBar" priority="25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{27AB932D-F499-4407-B764-AE3F76EEBF38}</x14:id>
        </ext>
      </extLst>
    </cfRule>
    <cfRule type="dataBar" priority="25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{28EC31C9-A069-40D9-9D8F-DF7495DF1EFE}</x14:id>
        </ext>
      </extLst>
    </cfRule>
    <cfRule type="dataBar" priority="25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{523374B6-B9C9-4759-9937-077C17A512A6}</x14:id>
        </ext>
      </extLst>
    </cfRule>
    <cfRule type="dataBar" priority="2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{D494543F-C196-4C91-825C-8830199B9257}</x14:id>
        </ext>
      </extLst>
    </cfRule>
    <cfRule type="dataBar" priority="259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{F4004CAE-1B5A-46A8-B2E8-EEC4111644B2}</x14:id>
        </ext>
      </extLst>
    </cfRule>
    <cfRule type="dataBar" priority="2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{34E194AD-315B-490A-8134-8B3FE2E83D1E}</x14:id>
        </ext>
      </extLst>
    </cfRule>
    <cfRule type="dataBar" priority="2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{6E6E8352-7AA9-40F7-88D6-CD307C64AC39}</x14:id>
        </ext>
      </extLst>
    </cfRule>
    <cfRule type="dataBar" priority="260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{13D9F369-B68C-4B49-997F-BE237CDB2B3F}</x14:id>
        </ext>
      </extLst>
    </cfRule>
    <cfRule type="dataBar" priority="260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{9BB2653F-0BD6-48BB-BEEC-AD56D92798C7}</x14:id>
        </ext>
      </extLst>
    </cfRule>
    <cfRule type="dataBar" priority="2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{3F634E86-BC6D-49E7-8B62-42F061B60F89}</x14:id>
        </ext>
      </extLst>
    </cfRule>
    <cfRule type="dataBar" priority="260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{F87CB5F6-D011-4082-94B6-178B0CFEF251}</x14:id>
        </ext>
      </extLst>
    </cfRule>
    <cfRule type="dataBar" priority="26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{08FE2679-84FF-4CC2-9837-5C0EEA6E4AC5}</x14:id>
        </ext>
      </extLst>
    </cfRule>
    <cfRule type="dataBar" priority="259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{739EDFB2-C73F-4243-B96C-87A329F69752}</x14:id>
        </ext>
      </extLst>
    </cfRule>
    <cfRule type="dataBar" priority="259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{5DC0FD7F-4309-41C3-806D-373C9F01A101}</x14:id>
        </ext>
      </extLst>
    </cfRule>
    <cfRule type="dataBar" priority="259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{1DCB2799-A70C-4962-97A1-4F6B60F1EC83}</x14:id>
        </ext>
      </extLst>
    </cfRule>
    <cfRule type="dataBar" priority="25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{E263F53C-9672-4504-8C0E-DFA8D63C36F3}</x14:id>
        </ext>
      </extLst>
    </cfRule>
  </conditionalFormatting>
  <conditionalFormatting sqref="V24">
    <cfRule type="dataBar" priority="5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{B251968A-DF11-4E4E-AE23-728EED7F6B75}</x14:id>
        </ext>
      </extLst>
    </cfRule>
    <cfRule type="dataBar" priority="54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{AF3DD680-A85D-4693-B925-392EDD546A1E}</x14:id>
        </ext>
      </extLst>
    </cfRule>
    <cfRule type="dataBar" priority="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{D7C2DE8D-33C3-45C4-9E8B-8E81AAA490FE}</x14:id>
        </ext>
      </extLst>
    </cfRule>
    <cfRule type="dataBar" priority="53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{053B07A6-4136-4303-B50A-039B7BE0C223}</x14:id>
        </ext>
      </extLst>
    </cfRule>
    <cfRule type="dataBar" priority="53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{2578C417-E4F5-4054-A9C2-372F3D8E9EAC}</x14:id>
        </ext>
      </extLst>
    </cfRule>
    <cfRule type="dataBar" priority="5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{733BA97D-CA36-42D3-B044-F26953361B32}</x14:id>
        </ext>
      </extLst>
    </cfRule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{915D5C94-0EFC-4206-AFF5-3E2E10622F11}</x14:id>
        </ext>
      </extLst>
    </cfRule>
    <cfRule type="dataBar" priority="5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{09C746C8-E1F1-418E-8860-4A6098636547}</x14:id>
        </ext>
      </extLst>
    </cfRule>
    <cfRule type="dataBar" priority="5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{9353E455-9413-4B9A-B03F-455D0A028DA8}</x14:id>
        </ext>
      </extLst>
    </cfRule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{A69D3745-E376-47E1-B475-45282CD45F31}</x14:id>
        </ext>
      </extLst>
    </cfRule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{FCD322D1-A192-46E4-A69A-9DC272AE07C4}</x14:id>
        </ext>
      </extLst>
    </cfRule>
    <cfRule type="dataBar" priority="5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{54953516-BC3E-4219-8CA2-96EE9EB4EAE6}</x14:id>
        </ext>
      </extLst>
    </cfRule>
    <cfRule type="dataBar" priority="54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{F762C1BD-0083-4177-9388-943BEC9C6FDC}</x14:id>
        </ext>
      </extLst>
    </cfRule>
  </conditionalFormatting>
  <conditionalFormatting sqref="V25">
    <cfRule type="dataBar" priority="136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{96589B7B-8B02-47B9-AA72-6E99DF1B7798}</x14:id>
        </ext>
      </extLst>
    </cfRule>
    <cfRule type="dataBar" priority="136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{8A41507B-5E8D-42BF-8E40-8A01C7840419}</x14:id>
        </ext>
      </extLst>
    </cfRule>
    <cfRule type="dataBar" priority="137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{59D3D7BB-9D98-4EC7-A83A-93F496F9A7AC}</x14:id>
        </ext>
      </extLst>
    </cfRule>
    <cfRule type="dataBar" priority="1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{24A68132-28DB-4D59-A0B3-C4D490A2E654}</x14:id>
        </ext>
      </extLst>
    </cfRule>
    <cfRule type="dataBar" priority="13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{0F71A6C4-2999-49F6-AF95-E3655F12D3CC}</x14:id>
        </ext>
      </extLst>
    </cfRule>
    <cfRule type="dataBar" priority="1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{29B6C560-0428-4BA8-A6A2-508383C5C3E2}</x14:id>
        </ext>
      </extLst>
    </cfRule>
    <cfRule type="dataBar" priority="1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{3789EA22-451D-43D8-BD31-7C02FC782C3F}</x14:id>
        </ext>
      </extLst>
    </cfRule>
    <cfRule type="dataBar" priority="13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{4079A26F-34BD-455D-9026-EEEF1B530AFB}</x14:id>
        </ext>
      </extLst>
    </cfRule>
    <cfRule type="dataBar" priority="13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{972E45F1-AC8E-444F-9552-4847E766EB48}</x14:id>
        </ext>
      </extLst>
    </cfRule>
    <cfRule type="dataBar" priority="1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{F9702015-C2D1-428D-ADDC-E23234858CB6}</x14:id>
        </ext>
      </extLst>
    </cfRule>
    <cfRule type="dataBar" priority="13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{A0626521-F3EF-4AC3-A01E-4312EC19004B}</x14:id>
        </ext>
      </extLst>
    </cfRule>
    <cfRule type="dataBar" priority="13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{577B663E-C33C-4E6B-A7E1-75700D8E3EAF}</x14:id>
        </ext>
      </extLst>
    </cfRule>
    <cfRule type="dataBar" priority="13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{586EAC9B-D852-46C1-8DAA-8CCDBEDE6D34}</x14:id>
        </ext>
      </extLst>
    </cfRule>
    <cfRule type="dataBar" priority="13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{3E46F62D-50FB-4FD3-B3E1-D8770946DA15}</x14:id>
        </ext>
      </extLst>
    </cfRule>
    <cfRule type="dataBar" priority="1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{E258302F-AA87-4E93-A9E9-0089D6A39760}</x14:id>
        </ext>
      </extLst>
    </cfRule>
    <cfRule type="dataBar" priority="13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{DA936D02-4CE6-41D2-BD2F-A6AED5D4FB35}</x14:id>
        </ext>
      </extLst>
    </cfRule>
    <cfRule type="dataBar" priority="13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{8E851B77-B08A-4B44-9F34-5B89E7B6470B}</x14:id>
        </ext>
      </extLst>
    </cfRule>
    <cfRule type="dataBar" priority="13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{75B60E58-0B84-4E2F-88AF-68467286B3CC}</x14:id>
        </ext>
      </extLst>
    </cfRule>
    <cfRule type="dataBar" priority="13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{0E920958-BFF5-46D7-A43D-6897E619EDFE}</x14:id>
        </ext>
      </extLst>
    </cfRule>
    <cfRule type="dataBar" priority="13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{4D4878BD-3474-4C38-B6B1-33A4207B641C}</x14:id>
        </ext>
      </extLst>
    </cfRule>
    <cfRule type="dataBar" priority="1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{0EBA24F5-EEE0-4A4E-BC7C-103CABC2B5F4}</x14:id>
        </ext>
      </extLst>
    </cfRule>
    <cfRule type="dataBar" priority="13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{A48AF0EC-417D-447E-AD97-FC32D8BB492C}</x14:id>
        </ext>
      </extLst>
    </cfRule>
    <cfRule type="dataBar" priority="13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{212AD70B-1FCE-4F13-994D-2A20A578761B}</x14:id>
        </ext>
      </extLst>
    </cfRule>
    <cfRule type="dataBar" priority="13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{6EE9DBCF-F7E7-488C-9B27-A35E2C505C68}</x14:id>
        </ext>
      </extLst>
    </cfRule>
    <cfRule type="dataBar" priority="1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{6E770427-8BB1-4B4D-B96B-F26E37C192EB}</x14:id>
        </ext>
      </extLst>
    </cfRule>
    <cfRule type="dataBar" priority="13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{3FD0339E-5A46-484F-8140-9FF08287FEF5}</x14:id>
        </ext>
      </extLst>
    </cfRule>
    <cfRule type="dataBar" priority="13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{98A28F02-942F-403D-B74C-C9D47C3B4E96}</x14:id>
        </ext>
      </extLst>
    </cfRule>
    <cfRule type="dataBar" priority="136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{BA8842BF-0509-471F-8113-4E6743C56473}</x14:id>
        </ext>
      </extLst>
    </cfRule>
    <cfRule type="dataBar" priority="1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{AA319B26-5DBE-4CD4-833C-A89BBCB86AAC}</x14:id>
        </ext>
      </extLst>
    </cfRule>
    <cfRule type="dataBar" priority="136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{B6503AEF-CC6C-42BE-88A2-06BCC11304CE}</x14:id>
        </ext>
      </extLst>
    </cfRule>
  </conditionalFormatting>
  <conditionalFormatting sqref="V26">
    <cfRule type="dataBar" priority="258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{DFDE866D-ABE3-4644-9218-184A97643449}</x14:id>
        </ext>
      </extLst>
    </cfRule>
    <cfRule type="dataBar" priority="258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{C7042CC1-F9FA-46FC-A23B-A04ECEA705E3}</x14:id>
        </ext>
      </extLst>
    </cfRule>
    <cfRule type="dataBar" priority="258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{93CF6095-1F21-4075-A0E1-F18DC26F0E44}</x14:id>
        </ext>
      </extLst>
    </cfRule>
    <cfRule type="dataBar" priority="258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{118006DB-2119-4C4C-990E-9BDAEBEF6349}</x14:id>
        </ext>
      </extLst>
    </cfRule>
    <cfRule type="dataBar" priority="25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{69962387-A28D-4D11-B226-A7A3CE284A4D}</x14:id>
        </ext>
      </extLst>
    </cfRule>
    <cfRule type="dataBar" priority="2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{661DE667-5CB3-458C-9381-81DD7CABBEC1}</x14:id>
        </ext>
      </extLst>
    </cfRule>
    <cfRule type="dataBar" priority="25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{70B7B8AD-1BD0-4530-9362-BF3D4CAF1CDB}</x14:id>
        </ext>
      </extLst>
    </cfRule>
    <cfRule type="dataBar" priority="2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{F6EB71AF-CCA8-404F-A71A-62AE768130C7}</x14:id>
        </ext>
      </extLst>
    </cfRule>
    <cfRule type="dataBar" priority="25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{9F9E8323-F77B-47E3-A3C9-D5F86D4F2CCE}</x14:id>
        </ext>
      </extLst>
    </cfRule>
    <cfRule type="dataBar" priority="2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{7946244B-28B2-4C8E-892A-9F371205FF42}</x14:id>
        </ext>
      </extLst>
    </cfRule>
    <cfRule type="dataBar" priority="25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{8551E547-CE5C-4BC0-8D64-F0BBDB9AE53C}</x14:id>
        </ext>
      </extLst>
    </cfRule>
    <cfRule type="dataBar" priority="258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{CFB90582-0CEC-43EF-93D4-44A7BB49AD97}</x14:id>
        </ext>
      </extLst>
    </cfRule>
    <cfRule type="dataBar" priority="258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{51193203-4630-481D-A2A1-07CD6AD89A4C}</x14:id>
        </ext>
      </extLst>
    </cfRule>
  </conditionalFormatting>
  <conditionalFormatting sqref="Y33">
    <cfRule type="dataBar" priority="21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{7B5C91D1-3FF5-4C9B-8B72-9526F0832982}</x14:id>
        </ext>
      </extLst>
    </cfRule>
  </conditionalFormatting>
  <conditionalFormatting sqref="Y34">
    <cfRule type="dataBar" priority="213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{2A8AC319-E56B-4079-9C98-7B4D6E139BB8}</x14:id>
        </ext>
      </extLst>
    </cfRule>
  </conditionalFormatting>
  <conditionalFormatting sqref="Y35:Y36">
    <cfRule type="dataBar" priority="24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{65C16CAD-2029-4370-9E2C-9E160975F690}</x14:id>
        </ext>
      </extLst>
    </cfRule>
  </conditionalFormatting>
  <conditionalFormatting sqref="Z5:Z36">
    <cfRule type="dataBar" priority="263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{94265FAF-CDB6-45E0-9ED6-7796D2E03699}</x14:id>
        </ext>
      </extLst>
    </cfRule>
    <cfRule type="dataBar" priority="26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{B055F6FE-4728-43C0-B35A-372F60648A1D}</x14:id>
        </ext>
      </extLst>
    </cfRule>
    <cfRule type="dataBar" priority="26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{EECAC3B0-FB23-4AE1-9D21-E16F0560E2EB}</x14:id>
        </ext>
      </extLst>
    </cfRule>
    <cfRule type="dataBar" priority="2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{3C567D80-00B5-4C8B-875E-D1041DBA11BF}</x14:id>
        </ext>
      </extLst>
    </cfRule>
    <cfRule type="dataBar" priority="2631">
      <dataBar>
        <cfvo type="min"/>
        <cfvo type="max"/>
        <color rgb="FF42D4E8"/>
      </dataBar>
      <extLst>
        <ext xmlns:x14="http://schemas.microsoft.com/office/spreadsheetml/2009/9/main" uri="{B025F937-C7B1-47D3-B67F-A62EFF666E3E}">
          <x14:id>{9BAA62EF-199C-4402-BA01-B1AE49E5DE1A}</x14:id>
        </ext>
      </extLst>
    </cfRule>
    <cfRule type="dataBar" priority="26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{9264CB2F-9505-4D90-B6AE-27BCC2F0C41F}</x14:id>
        </ext>
      </extLst>
    </cfRule>
    <cfRule type="dataBar" priority="26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{2B72972E-8CEA-4820-80F2-39D8C0ADB61A}</x14:id>
        </ext>
      </extLst>
    </cfRule>
    <cfRule type="dataBar" priority="2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{49C76ABA-2215-4AD4-A5A3-BE11EFA6FBB8}</x14:id>
        </ext>
      </extLst>
    </cfRule>
  </conditionalFormatting>
  <conditionalFormatting sqref="Z5:Z37">
    <cfRule type="dataBar" priority="26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{FD0FD6BA-D31A-4B73-A990-7BD1C71BCF2E}</x14:id>
        </ext>
      </extLst>
    </cfRule>
    <cfRule type="dataBar" priority="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{01D7FF6A-B948-4E0F-991C-BEC5D065A7B2}</x14:id>
        </ext>
      </extLst>
    </cfRule>
  </conditionalFormatting>
  <conditionalFormatting sqref="Z37">
    <cfRule type="dataBar" priority="2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{85522EC4-6633-4CE3-823C-007755046431}</x14:id>
        </ext>
      </extLst>
    </cfRule>
    <cfRule type="dataBar" priority="26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{47B90880-0F07-4C06-BFC4-9462F7F45AEF}</x14:id>
        </ext>
      </extLst>
    </cfRule>
    <cfRule type="dataBar" priority="26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{289A375B-B3F9-4FE8-9477-559BB7FEBC9F}</x14:id>
        </ext>
      </extLst>
    </cfRule>
    <cfRule type="dataBar" priority="2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{7FE08D90-FDC5-494B-9A29-771431B8CA54}</x14:id>
        </ext>
      </extLst>
    </cfRule>
    <cfRule type="dataBar" priority="263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{B310DEE3-5004-4D09-97A7-E40A4F9F3380}</x14:id>
        </ext>
      </extLst>
    </cfRule>
    <cfRule type="dataBar" priority="26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{16BDFBC0-B4BB-40CA-8F1B-BCB072A32C47}</x14:id>
        </ext>
      </extLst>
    </cfRule>
    <cfRule type="dataBar" priority="2639">
      <dataBar>
        <cfvo type="min"/>
        <cfvo type="max"/>
        <color rgb="FF42D4E8"/>
      </dataBar>
      <extLst>
        <ext xmlns:x14="http://schemas.microsoft.com/office/spreadsheetml/2009/9/main" uri="{B025F937-C7B1-47D3-B67F-A62EFF666E3E}">
          <x14:id>{5BDBCB0F-2628-406A-8E39-8DB28B34A633}</x14:id>
        </ext>
      </extLst>
    </cfRule>
    <cfRule type="dataBar" priority="26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{49686462-FC05-415C-A211-F98F0946BFF4}</x14:id>
        </ext>
      </extLst>
    </cfRule>
  </conditionalFormatting>
  <conditionalFormatting sqref="AA5">
    <cfRule type="dataBar" priority="7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{6636BA38-9A02-4BED-AE8C-672CD22D1CA4}</x14:id>
        </ext>
      </extLst>
    </cfRule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{FE374BD5-5DFF-42F4-843B-F454F0389A6A}</x14:id>
        </ext>
      </extLst>
    </cfRule>
    <cfRule type="dataBar" priority="7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{4112C0A1-C58C-4C09-92D6-1D5FCC43C140}</x14:id>
        </ext>
      </extLst>
    </cfRule>
    <cfRule type="dataBar" priority="7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{28658682-4902-4EAD-900D-10E1D56D1D7B}</x14:id>
        </ext>
      </extLst>
    </cfRule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{1C216FE9-6027-4B0E-817C-7919DFC37876}</x14:id>
        </ext>
      </extLst>
    </cfRule>
    <cfRule type="dataBar" priority="7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{C5EF268B-9155-43AA-884A-0DF2597BA00E}</x14:id>
        </ext>
      </extLst>
    </cfRule>
    <cfRule type="dataBar" priority="7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{DD9AED6E-F800-4ACA-9FE9-F9849EAA5B6A}</x14:id>
        </ext>
      </extLst>
    </cfRule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{EB9F58D9-4D8F-46E6-BB0B-87BFBE5389C2}</x14:id>
        </ext>
      </extLst>
    </cfRule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{A99E9C8F-2017-43E1-AEAD-9C65065F523A}</x14:id>
        </ext>
      </extLst>
    </cfRule>
    <cfRule type="dataBar" priority="7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{82048D1F-CF0D-42F8-9CAF-75F1B8F512F3}</x14:id>
        </ext>
      </extLst>
    </cfRule>
    <cfRule type="dataBar" priority="76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{A48E37BA-DBE3-417F-ABD0-B8801E1C6B9B}</x14:id>
        </ext>
      </extLst>
    </cfRule>
    <cfRule type="dataBar" priority="77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{9D64A7E8-71F7-4404-8F0B-69F390C7D7C0}</x14:id>
        </ext>
      </extLst>
    </cfRule>
    <cfRule type="dataBar" priority="76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{189A4FEF-6D4D-420F-B35E-9618F55B48E3}</x14:id>
        </ext>
      </extLst>
    </cfRule>
    <cfRule type="dataBar" priority="7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{AEE6F0C7-C69D-42D0-B543-2576C40250AB}</x14:id>
        </ext>
      </extLst>
    </cfRule>
    <cfRule type="dataBar" priority="7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{28F31924-6A5B-409A-B171-D77BB1E5E003}</x14:id>
        </ext>
      </extLst>
    </cfRule>
    <cfRule type="dataBar" priority="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{EF2EA002-CFE7-4A6B-B8F8-8A0B04F2E606}</x14:id>
        </ext>
      </extLst>
    </cfRule>
    <cfRule type="dataBar" priority="7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{4F4DA3BA-B889-466F-8A80-03ADFC46F965}</x14:id>
        </ext>
      </extLst>
    </cfRule>
    <cfRule type="dataBar" priority="7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{D3874742-FFE0-4293-9D82-CE6446F30656}</x14:id>
        </ext>
      </extLst>
    </cfRule>
    <cfRule type="dataBar" priority="7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{E05FC18C-DFA0-4965-B079-6EBC705033EA}</x14:id>
        </ext>
      </extLst>
    </cfRule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{5A55F729-9296-475B-AA7D-20FAF7047159}</x14:id>
        </ext>
      </extLst>
    </cfRule>
    <cfRule type="dataBar" priority="7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{C602CBDC-3306-4656-B219-CF97590A556E}</x14:id>
        </ext>
      </extLst>
    </cfRule>
    <cfRule type="dataBar" priority="7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{86E8478F-52A0-4239-AE76-2E6329E0C282}</x14:id>
        </ext>
      </extLst>
    </cfRule>
    <cfRule type="dataBar" priority="7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{BA92129C-E4D1-4982-9076-3BC5B8E4E0B5}</x14:id>
        </ext>
      </extLst>
    </cfRule>
    <cfRule type="dataBar" priority="76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{8D20F128-3D7F-4CDF-A466-E4B2C809EE13}</x14:id>
        </ext>
      </extLst>
    </cfRule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{78573622-2975-4711-A473-E3E7DE841CFC}</x14:id>
        </ext>
      </extLst>
    </cfRule>
    <cfRule type="dataBar" priority="7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{7FEB2183-2D02-4D3C-847C-6CC177483028}</x14:id>
        </ext>
      </extLst>
    </cfRule>
    <cfRule type="dataBar" priority="76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{4298208D-27B5-4F81-A23E-C56EF726F345}</x14:id>
        </ext>
      </extLst>
    </cfRule>
    <cfRule type="dataBar" priority="7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{F098CF48-AA29-4AD0-BCEA-0AE0002BEF78}</x14:id>
        </ext>
      </extLst>
    </cfRule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{29EC79D3-8160-4188-B96E-E58274A74803}</x14:id>
        </ext>
      </extLst>
    </cfRule>
    <cfRule type="dataBar" priority="7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{E4D30252-2B50-4AD1-AE67-A9372C039A2C}</x14:id>
        </ext>
      </extLst>
    </cfRule>
  </conditionalFormatting>
  <conditionalFormatting sqref="AA6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{41641722-5DDB-4DBC-A921-64C3AA99C3FE}</x14:id>
        </ext>
      </extLst>
    </cfRule>
    <cfRule type="dataBar" priority="49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{CC019D3B-F731-47E8-A2A9-6C39E4196F3C}</x14:id>
        </ext>
      </extLst>
    </cfRule>
    <cfRule type="dataBar" priority="49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{3CFF1726-2785-47E7-9DEC-2CFFB3F9AC18}</x14:id>
        </ext>
      </extLst>
    </cfRule>
    <cfRule type="dataBar" priority="49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{13BE62E2-D62A-426A-A6FB-E3C147D641E7}</x14:id>
        </ext>
      </extLst>
    </cfRule>
    <cfRule type="dataBar" priority="4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{2FD7067B-1FAF-4C29-846B-151CAEA13BE6}</x14:id>
        </ext>
      </extLst>
    </cfRule>
    <cfRule type="dataBar" priority="4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{31E45A35-826F-4C39-A21B-324CFBB44631}</x14:id>
        </ext>
      </extLst>
    </cfRule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{8C6982E8-3759-479D-8BFC-CAA51C835E48}</x14:id>
        </ext>
      </extLst>
    </cfRule>
    <cfRule type="dataBar" priority="50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{7FA38F0E-164E-4EE2-99D2-7053E28FFCAA}</x14:id>
        </ext>
      </extLst>
    </cfRule>
    <cfRule type="dataBar" priority="4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{14EDBD8E-0218-4DDA-838E-3A89EE42E656}</x14:id>
        </ext>
      </extLst>
    </cfRule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{2A8C6D90-77D6-4A87-9F55-DA3629542413}</x14:id>
        </ext>
      </extLst>
    </cfRule>
    <cfRule type="dataBar" priority="4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{3C79906E-31C7-476B-8D97-824270F342E9}</x14:id>
        </ext>
      </extLst>
    </cfRule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{157370E5-3205-4B41-B277-AC4798AED0C3}</x14:id>
        </ext>
      </extLst>
    </cfRule>
    <cfRule type="dataBar" priority="4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{6AD3732B-45D6-4912-97F9-397E69015BEB}</x14:id>
        </ext>
      </extLst>
    </cfRule>
  </conditionalFormatting>
  <conditionalFormatting sqref="AA7">
    <cfRule type="dataBar" priority="73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{4567F10E-8944-45E1-B71C-55938FDF4F98}</x14:id>
        </ext>
      </extLst>
    </cfRule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{99D6B792-D302-463B-B656-8ECC5585D90B}</x14:id>
        </ext>
      </extLst>
    </cfRule>
    <cfRule type="dataBar" priority="7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{FDED62BE-5C1D-4B24-94D2-D48E1A12F3C9}</x14:id>
        </ext>
      </extLst>
    </cfRule>
    <cfRule type="dataBar" priority="7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{E728B7C7-69BD-4698-B2BA-95031A659E59}</x14:id>
        </ext>
      </extLst>
    </cfRule>
    <cfRule type="dataBar" priority="7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{CE416318-146D-4643-92FC-C9669922B313}</x14:id>
        </ext>
      </extLst>
    </cfRule>
    <cfRule type="dataBar" priority="7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{823E3F86-4545-4830-A76B-0FDDDFF0DE6E}</x14:id>
        </ext>
      </extLst>
    </cfRule>
    <cfRule type="dataBar" priority="7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{C23DC43A-485B-4049-82AE-EFB00B7F3938}</x14:id>
        </ext>
      </extLst>
    </cfRule>
    <cfRule type="dataBar" priority="7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{41DD432F-9ED9-4EC5-8DB7-6F1A46DF1F98}</x14:id>
        </ext>
      </extLst>
    </cfRule>
    <cfRule type="dataBar" priority="7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{7A161BBD-7590-4A44-A98D-D43D2073687B}</x14:id>
        </ext>
      </extLst>
    </cfRule>
    <cfRule type="dataBar" priority="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{5FFDEF60-2CE4-407E-ACB1-865EF25782EB}</x14:id>
        </ext>
      </extLst>
    </cfRule>
    <cfRule type="dataBar" priority="7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{4F2BF974-A5FF-44A4-B54D-10FF7911D31B}</x14:id>
        </ext>
      </extLst>
    </cfRule>
    <cfRule type="dataBar" priority="7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{A64B32F9-1E01-4371-B4CC-35CA7FDE8573}</x14:id>
        </ext>
      </extLst>
    </cfRule>
    <cfRule type="dataBar" priority="7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{97E8DF01-488B-4885-93CA-6FFA0B175F26}</x14:id>
        </ext>
      </extLst>
    </cfRule>
    <cfRule type="dataBar" priority="7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{DD180EB2-15FB-4979-93A4-F168AF35B044}</x14:id>
        </ext>
      </extLst>
    </cfRule>
    <cfRule type="dataBar" priority="7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{62CA5935-8396-4052-8ADF-450F1150D761}</x14:id>
        </ext>
      </extLst>
    </cfRule>
    <cfRule type="dataBar" priority="75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{16FAC227-FA11-4D54-A9CC-F9292E7C34E4}</x14:id>
        </ext>
      </extLst>
    </cfRule>
    <cfRule type="dataBar" priority="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{5F20A989-B9C0-4622-8CC8-0F9B9441CA35}</x14:id>
        </ext>
      </extLst>
    </cfRule>
    <cfRule type="dataBar" priority="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{3E283D0A-B900-4178-8261-FFDB5818B299}</x14:id>
        </ext>
      </extLst>
    </cfRule>
    <cfRule type="dataBar" priority="75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{E9E95091-5AF0-4349-A503-3F204003B2FE}</x14:id>
        </ext>
      </extLst>
    </cfRule>
    <cfRule type="dataBar" priority="75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{2FC43E12-4134-4017-8451-5C1C66874B82}</x14:id>
        </ext>
      </extLst>
    </cfRule>
    <cfRule type="dataBar" priority="74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{A0F8284D-C284-44AF-B82B-504D761C8041}</x14:id>
        </ext>
      </extLst>
    </cfRule>
    <cfRule type="dataBar" priority="7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{CE61D281-036D-462C-9945-05E4777FDAF9}</x14:id>
        </ext>
      </extLst>
    </cfRule>
    <cfRule type="dataBar" priority="7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{3A96A611-EF55-4FE4-922C-3F45ABCAEC4A}</x14:id>
        </ext>
      </extLst>
    </cfRule>
    <cfRule type="dataBar" priority="7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{7DC87079-3F95-452B-B11B-6F7BDDA5B400}</x14:id>
        </ext>
      </extLst>
    </cfRule>
    <cfRule type="dataBar" priority="7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{B66A2A29-2317-46F0-988F-8CC18D93C712}</x14:id>
        </ext>
      </extLst>
    </cfRule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{B499038D-D3DA-4402-9DA2-311D24FCD33C}</x14:id>
        </ext>
      </extLst>
    </cfRule>
    <cfRule type="dataBar" priority="74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{AD3AB222-C14E-4CB2-AE09-0DE064638905}</x14:id>
        </ext>
      </extLst>
    </cfRule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{998343A1-7596-43D0-8E92-65904AD835F8}</x14:id>
        </ext>
      </extLst>
    </cfRule>
    <cfRule type="dataBar" priority="74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{A2C3A3A7-D381-4B7B-97F7-A956224B2DB4}</x14:id>
        </ext>
      </extLst>
    </cfRule>
    <cfRule type="dataBar" priority="73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{00DFD07E-2AE7-4D54-8A2A-CB0C4B08FB7D}</x14:id>
        </ext>
      </extLst>
    </cfRule>
  </conditionalFormatting>
  <conditionalFormatting sqref="AA8">
    <cfRule type="dataBar" priority="20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{D51C7962-C33B-44B6-A77B-5E3CF9B61FB2}</x14:id>
        </ext>
      </extLst>
    </cfRule>
    <cfRule type="dataBar" priority="20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{B87F253C-54D2-4766-A688-D7D07768C6EF}</x14:id>
        </ext>
      </extLst>
    </cfRule>
    <cfRule type="dataBar" priority="201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{1D332C3B-2B28-4EE1-BAA0-03129BF8A98E}</x14:id>
        </ext>
      </extLst>
    </cfRule>
    <cfRule type="dataBar" priority="201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{047F848B-FBA8-49A8-8372-E6DE352627E8}</x14:id>
        </ext>
      </extLst>
    </cfRule>
    <cfRule type="dataBar" priority="2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{DA6CF2A6-8FC0-48CE-82BF-CBA70D42A987}</x14:id>
        </ext>
      </extLst>
    </cfRule>
    <cfRule type="dataBar" priority="20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{C2B79928-1E1F-4D99-8F61-1EB4CCC57CA0}</x14:id>
        </ext>
      </extLst>
    </cfRule>
    <cfRule type="dataBar" priority="20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{411CCA76-3A4B-431B-8843-B45097809545}</x14:id>
        </ext>
      </extLst>
    </cfRule>
    <cfRule type="dataBar" priority="2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{C1451277-CBC7-4730-B72A-1FD0344D67AA}</x14:id>
        </ext>
      </extLst>
    </cfRule>
    <cfRule type="dataBar" priority="2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{E52F0F7B-34A1-440F-8208-E248FDC6F5E4}</x14:id>
        </ext>
      </extLst>
    </cfRule>
    <cfRule type="dataBar" priority="201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{C2AF93A3-C45B-449B-BAC1-BB9B732796C1}</x14:id>
        </ext>
      </extLst>
    </cfRule>
    <cfRule type="dataBar" priority="201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{451B8A93-9BF9-48C2-967C-2D809C55F11B}</x14:id>
        </ext>
      </extLst>
    </cfRule>
    <cfRule type="dataBar" priority="2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{FF6CAEFD-B675-4FC0-A391-E6754E0776D7}</x14:id>
        </ext>
      </extLst>
    </cfRule>
    <cfRule type="dataBar" priority="200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{838FF0F1-6659-4FFE-8B5D-C087D0EBB29F}</x14:id>
        </ext>
      </extLst>
    </cfRule>
    <cfRule type="dataBar" priority="201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{6E4CDB2C-98BB-4719-AFC9-BDF09489C2AD}</x14:id>
        </ext>
      </extLst>
    </cfRule>
    <cfRule type="dataBar" priority="200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{50CEB6CF-4475-4480-B5FF-45DE1F899925}</x14:id>
        </ext>
      </extLst>
    </cfRule>
    <cfRule type="dataBar" priority="2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{9567CFF3-93F3-45BB-8209-46ADBE290F11}</x14:id>
        </ext>
      </extLst>
    </cfRule>
    <cfRule type="dataBar" priority="20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{5268E20D-EAF6-4BC2-9F9E-C89253AC596E}</x14:id>
        </ext>
      </extLst>
    </cfRule>
  </conditionalFormatting>
  <conditionalFormatting sqref="AA9">
    <cfRule type="dataBar" priority="48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{156D08F8-4E95-42A1-BCBC-658935471C03}</x14:id>
        </ext>
      </extLst>
    </cfRule>
    <cfRule type="dataBar" priority="48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{65DD962C-8F5A-48B4-8296-82B1643ACFFD}</x14:id>
        </ext>
      </extLst>
    </cfRule>
    <cfRule type="dataBar" priority="48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{AC02EAE4-64CE-4608-95E1-11AAAF23D558}</x14:id>
        </ext>
      </extLst>
    </cfRule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{35F1B762-02D8-4755-8F04-BBDAC23F116F}</x14:id>
        </ext>
      </extLst>
    </cfRule>
    <cfRule type="dataBar" priority="48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{93E895F3-5364-4091-AC29-71BFB0A28911}</x14:id>
        </ext>
      </extLst>
    </cfRule>
    <cfRule type="dataBar" priority="48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{FB446A87-7EB5-4D0F-A9C4-25D6A6A467A2}</x14:id>
        </ext>
      </extLst>
    </cfRule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{F5FF1840-B988-479D-A7BA-DA339B96BA4E}</x14:id>
        </ext>
      </extLst>
    </cfRule>
    <cfRule type="dataBar" priority="48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{68BF07BC-469C-433F-AFE4-9F5A2E291178}</x14:id>
        </ext>
      </extLst>
    </cfRule>
    <cfRule type="dataBar" priority="47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{02CF3DA7-6658-4C02-B3B9-64FECA88DC98}</x14:id>
        </ext>
      </extLst>
    </cfRule>
    <cfRule type="dataBar" priority="47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{D9E8F6C3-DB3F-431C-BF6C-BF587A58AD44}</x14:id>
        </ext>
      </extLst>
    </cfRule>
    <cfRule type="dataBar" priority="4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{FD022DD8-FE6D-4DC2-B8CD-29C2CDEE3AC9}</x14:id>
        </ext>
      </extLst>
    </cfRule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{AC0F27FE-06BA-4FFA-BCC8-E3915716D004}</x14:id>
        </ext>
      </extLst>
    </cfRule>
    <cfRule type="dataBar" priority="4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{7A68F613-F0AC-4538-BFA4-53C20D1EA870}</x14:id>
        </ext>
      </extLst>
    </cfRule>
  </conditionalFormatting>
  <conditionalFormatting sqref="AA10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{3D1A035E-76DA-404D-B0EC-8B722AF76BB0}</x14:id>
        </ext>
      </extLst>
    </cfRule>
    <cfRule type="dataBar" priority="7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{60728E20-C45B-4C45-8933-E5C6AAE6BFE3}</x14:id>
        </ext>
      </extLst>
    </cfRule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{4314648D-8E97-43B2-8A71-0C0605289E51}</x14:id>
        </ext>
      </extLst>
    </cfRule>
    <cfRule type="dataBar" priority="71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{F5B27335-0E73-4FE2-B220-307AEF828E50}</x14:id>
        </ext>
      </extLst>
    </cfRule>
    <cfRule type="dataBar" priority="70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{BB8FF10C-D166-44A5-A836-2D5AC506AA59}</x14:id>
        </ext>
      </extLst>
    </cfRule>
    <cfRule type="dataBar" priority="70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{BA3ADBCD-F089-4738-84D3-16A8694200C3}</x14:id>
        </ext>
      </extLst>
    </cfRule>
    <cfRule type="dataBar" priority="7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{9AAD6635-F37C-4499-901F-460977974165}</x14:id>
        </ext>
      </extLst>
    </cfRule>
    <cfRule type="dataBar" priority="70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{E9EE54DF-AFEE-45FC-89CD-EAAAFCC3D4F6}</x14:id>
        </ext>
      </extLst>
    </cfRule>
    <cfRule type="dataBar" priority="7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{45DA3CDF-EDF5-4D52-8B20-B83D75DC5FB2}</x14:id>
        </ext>
      </extLst>
    </cfRule>
    <cfRule type="dataBar" priority="70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{125C613B-9319-4387-9410-313DD83C16BF}</x14:id>
        </ext>
      </extLst>
    </cfRule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{2A40823C-A8EC-498B-B5C6-110AAD6EE78D}</x14:id>
        </ext>
      </extLst>
    </cfRule>
    <cfRule type="dataBar" priority="70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{01218FB8-FCD1-4CBE-86FA-BED7D0454B85}</x14:id>
        </ext>
      </extLst>
    </cfRule>
    <cfRule type="dataBar" priority="72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{BE151E7D-1E1C-49A4-9FCB-F1E334803D0D}</x14:id>
        </ext>
      </extLst>
    </cfRule>
    <cfRule type="dataBar" priority="6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{6561A2CF-6599-4D0D-A0D0-CC8F19C53987}</x14:id>
        </ext>
      </extLst>
    </cfRule>
    <cfRule type="dataBar" priority="6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{7B017724-19FA-460C-A89D-0958CD734606}</x14:id>
        </ext>
      </extLst>
    </cfRule>
    <cfRule type="dataBar" priority="7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{376777FB-0A49-4EFD-9E7C-A9C7D12C89ED}</x14:id>
        </ext>
      </extLst>
    </cfRule>
    <cfRule type="dataBar" priority="6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{9AA745B0-7246-4476-83FF-B05D5D74229C}</x14:id>
        </ext>
      </extLst>
    </cfRule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{3A8F98DC-DE53-437A-8B62-6E5214AFA432}</x14:id>
        </ext>
      </extLst>
    </cfRule>
    <cfRule type="dataBar" priority="69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{B85F30C5-37E3-425D-9DFF-2C51ED23C657}</x14:id>
        </ext>
      </extLst>
    </cfRule>
    <cfRule type="dataBar" priority="7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{37C0D2BD-5493-4D4B-8089-2CA339A77AC7}</x14:id>
        </ext>
      </extLst>
    </cfRule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{F626C05E-5D77-448C-A118-92FD86AD0362}</x14:id>
        </ext>
      </extLst>
    </cfRule>
    <cfRule type="dataBar" priority="72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{92271CA1-A789-41D0-BE95-F065D3957AB1}</x14:id>
        </ext>
      </extLst>
    </cfRule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{A897E5FD-CFB7-4C59-86BD-71F3C2CF355C}</x14:id>
        </ext>
      </extLst>
    </cfRule>
    <cfRule type="dataBar" priority="71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{C7B9A6DF-79DC-429D-9CAA-530CBF3AA375}</x14:id>
        </ext>
      </extLst>
    </cfRule>
    <cfRule type="dataBar" priority="7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{D2879D34-2CC0-466E-9502-BAE956870A93}</x14:id>
        </ext>
      </extLst>
    </cfRule>
    <cfRule type="dataBar" priority="7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{BDC2E817-D1D3-48D4-A68D-E89B71FB0CF1}</x14:id>
        </ext>
      </extLst>
    </cfRule>
    <cfRule type="dataBar" priority="7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{097AD555-EF19-4798-9B1A-5E38776FBE83}</x14:id>
        </ext>
      </extLst>
    </cfRule>
    <cfRule type="dataBar" priority="7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{B1846F81-3D73-48FC-8E32-EAA28B512348}</x14:id>
        </ext>
      </extLst>
    </cfRule>
    <cfRule type="dataBar" priority="7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{C6EC730E-66A8-47B5-A9AD-F6AEFBC6924E}</x14:id>
        </ext>
      </extLst>
    </cfRule>
    <cfRule type="dataBar" priority="7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{D790E21E-7ADD-4F21-A4D1-62D37FE56BBF}</x14:id>
        </ext>
      </extLst>
    </cfRule>
  </conditionalFormatting>
  <conditionalFormatting sqref="AA11">
    <cfRule type="dataBar" priority="4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{A77677F1-E999-40FE-A03F-CBB7A2ED94A4}</x14:id>
        </ext>
      </extLst>
    </cfRule>
    <cfRule type="dataBar" priority="4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{0A0C97FA-7D1A-4F6D-A58E-C048E7648934}</x14:id>
        </ext>
      </extLst>
    </cfRule>
    <cfRule type="dataBar" priority="4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{901EFF5B-5644-42C1-A1F3-6E5D15E27FF0}</x14:id>
        </ext>
      </extLst>
    </cfRule>
    <cfRule type="dataBar" priority="4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{F5685793-03E9-4A02-959C-25ED8ABBE2C6}</x14:id>
        </ext>
      </extLst>
    </cfRule>
    <cfRule type="dataBar" priority="4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{D03EB3BC-0851-4A98-868C-8B4E7835227B}</x14:id>
        </ext>
      </extLst>
    </cfRule>
    <cfRule type="dataBar" priority="4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{DE849B06-99C6-44AD-8E49-514361572100}</x14:id>
        </ext>
      </extLst>
    </cfRule>
    <cfRule type="dataBar" priority="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{07BB4656-6259-41DB-AA8D-483D2CB70FA4}</x14:id>
        </ext>
      </extLst>
    </cfRule>
    <cfRule type="dataBar" priority="4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{E5C5332E-205E-4E6D-BDCA-DB8C5279DAC6}</x14:id>
        </ext>
      </extLst>
    </cfRule>
    <cfRule type="dataBar" priority="4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{BE07840C-771D-4C5E-B68E-313B5A6E39E8}</x14:id>
        </ext>
      </extLst>
    </cfRule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{5E809972-BD3A-4362-9375-0F9C7BCF8333}</x14:id>
        </ext>
      </extLst>
    </cfRule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{9466474F-9CED-4693-980E-F190D0B1ACB7}</x14:id>
        </ext>
      </extLst>
    </cfRule>
    <cfRule type="dataBar" priority="4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{7CDC2ABC-9B2A-44F4-9EFB-0D828DBCE9A5}</x14:id>
        </ext>
      </extLst>
    </cfRule>
    <cfRule type="dataBar" priority="4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{F06AA406-FC4C-4A14-87CA-1B5762870AF6}</x14:id>
        </ext>
      </extLst>
    </cfRule>
  </conditionalFormatting>
  <conditionalFormatting sqref="AA12:AA16">
    <cfRule type="dataBar" priority="13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{CA8901F8-84AD-437D-9193-64E1FD95F239}</x14:id>
        </ext>
      </extLst>
    </cfRule>
    <cfRule type="dataBar" priority="13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{B19F372A-4D05-4CB0-875A-B4C8DB1F728C}</x14:id>
        </ext>
      </extLst>
    </cfRule>
    <cfRule type="dataBar" priority="13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{59F86F42-B89D-4C50-B7F8-7A400D6F0F32}</x14:id>
        </ext>
      </extLst>
    </cfRule>
    <cfRule type="dataBar" priority="1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{64E162B8-B3DF-47CC-A2C6-96A9E19993B4}</x14:id>
        </ext>
      </extLst>
    </cfRule>
    <cfRule type="dataBar" priority="13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{1E78666F-299D-4B2E-B2F3-10CA4E0A346D}</x14:id>
        </ext>
      </extLst>
    </cfRule>
    <cfRule type="dataBar" priority="13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{63DBDC2E-2BD4-4EEA-B39F-1FCCDE66AA6F}</x14:id>
        </ext>
      </extLst>
    </cfRule>
    <cfRule type="dataBar" priority="13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{F5C148D7-D5AB-4AA3-A41A-246A2E5E1B53}</x14:id>
        </ext>
      </extLst>
    </cfRule>
    <cfRule type="dataBar" priority="1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{496D1AD8-79DC-4E3B-8724-D5B9D4E18DC2}</x14:id>
        </ext>
      </extLst>
    </cfRule>
    <cfRule type="dataBar" priority="13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{DDF3AE5F-6664-458E-B810-674496FA0206}</x14:id>
        </ext>
      </extLst>
    </cfRule>
    <cfRule type="dataBar" priority="13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{E6973561-D2AB-439B-AD53-A3D941E8E2E0}</x14:id>
        </ext>
      </extLst>
    </cfRule>
    <cfRule type="dataBar" priority="13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{7B18FE28-E426-47DC-B5B1-1626551E5CF7}</x14:id>
        </ext>
      </extLst>
    </cfRule>
    <cfRule type="dataBar" priority="134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{85EC9870-0A92-4577-8D10-158DE08EA593}</x14:id>
        </ext>
      </extLst>
    </cfRule>
    <cfRule type="dataBar" priority="1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{B5AEC8C4-3620-434B-B905-8F0901E7D379}</x14:id>
        </ext>
      </extLst>
    </cfRule>
    <cfRule type="dataBar" priority="1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{6BAF4505-38E1-4A6A-8297-45678156E4A2}</x14:id>
        </ext>
      </extLst>
    </cfRule>
    <cfRule type="dataBar" priority="1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{F6AA4A63-EE08-42A3-985D-757A563BC378}</x14:id>
        </ext>
      </extLst>
    </cfRule>
    <cfRule type="dataBar" priority="135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{5438B9A6-19C4-4C03-851F-D8DA9FF4D8D5}</x14:id>
        </ext>
      </extLst>
    </cfRule>
    <cfRule type="dataBar" priority="134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{163FB410-B3EC-4659-BB1A-FC41CFA6AD4F}</x14:id>
        </ext>
      </extLst>
    </cfRule>
    <cfRule type="dataBar" priority="13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{0742BA35-3D2B-4AD0-AE6C-AB36B6E79126}</x14:id>
        </ext>
      </extLst>
    </cfRule>
    <cfRule type="dataBar" priority="135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{5C5A26B0-2542-4D4B-AA7E-A1885D3870CD}</x14:id>
        </ext>
      </extLst>
    </cfRule>
    <cfRule type="dataBar" priority="1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{97585613-3516-406E-918B-17544BA625C1}</x14:id>
        </ext>
      </extLst>
    </cfRule>
    <cfRule type="dataBar" priority="13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{2BE4B0B7-0134-4156-AE98-5188D6222E34}</x14:id>
        </ext>
      </extLst>
    </cfRule>
    <cfRule type="dataBar" priority="13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{BB174750-363B-48CB-87EE-F134761D165B}</x14:id>
        </ext>
      </extLst>
    </cfRule>
    <cfRule type="dataBar" priority="13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{335010F8-7B70-4347-AF3E-3C14EAC3DD8E}</x14:id>
        </ext>
      </extLst>
    </cfRule>
    <cfRule type="dataBar" priority="135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{1C82F457-6526-434F-983E-CFA31F389AB8}</x14:id>
        </ext>
      </extLst>
    </cfRule>
    <cfRule type="dataBar" priority="1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{FF65FEF1-B688-4CDB-BAA3-55A9C77A9243}</x14:id>
        </ext>
      </extLst>
    </cfRule>
    <cfRule type="dataBar" priority="134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{20E65840-FB82-469E-981A-86D888626BFD}</x14:id>
        </ext>
      </extLst>
    </cfRule>
    <cfRule type="dataBar" priority="133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{D9E598F6-FA29-4DA0-B4D1-6B83FF2160D7}</x14:id>
        </ext>
      </extLst>
    </cfRule>
    <cfRule type="dataBar" priority="133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{D7898815-F811-4F1D-809C-E24E855E7560}</x14:id>
        </ext>
      </extLst>
    </cfRule>
    <cfRule type="dataBar" priority="13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{FA9BC806-0519-4E34-ADE8-47F353BD31A8}</x14:id>
        </ext>
      </extLst>
    </cfRule>
    <cfRule type="dataBar" priority="1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{73D19EF0-3FB4-4A9E-AD2B-97036D284564}</x14:id>
        </ext>
      </extLst>
    </cfRule>
  </conditionalFormatting>
  <conditionalFormatting sqref="AA17:AA18">
    <cfRule type="dataBar" priority="4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{C3C2A309-5CFA-4ACA-9980-FE9A14A8550E}</x14:id>
        </ext>
      </extLst>
    </cfRule>
    <cfRule type="dataBar" priority="45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{9F131C71-AA0A-42C0-968F-8241CA91CEC2}</x14:id>
        </ext>
      </extLst>
    </cfRule>
    <cfRule type="dataBar" priority="45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{3D65D20F-E9EB-4D3F-9154-A5B5CEEC022F}</x14:id>
        </ext>
      </extLst>
    </cfRule>
    <cfRule type="dataBar" priority="45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{62A7C8D9-52D6-4038-8749-861B3F242CCD}</x14:id>
        </ext>
      </extLst>
    </cfRule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{31134A62-64B8-4CF0-A38A-D64366589EFA}</x14:id>
        </ext>
      </extLst>
    </cfRule>
    <cfRule type="dataBar" priority="4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{FC37D2BF-1E02-4283-9056-4AD63C280700}</x14:id>
        </ext>
      </extLst>
    </cfRule>
    <cfRule type="dataBar" priority="4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{37FB569E-1454-4A65-B0EE-3E360B944244}</x14:id>
        </ext>
      </extLst>
    </cfRule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{AE9AA9F9-C71E-48BD-94A5-FB9866D497DA}</x14:id>
        </ext>
      </extLst>
    </cfRule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{9B163CAB-EB13-44EE-B53B-4827C2FA32E7}</x14:id>
        </ext>
      </extLst>
    </cfRule>
    <cfRule type="dataBar" priority="4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{C524A41D-0E73-45C7-8269-F0F606E6F4D1}</x14:id>
        </ext>
      </extLst>
    </cfRule>
    <cfRule type="dataBar" priority="44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{92D43E60-CFC0-46A8-93CB-79EC0AAAB077}</x14:id>
        </ext>
      </extLst>
    </cfRule>
    <cfRule type="dataBar" priority="4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{EBDA4F4C-626B-4247-9C06-38FFCD815C71}</x14:id>
        </ext>
      </extLst>
    </cfRule>
    <cfRule type="dataBar" priority="46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{7DA72725-74A6-4CDA-B576-6BCAA622AE95}</x14:id>
        </ext>
      </extLst>
    </cfRule>
  </conditionalFormatting>
  <conditionalFormatting sqref="AA19:AA22">
    <cfRule type="dataBar" priority="260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{D88B2B2E-81B1-4E39-8DFC-C61B3DEDB42B}</x14:id>
        </ext>
      </extLst>
    </cfRule>
    <cfRule type="dataBar" priority="26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{F1802A74-9F54-43E6-A8FB-FD0BB3846BE5}</x14:id>
        </ext>
      </extLst>
    </cfRule>
    <cfRule type="dataBar" priority="2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{8C198DB8-0629-4221-94F5-C5118BF76FB9}</x14:id>
        </ext>
      </extLst>
    </cfRule>
    <cfRule type="dataBar" priority="26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{84D6E160-29E6-497C-B085-6EA136FC354F}</x14:id>
        </ext>
      </extLst>
    </cfRule>
    <cfRule type="dataBar" priority="261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{26330674-DB79-4D26-8E4E-08182B2CDC6C}</x14:id>
        </ext>
      </extLst>
    </cfRule>
    <cfRule type="dataBar" priority="261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{1F92E41C-266C-489D-8B65-92900122C6F2}</x14:id>
        </ext>
      </extLst>
    </cfRule>
    <cfRule type="dataBar" priority="2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{5D4A9F2F-69CE-42C9-8AFC-3739C975FC86}</x14:id>
        </ext>
      </extLst>
    </cfRule>
    <cfRule type="dataBar" priority="26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{40AD2173-A4FC-4CE1-ADA2-064B34598842}</x14:id>
        </ext>
      </extLst>
    </cfRule>
    <cfRule type="dataBar" priority="26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{968C962C-EEFC-4D5D-A4E7-8047C0931F44}</x14:id>
        </ext>
      </extLst>
    </cfRule>
    <cfRule type="dataBar" priority="2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{3F3D49A9-B3A6-40CD-9057-B369B31DA84C}</x14:id>
        </ext>
      </extLst>
    </cfRule>
    <cfRule type="dataBar" priority="261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{0E3CAB27-8712-4758-A16D-ABC29F50BB3A}</x14:id>
        </ext>
      </extLst>
    </cfRule>
    <cfRule type="dataBar" priority="26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{0D17E4CC-10A2-4B5B-93AB-04D17B988B80}</x14:id>
        </ext>
      </extLst>
    </cfRule>
    <cfRule type="dataBar" priority="26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{902E05E0-3A9C-4D3A-80F1-0E94C95DF763}</x14:id>
        </ext>
      </extLst>
    </cfRule>
    <cfRule type="dataBar" priority="2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{C6B5329D-8A97-4C05-89A4-BC626DC9BB99}</x14:id>
        </ext>
      </extLst>
    </cfRule>
    <cfRule type="dataBar" priority="262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{3FF67929-8C99-4300-937D-45D3C8915B12}</x14:id>
        </ext>
      </extLst>
    </cfRule>
    <cfRule type="dataBar" priority="26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{B30B8DA0-45E6-4240-B14B-05E0D4FFA9E3}</x14:id>
        </ext>
      </extLst>
    </cfRule>
    <cfRule type="dataBar" priority="2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{428D1002-8A7A-4F43-B2F1-E11D609A0DEB}</x14:id>
        </ext>
      </extLst>
    </cfRule>
  </conditionalFormatting>
  <conditionalFormatting sqref="AA23">
    <cfRule type="dataBar" priority="4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{85961C65-735E-4AE9-8FDB-1D0B1A74CB59}</x14:id>
        </ext>
      </extLst>
    </cfRule>
    <cfRule type="dataBar" priority="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{BE0B0E7F-8561-4964-9C49-CE3FA5F25CE6}</x14:id>
        </ext>
      </extLst>
    </cfRule>
    <cfRule type="dataBar" priority="44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{B468ADB4-52DA-481C-AD53-68866E39F1A7}</x14:id>
        </ext>
      </extLst>
    </cfRule>
    <cfRule type="dataBar" priority="44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{69635AE8-4CD5-43D0-B328-3C1BDBB07F77}</x14:id>
        </ext>
      </extLst>
    </cfRule>
    <cfRule type="dataBar" priority="44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{5ABE4173-3FA1-4924-A8F0-34F4BEAA35EF}</x14:id>
        </ext>
      </extLst>
    </cfRule>
    <cfRule type="dataBar" priority="44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{60AF1D74-411A-455F-862F-91D95BF97718}</x14:id>
        </ext>
      </extLst>
    </cfRule>
    <cfRule type="dataBar" priority="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{15193588-B049-423D-AFC1-4C836913FD26}</x14:id>
        </ext>
      </extLst>
    </cfRule>
    <cfRule type="dataBar" priority="44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{0C8AA166-4A79-419C-9CFB-EA07BAD8E881}</x14:id>
        </ext>
      </extLst>
    </cfRule>
    <cfRule type="dataBar" priority="44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{6906FA05-4724-4CDF-A10F-EA9F49045612}</x14:id>
        </ext>
      </extLst>
    </cfRule>
    <cfRule type="dataBar" priority="4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{8039FCB7-ECBA-422F-BD1D-6E4D4BBF5754}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{D192C530-BA5E-4DCE-8626-DB8370B0D281}</x14:id>
        </ext>
      </extLst>
    </cfRule>
    <cfRule type="dataBar" priority="44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{790C05E6-B7A5-43FA-9908-BFCCC34E2F37}</x14:id>
        </ext>
      </extLst>
    </cfRule>
    <cfRule type="dataBar" priority="4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{C5CE17B5-4DA6-41D8-B6AC-01F272D530F9}</x14:id>
        </ext>
      </extLst>
    </cfRule>
  </conditionalFormatting>
  <conditionalFormatting sqref="AA24:AA36">
    <cfRule type="dataBar" priority="129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{6F0FABCC-9EEE-4E8E-BFE6-4EC5317561F6}</x14:id>
        </ext>
      </extLst>
    </cfRule>
    <cfRule type="dataBar" priority="13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{F29AC347-28DE-4636-A32A-317C1F30F34A}</x14:id>
        </ext>
      </extLst>
    </cfRule>
    <cfRule type="dataBar" priority="130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{08907F5B-0BDA-4260-8F98-ABA8725B5C51}</x14:id>
        </ext>
      </extLst>
    </cfRule>
    <cfRule type="dataBar" priority="1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{E8C78434-23B2-45A7-A07C-63F81BE2F8CE}</x14:id>
        </ext>
      </extLst>
    </cfRule>
    <cfRule type="dataBar" priority="130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{27E0FC0E-FFF7-44F2-B5C3-A8415C5DAC7B}</x14:id>
        </ext>
      </extLst>
    </cfRule>
    <cfRule type="dataBar" priority="13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{9E2F84A4-F1D8-4379-8493-F2EB9BA8ADF8}</x14:id>
        </ext>
      </extLst>
    </cfRule>
    <cfRule type="dataBar" priority="13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{FBBC8263-5291-48E3-B812-81FC2AE924DB}</x14:id>
        </ext>
      </extLst>
    </cfRule>
    <cfRule type="dataBar" priority="12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{B37C8039-9E5D-4FC2-897A-AD4C8D3BCC09}</x14:id>
        </ext>
      </extLst>
    </cfRule>
    <cfRule type="dataBar" priority="12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{A157F4C8-BF12-4EB9-9B5E-CAA48B83FBAE}</x14:id>
        </ext>
      </extLst>
    </cfRule>
    <cfRule type="dataBar" priority="12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{2B5B2940-097F-4C63-85EE-677D2D416A42}</x14:id>
        </ext>
      </extLst>
    </cfRule>
    <cfRule type="dataBar" priority="1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{A8E0A77F-CE1B-4B0E-A1F1-0958E1D12A06}</x14:id>
        </ext>
      </extLst>
    </cfRule>
    <cfRule type="dataBar" priority="13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{1E03DF63-CC18-411C-B5A4-E495DAA29009}</x14:id>
        </ext>
      </extLst>
    </cfRule>
    <cfRule type="dataBar" priority="132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{BACE2B12-3C2E-4F54-BEE7-1B46D0860773}</x14:id>
        </ext>
      </extLst>
    </cfRule>
    <cfRule type="dataBar" priority="1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{A5ED9E62-E6A3-43FE-9532-85480D89157C}</x14:id>
        </ext>
      </extLst>
    </cfRule>
    <cfRule type="dataBar" priority="132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{6FB336C9-ECD4-4732-8C31-7D2206C8A6B7}</x14:id>
        </ext>
      </extLst>
    </cfRule>
    <cfRule type="dataBar" priority="131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{1EB75A9A-7672-4D00-94C6-610DB77C600D}</x14:id>
        </ext>
      </extLst>
    </cfRule>
    <cfRule type="dataBar" priority="13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{295FB741-5785-45F7-B85E-27C842E03E78}</x14:id>
        </ext>
      </extLst>
    </cfRule>
    <cfRule type="dataBar" priority="1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{A9C4E622-347A-4270-9F71-2F555E83064E}</x14:id>
        </ext>
      </extLst>
    </cfRule>
    <cfRule type="dataBar" priority="13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{10549EBC-26B8-413B-92D7-F20140DEEEC3}</x14:id>
        </ext>
      </extLst>
    </cfRule>
    <cfRule type="dataBar" priority="13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{CA4BA436-F51B-420F-A92A-40ACFCD047FC}</x14:id>
        </ext>
      </extLst>
    </cfRule>
    <cfRule type="dataBar" priority="1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{9C2C2466-2902-43F8-8BA0-71D954756335}</x14:id>
        </ext>
      </extLst>
    </cfRule>
    <cfRule type="dataBar" priority="1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{EED44884-4965-4F45-B431-1F4A70E78198}</x14:id>
        </ext>
      </extLst>
    </cfRule>
    <cfRule type="dataBar" priority="13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{A19F7C8D-F811-4D3C-8B1A-CEFA19592415}</x14:id>
        </ext>
      </extLst>
    </cfRule>
    <cfRule type="dataBar" priority="13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{B80048BC-3BD0-46F4-B6D2-F13D56E77CB9}</x14:id>
        </ext>
      </extLst>
    </cfRule>
    <cfRule type="dataBar" priority="131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{2FFB78AF-F016-4B30-B092-53107E773EF3}</x14:id>
        </ext>
      </extLst>
    </cfRule>
    <cfRule type="dataBar" priority="130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{F94A47F7-18C8-480B-93EC-7DB21B0140E9}</x14:id>
        </ext>
      </extLst>
    </cfRule>
    <cfRule type="dataBar" priority="130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{F636FC0F-B15D-4DC7-8D92-E765FE5BEFCD}</x14:id>
        </ext>
      </extLst>
    </cfRule>
    <cfRule type="dataBar" priority="13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{083A42E6-A71C-4E1B-9516-174C2A13E311}</x14:id>
        </ext>
      </extLst>
    </cfRule>
    <cfRule type="dataBar" priority="1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{F81B8DDA-DA9A-4A96-904D-2AED9037AF3B}</x14:id>
        </ext>
      </extLst>
    </cfRule>
    <cfRule type="dataBar" priority="130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{9C76055B-1C6D-4AC8-80D9-A34273195608}</x14:id>
        </ext>
      </extLst>
    </cfRule>
  </conditionalFormatting>
  <conditionalFormatting sqref="AA37">
    <cfRule type="dataBar" priority="26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{1A0F2946-3AB1-4090-9391-9FFAA017C156}</x14:id>
        </ext>
      </extLst>
    </cfRule>
    <cfRule type="dataBar" priority="265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{3C710CB7-E9F5-4DD9-A2F6-69BF281E9E6B}</x14:id>
        </ext>
      </extLst>
    </cfRule>
    <cfRule type="dataBar" priority="26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{EA2E9171-7E09-4718-997C-A703E66959F0}</x14:id>
        </ext>
      </extLst>
    </cfRule>
    <cfRule type="dataBar" priority="265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{028A55F7-BA87-4350-A320-00EB096E8B06}</x14:id>
        </ext>
      </extLst>
    </cfRule>
    <cfRule type="dataBar" priority="264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{6F66CE7B-FF63-4AD5-849D-44F116CD7042}</x14:id>
        </ext>
      </extLst>
    </cfRule>
    <cfRule type="dataBar" priority="264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{C3FFA4AA-1631-46EF-A524-64FAC5228966}</x14:id>
        </ext>
      </extLst>
    </cfRule>
    <cfRule type="dataBar" priority="264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{B7253E3C-61F1-48A2-89AB-D063291E943B}</x14:id>
        </ext>
      </extLst>
    </cfRule>
    <cfRule type="dataBar" priority="2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{DAA33211-6696-43FF-9A24-E23D82D5C900}</x14:id>
        </ext>
      </extLst>
    </cfRule>
    <cfRule type="dataBar" priority="264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{5F31BDDA-A4ED-4B1C-B2C5-D508284A59F5}</x14:id>
        </ext>
      </extLst>
    </cfRule>
    <cfRule type="dataBar" priority="26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{4F5CDFCD-6FFD-4D4A-B7BA-F6646C8D64B8}</x14:id>
        </ext>
      </extLst>
    </cfRule>
    <cfRule type="dataBar" priority="2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{057E10F5-DFB1-4D18-8F8A-2E1202DB55A4}</x14:id>
        </ext>
      </extLst>
    </cfRule>
    <cfRule type="dataBar" priority="2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{0212E586-C991-4742-B169-B5FFB140DD13}</x14:id>
        </ext>
      </extLst>
    </cfRule>
    <cfRule type="dataBar" priority="264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{C9A97A6B-D23A-4D50-9DFA-29A8CCC2A837}</x14:id>
        </ext>
      </extLst>
    </cfRule>
  </conditionalFormatting>
  <conditionalFormatting sqref="AB5:AB35">
    <cfRule type="dataBar" priority="24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{3660E0A1-5C0C-4E51-92EA-7D6C0EEBC9DB}</x14:id>
        </ext>
      </extLst>
    </cfRule>
    <cfRule type="dataBar" priority="240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{A79307CC-9295-4598-B8EB-C90A4C188035}</x14:id>
        </ext>
      </extLst>
    </cfRule>
  </conditionalFormatting>
  <conditionalFormatting sqref="AB9:AB10">
    <cfRule type="dataBar" priority="233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{EDC38E61-C832-4D10-BC5A-B4B84D3E3046}</x14:id>
        </ext>
      </extLst>
    </cfRule>
    <cfRule type="dataBar" priority="23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{9809B033-A5C2-4103-B417-7AB40AA8B772}</x14:id>
        </ext>
      </extLst>
    </cfRule>
    <cfRule type="dataBar" priority="2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{522D9AF4-1E89-43EE-897E-956ADD8C2F0D}</x14:id>
        </ext>
      </extLst>
    </cfRule>
  </conditionalFormatting>
  <conditionalFormatting sqref="AB11:AB33 AB5:AB8">
    <cfRule type="dataBar" priority="239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{AC26F678-CA6A-43AF-B6F8-6C9F6AA6A44D}</x14:id>
        </ext>
      </extLst>
    </cfRule>
    <cfRule type="dataBar" priority="239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{58EAD525-B865-4C9E-B039-325E1D4DB571}</x14:id>
        </ext>
      </extLst>
    </cfRule>
    <cfRule type="dataBar" priority="2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{2DE88570-4AFC-4688-9D67-DCF792773A51}</x14:id>
        </ext>
      </extLst>
    </cfRule>
  </conditionalFormatting>
  <conditionalFormatting sqref="AB34:AB35">
    <cfRule type="dataBar" priority="2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{EFE33C16-7BF1-4C2F-A4AE-8D88AE2E32AE}</x14:id>
        </ext>
      </extLst>
    </cfRule>
    <cfRule type="dataBar" priority="23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{D6587F6D-D6F0-485A-8E3E-62FAF37BB9B8}</x14:id>
        </ext>
      </extLst>
    </cfRule>
    <cfRule type="dataBar" priority="23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{9874C558-8F57-486B-B6A4-BF2950C57A8F}</x14:id>
        </ext>
      </extLst>
    </cfRule>
  </conditionalFormatting>
  <conditionalFormatting sqref="AD32">
    <cfRule type="dataBar" priority="217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{E1D12A76-17AD-4C77-9474-6874F611C2C4}</x14:id>
        </ext>
      </extLst>
    </cfRule>
  </conditionalFormatting>
  <conditionalFormatting sqref="AD33">
    <cfRule type="dataBar" priority="21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{EFAA8E3B-D2E6-42E7-A794-398E0608464B}</x14:id>
        </ext>
      </extLst>
    </cfRule>
  </conditionalFormatting>
  <conditionalFormatting sqref="AD34:AD35">
    <cfRule type="dataBar" priority="24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{1319E549-4644-4779-8640-BCB32E7AE5B5}</x14:id>
        </ext>
      </extLst>
    </cfRule>
  </conditionalFormatting>
  <conditionalFormatting sqref="AE5:AE30 AG5:AG34">
    <cfRule type="dataBar" priority="2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{F9DA71DD-91D5-4D50-8A2B-12B462269EC3}</x14:id>
        </ext>
      </extLst>
    </cfRule>
    <cfRule type="dataBar" priority="26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{31A08717-3C73-4CD4-BD09-D3FF3225533A}</x14:id>
        </ext>
      </extLst>
    </cfRule>
  </conditionalFormatting>
  <conditionalFormatting sqref="AE5:AE31">
    <cfRule type="dataBar" priority="268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{F09223C1-CADC-4A7D-8392-ECFE19B4AB98}</x14:id>
        </ext>
      </extLst>
    </cfRule>
  </conditionalFormatting>
  <conditionalFormatting sqref="AE5:AE35">
    <cfRule type="dataBar" priority="26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{1231BF4E-273B-409B-ABF1-904B0DE3C165}</x14:id>
        </ext>
      </extLst>
    </cfRule>
  </conditionalFormatting>
  <conditionalFormatting sqref="AE5:AE36">
    <cfRule type="dataBar" priority="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{92F8FC88-2057-474B-A0BD-18B09D3EDA1B}</x14:id>
        </ext>
      </extLst>
    </cfRule>
    <cfRule type="dataBar" priority="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{E25E98DE-BA6E-4FC4-A27E-E1F08A39FA91}</x14:id>
        </ext>
      </extLst>
    </cfRule>
    <cfRule type="dataBar" priority="269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{5524E2A7-4063-4983-A345-E4C45EC90585}</x14:id>
        </ext>
      </extLst>
    </cfRule>
    <cfRule type="dataBar" priority="26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{A4EF9E24-6E8E-4692-8E07-15BF42A4A01C}</x14:id>
        </ext>
      </extLst>
    </cfRule>
  </conditionalFormatting>
  <conditionalFormatting sqref="AE18 AG20">
    <cfRule type="dataBar" priority="2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{826D488A-BF3B-4EAC-821E-948140253629}</x14:id>
        </ext>
      </extLst>
    </cfRule>
    <cfRule type="dataBar" priority="23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{6C9518F9-24B8-468B-955F-8780E6E5E06F}</x14:id>
        </ext>
      </extLst>
    </cfRule>
    <cfRule type="dataBar" priority="23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{65782F92-5BA5-4EFF-83F0-776AC6D3D7DC}</x14:id>
        </ext>
      </extLst>
    </cfRule>
  </conditionalFormatting>
  <conditionalFormatting sqref="AE19:AE26 AE28 AE5:AE17 AG21:AG30 AG32 AG5:AG19">
    <cfRule type="dataBar" priority="2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{3430C5CF-A9FD-4577-BA9B-F7C3B1FD82FB}</x14:id>
        </ext>
      </extLst>
    </cfRule>
    <cfRule type="dataBar" priority="236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{D20F4309-6055-4211-868D-3A9876CF98E3}</x14:id>
        </ext>
      </extLst>
    </cfRule>
    <cfRule type="dataBar" priority="23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{C0E2D583-22DA-4943-A06B-A3541A17B1FD}</x14:id>
        </ext>
      </extLst>
    </cfRule>
  </conditionalFormatting>
  <conditionalFormatting sqref="AE27 AG31">
    <cfRule type="dataBar" priority="22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{D42565DD-8AA0-4F73-B20D-214634A86DCC}</x14:id>
        </ext>
      </extLst>
    </cfRule>
    <cfRule type="dataBar" priority="22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{99613396-179E-42D5-A5E9-BDABD91F2FE7}</x14:id>
        </ext>
      </extLst>
    </cfRule>
    <cfRule type="dataBar" priority="2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{D5F4F6A1-3D08-4AFF-968B-F1D6446A3B46}</x14:id>
        </ext>
      </extLst>
    </cfRule>
    <cfRule type="dataBar" priority="22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{1867856A-B1BB-4573-B5FC-8C4A5760298F}</x14:id>
        </ext>
      </extLst>
    </cfRule>
  </conditionalFormatting>
  <conditionalFormatting sqref="AE28:AE30 AE5:AE26 AG32:AG34 AG5:AG30">
    <cfRule type="dataBar" priority="236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{80BC4F1C-9132-49E6-9241-B76FDBB3BC88}</x14:id>
        </ext>
      </extLst>
    </cfRule>
  </conditionalFormatting>
  <conditionalFormatting sqref="AE29:AE30 AG33:AG34">
    <cfRule type="dataBar" priority="235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{4145C06A-8253-4E8B-81DC-0BCDA610C18F}</x14:id>
        </ext>
      </extLst>
    </cfRule>
    <cfRule type="dataBar" priority="2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{0A0ECE42-A427-4CEF-BCB0-5311A879B83A}</x14:id>
        </ext>
      </extLst>
    </cfRule>
    <cfRule type="dataBar" priority="23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{23C9C3A8-81F2-4B00-9C05-E7A4C1999DEB}</x14:id>
        </ext>
      </extLst>
    </cfRule>
  </conditionalFormatting>
  <conditionalFormatting sqref="AE31">
    <cfRule type="dataBar" priority="221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{C8F85DFB-BAF2-4732-9E21-E42DD8B840CB}</x14:id>
        </ext>
      </extLst>
    </cfRule>
    <cfRule type="dataBar" priority="2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{BFF2FB75-9A3E-4C48-BAB6-8AA0E86BF279}</x14:id>
        </ext>
      </extLst>
    </cfRule>
    <cfRule type="dataBar" priority="22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{DE4421AA-3E2B-4CEF-9C13-F50ADB196B0B}</x14:id>
        </ext>
      </extLst>
    </cfRule>
    <cfRule type="dataBar" priority="22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{EAEDA169-AECA-4703-B4AB-BD694FDBA110}</x14:id>
        </ext>
      </extLst>
    </cfRule>
    <cfRule type="dataBar" priority="2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{2690B772-0510-41F3-9FFD-E9C1EE2C8F0A}</x14:id>
        </ext>
      </extLst>
    </cfRule>
    <cfRule type="dataBar" priority="22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{E8BD72F9-FEB1-46CD-9485-45B3F80087B3}</x14:id>
        </ext>
      </extLst>
    </cfRule>
  </conditionalFormatting>
  <conditionalFormatting sqref="AE32">
    <cfRule type="dataBar" priority="21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{ACA6BD4F-B250-4B66-B3D9-DDFBA7D29B93}</x14:id>
        </ext>
      </extLst>
    </cfRule>
    <cfRule type="dataBar" priority="2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{B62DE2E3-240B-443E-AC81-F71D47C9DA3A}</x14:id>
        </ext>
      </extLst>
    </cfRule>
    <cfRule type="dataBar" priority="215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{5E717AA1-EDBD-4143-BC86-518A353A8322}</x14:id>
        </ext>
      </extLst>
    </cfRule>
    <cfRule type="dataBar" priority="215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{039ECF00-C3E4-448A-A5DA-3BE6CE24D85B}</x14:id>
        </ext>
      </extLst>
    </cfRule>
    <cfRule type="dataBar" priority="21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{0E9AD8B3-9211-4701-9A4E-860E4FDE4121}</x14:id>
        </ext>
      </extLst>
    </cfRule>
    <cfRule type="dataBar" priority="2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{7C225EAD-E223-457D-A1AC-E635A40A114E}</x14:id>
        </ext>
      </extLst>
    </cfRule>
    <cfRule type="dataBar" priority="216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{660F2054-5C1B-4DD9-87BF-70E28B0A10C1}</x14:id>
        </ext>
      </extLst>
    </cfRule>
  </conditionalFormatting>
  <conditionalFormatting sqref="AE33">
    <cfRule type="dataBar" priority="21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{DD8743FE-A8E9-48B2-895B-3F29482DFCF0}</x14:id>
        </ext>
      </extLst>
    </cfRule>
    <cfRule type="dataBar" priority="2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{4F7742E5-2CB9-42E2-B23F-244F39808793}</x14:id>
        </ext>
      </extLst>
    </cfRule>
    <cfRule type="dataBar" priority="21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{835106E1-9F29-4985-A96C-39F406F594C2}</x14:id>
        </ext>
      </extLst>
    </cfRule>
    <cfRule type="dataBar" priority="21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{37FF57AE-2656-44AB-AD4C-9AD9CE1DF2B5}</x14:id>
        </ext>
      </extLst>
    </cfRule>
    <cfRule type="dataBar" priority="2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{BFB5A79F-995C-41B8-87C6-DB3CE6481A81}</x14:id>
        </ext>
      </extLst>
    </cfRule>
    <cfRule type="dataBar" priority="21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{5C84EF82-018A-4F10-9F5F-63970F646B05}</x14:id>
        </ext>
      </extLst>
    </cfRule>
    <cfRule type="dataBar" priority="21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{0E1BE32B-981F-47AE-863B-D8C366D8B368}</x14:id>
        </ext>
      </extLst>
    </cfRule>
  </conditionalFormatting>
  <conditionalFormatting sqref="AE34:AE36">
    <cfRule type="dataBar" priority="244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{4D2EE5FF-62FF-44AE-BC5F-D603EF61209E}</x14:id>
        </ext>
      </extLst>
    </cfRule>
    <cfRule type="dataBar" priority="244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{0CF24209-D028-4566-9B4E-24B9944D4B6C}</x14:id>
        </ext>
      </extLst>
    </cfRule>
    <cfRule type="dataBar" priority="2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{4351F261-B2E9-4D30-8A2E-2D9259A3050B}</x14:id>
        </ext>
      </extLst>
    </cfRule>
    <cfRule type="dataBar" priority="24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{D085604E-63D8-4BA1-ADA1-FC2B54B11E54}</x14:id>
        </ext>
      </extLst>
    </cfRule>
    <cfRule type="dataBar" priority="24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{81CB2B0A-715B-47B1-BE8C-EF3FEC22FB2F}</x14:id>
        </ext>
      </extLst>
    </cfRule>
    <cfRule type="dataBar" priority="24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{62182BBC-A16C-4A88-9C07-25AB7C3E7B6D}</x14:id>
        </ext>
      </extLst>
    </cfRule>
    <cfRule type="dataBar" priority="2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{71639094-234A-4781-A104-A5405B1E494A}</x14:id>
        </ext>
      </extLst>
    </cfRule>
  </conditionalFormatting>
  <conditionalFormatting sqref="AE37">
    <cfRule type="dataBar" priority="1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{5D6E0E03-8D3B-4CE2-9602-18E3B7205106}</x14:id>
        </ext>
      </extLst>
    </cfRule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{ECDACD0A-233A-44D6-8A43-AC8AC094C757}</x14:id>
        </ext>
      </extLst>
    </cfRule>
    <cfRule type="dataBar" priority="1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{8218D012-6E3B-477A-9183-EE1BEC034DBA}</x14:id>
        </ext>
      </extLst>
    </cfRule>
    <cfRule type="dataBar" priority="14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{43E8EFBA-FFA2-4D32-A182-BFDDF95526DC}</x14:id>
        </ext>
      </extLst>
    </cfRule>
    <cfRule type="dataBar" priority="15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{B2B0C8C0-BB5E-46AC-A359-7C7043E10672}</x14:id>
        </ext>
      </extLst>
    </cfRule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{8A692661-4DE8-49F7-BC1C-2130BF1444E8}</x14:id>
        </ext>
      </extLst>
    </cfRule>
    <cfRule type="dataBar" priority="1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{A66107ED-58D4-44F4-95F9-E6083C71C216}</x14:id>
        </ext>
      </extLst>
    </cfRule>
  </conditionalFormatting>
  <conditionalFormatting sqref="AF7">
    <cfRule type="dataBar" priority="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{9A6EFBED-4AD7-436A-AF0E-80076301B7DF}</x14:id>
        </ext>
      </extLst>
    </cfRule>
    <cfRule type="dataBar" priority="6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{78A9227E-03DC-4C47-B621-E2E5A8F4A391}</x14:id>
        </ext>
      </extLst>
    </cfRule>
    <cfRule type="dataBar" priority="67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{327EE72B-74B7-43DA-9D97-2CCEF779A3B5}</x14:id>
        </ext>
      </extLst>
    </cfRule>
    <cfRule type="dataBar" priority="6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{0DC0B70A-7DEB-47C8-8D6B-B92649F694A7}</x14:id>
        </ext>
      </extLst>
    </cfRule>
    <cfRule type="dataBar" priority="6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{2BAB7569-719B-495D-BDF2-C120DD242870}</x14:id>
        </ext>
      </extLst>
    </cfRule>
    <cfRule type="dataBar" priority="6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{1E073662-D301-4C38-AAED-1EB25230A820}</x14:id>
        </ext>
      </extLst>
    </cfRule>
    <cfRule type="dataBar" priority="6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{27252272-8297-4C53-A161-400117C6A0A9}</x14:id>
        </ext>
      </extLst>
    </cfRule>
    <cfRule type="dataBar" priority="6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{9666E011-0CEE-442A-BB0B-F03C65F5B92E}</x14:id>
        </ext>
      </extLst>
    </cfRule>
    <cfRule type="dataBar" priority="6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{F21C9BCD-757D-4E39-9AFA-16611160113E}</x14:id>
        </ext>
      </extLst>
    </cfRule>
    <cfRule type="dataBar" priority="68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{4E6BCD3C-FA59-40E3-9367-8261FFE0B2B4}</x14:id>
        </ext>
      </extLst>
    </cfRule>
    <cfRule type="dataBar" priority="6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{027F34E2-21FA-4B1C-B170-272B21F7FC54}</x14:id>
        </ext>
      </extLst>
    </cfRule>
    <cfRule type="dataBar" priority="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{99DFE1C0-2C3D-45EF-B9A9-A82433E805B8}</x14:id>
        </ext>
      </extLst>
    </cfRule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{B9867A72-6540-42F0-BFFB-2EFB15D19F14}</x14:id>
        </ext>
      </extLst>
    </cfRule>
    <cfRule type="dataBar" priority="6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{536302C4-917C-40BA-9C8C-8DA9EDB56B7E}</x14:id>
        </ext>
      </extLst>
    </cfRule>
    <cfRule type="dataBar" priority="69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{533046C8-21E4-4031-9E39-6B6AF952E224}</x14:id>
        </ext>
      </extLst>
    </cfRule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{153EF287-3651-44A1-A9ED-018A2384B074}</x14:id>
        </ext>
      </extLst>
    </cfRule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{06D4B0C8-7CA1-47F9-92DB-686617113486}</x14:id>
        </ext>
      </extLst>
    </cfRule>
    <cfRule type="dataBar" priority="6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{DED1A72C-6E34-4407-AC06-DEE40639D616}</x14:id>
        </ext>
      </extLst>
    </cfRule>
    <cfRule type="dataBar" priority="6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{CEDE2A88-437B-461F-B47D-A4FC6D852E6D}</x14:id>
        </ext>
      </extLst>
    </cfRule>
    <cfRule type="dataBar" priority="6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{0321CB0B-1A7E-46E6-9AB1-1B3A9F03F1E5}</x14:id>
        </ext>
      </extLst>
    </cfRule>
    <cfRule type="dataBar" priority="6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{FC204CA4-81F5-447D-8598-3BF944FF7E66}</x14:id>
        </ext>
      </extLst>
    </cfRule>
    <cfRule type="dataBar" priority="6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{DBC120C5-05F7-4552-A955-B6F00793CC45}</x14:id>
        </ext>
      </extLst>
    </cfRule>
    <cfRule type="dataBar" priority="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{F7BA68BF-B0C1-4A50-B4A6-CEB6C7B2B245}</x14:id>
        </ext>
      </extLst>
    </cfRule>
    <cfRule type="dataBar" priority="6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{C9B77B00-2C18-467B-BEFC-3DE5BC3A6800}</x14:id>
        </ext>
      </extLst>
    </cfRule>
    <cfRule type="dataBar" priority="67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{62258376-302B-4D6C-865A-BF0AFD896ED7}</x14:id>
        </ext>
      </extLst>
    </cfRule>
    <cfRule type="dataBar" priority="67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{027EFF48-66B5-43AF-86B7-2D51CF6753DD}</x14:id>
        </ext>
      </extLst>
    </cfRule>
    <cfRule type="dataBar" priority="6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{9C5FFD3E-4049-4A4C-9C62-0060DDE73DE4}</x14:id>
        </ext>
      </extLst>
    </cfRule>
    <cfRule type="dataBar" priority="6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{49C3BC81-D424-4DAA-90EA-6A194109141F}</x14:id>
        </ext>
      </extLst>
    </cfRule>
    <cfRule type="dataBar" priority="6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{592D5FDF-E269-4CF0-A94A-6139FCF31E8E}</x14:id>
        </ext>
      </extLst>
    </cfRule>
    <cfRule type="dataBar" priority="6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{CB912C92-DE91-401B-B482-C819CB857300}</x14:id>
        </ext>
      </extLst>
    </cfRule>
  </conditionalFormatting>
  <conditionalFormatting sqref="AF8:AF26 AF5:AF6">
    <cfRule type="dataBar" priority="26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{2CAB6DEA-682F-466C-AAC7-A98DFEF3F8D0}</x14:id>
        </ext>
      </extLst>
    </cfRule>
    <cfRule type="dataBar" priority="267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{1C2694F1-4133-4547-B709-6D6F49E65FD3}</x14:id>
        </ext>
      </extLst>
    </cfRule>
    <cfRule type="dataBar" priority="268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{1DC79E34-EFF8-4BAD-A2E4-D984937CD47F}</x14:id>
        </ext>
      </extLst>
    </cfRule>
    <cfRule type="dataBar" priority="267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{80BA92EF-0B71-4D28-860B-55735DC35ED3}</x14:id>
        </ext>
      </extLst>
    </cfRule>
    <cfRule type="dataBar" priority="2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{F59AA721-4AFF-41F8-9321-0D266B5EE7DA}</x14:id>
        </ext>
      </extLst>
    </cfRule>
    <cfRule type="dataBar" priority="26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{06FD244A-9DC1-4012-B6A1-912E1061E37D}</x14:id>
        </ext>
      </extLst>
    </cfRule>
    <cfRule type="dataBar" priority="26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{06270290-F159-4C08-B526-1C092C2DF9B4}</x14:id>
        </ext>
      </extLst>
    </cfRule>
    <cfRule type="dataBar" priority="26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{2AB98E2A-23F9-45CB-85DA-674D218DDBFA}</x14:id>
        </ext>
      </extLst>
    </cfRule>
    <cfRule type="dataBar" priority="26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{563A0BED-7363-42CE-B5C1-85D3F230CE98}</x14:id>
        </ext>
      </extLst>
    </cfRule>
    <cfRule type="dataBar" priority="266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{E84280D3-6E89-4C31-BD12-475BD1497D17}</x14:id>
        </ext>
      </extLst>
    </cfRule>
    <cfRule type="dataBar" priority="26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{396DAFF3-7A1B-42CE-9E83-2AAAF21B2891}</x14:id>
        </ext>
      </extLst>
    </cfRule>
    <cfRule type="dataBar" priority="267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{501F3A6D-A3CE-4415-999D-E0CEB4681537}</x14:id>
        </ext>
      </extLst>
    </cfRule>
    <cfRule type="dataBar" priority="26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{268F79AD-3315-40A5-8987-E53532D4DF39}</x14:id>
        </ext>
      </extLst>
    </cfRule>
    <cfRule type="dataBar" priority="267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{30A262B3-46CF-4FE8-B5DF-DE5378B08A7A}</x14:id>
        </ext>
      </extLst>
    </cfRule>
    <cfRule type="dataBar" priority="267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{D3EF850F-B3B2-48F2-8708-0DF06A6F0614}</x14:id>
        </ext>
      </extLst>
    </cfRule>
    <cfRule type="dataBar" priority="267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{A41E802B-E741-43DD-A439-9E539A8DA2F9}</x14:id>
        </ext>
      </extLst>
    </cfRule>
    <cfRule type="dataBar" priority="26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{D9EA9E39-D79B-4321-9395-322FB623E0F6}</x14:id>
        </ext>
      </extLst>
    </cfRule>
  </conditionalFormatting>
  <conditionalFormatting sqref="AF27">
    <cfRule type="dataBar" priority="199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{50304D68-0C70-4BFC-8BD9-996123A3A1CF}</x14:id>
        </ext>
      </extLst>
    </cfRule>
    <cfRule type="dataBar" priority="2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{F8BBEBD7-61EE-4DF6-9140-B4EDF8E07461}</x14:id>
        </ext>
      </extLst>
    </cfRule>
    <cfRule type="dataBar" priority="20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{FAAFC007-0B40-4A08-B87E-88379C57CD32}</x14:id>
        </ext>
      </extLst>
    </cfRule>
    <cfRule type="dataBar" priority="20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{3CBD1FD5-5C60-4146-AEBA-CA5AFA4B53B7}</x14:id>
        </ext>
      </extLst>
    </cfRule>
    <cfRule type="dataBar" priority="1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{C25A0752-2B66-4FF9-B2CB-18A4CE1EE360}</x14:id>
        </ext>
      </extLst>
    </cfRule>
    <cfRule type="dataBar" priority="199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{4F32745F-5A9E-4750-B726-85EFA1791174}</x14:id>
        </ext>
      </extLst>
    </cfRule>
    <cfRule type="dataBar" priority="20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{10C1B7A5-7AF9-421C-8E0A-02B9C6F6273B}</x14:id>
        </ext>
      </extLst>
    </cfRule>
    <cfRule type="dataBar" priority="199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{9F08A159-0F9B-4556-B3CC-D5995060FB60}</x14:id>
        </ext>
      </extLst>
    </cfRule>
    <cfRule type="dataBar" priority="199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{AD131BAF-5579-485C-98C8-44464B06C0DD}</x14:id>
        </ext>
      </extLst>
    </cfRule>
    <cfRule type="dataBar" priority="199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{1193A014-CC61-4009-95EF-427C45F3BE45}</x14:id>
        </ext>
      </extLst>
    </cfRule>
    <cfRule type="dataBar" priority="1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{4C4EC658-E695-4C16-A23C-4A6C41F62588}</x14:id>
        </ext>
      </extLst>
    </cfRule>
    <cfRule type="dataBar" priority="199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{B9EBE0B2-5D56-4263-ADB9-802163091FC6}</x14:id>
        </ext>
      </extLst>
    </cfRule>
    <cfRule type="dataBar" priority="198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{07A7C53B-7990-4700-8548-468BE9F91BA0}</x14:id>
        </ext>
      </extLst>
    </cfRule>
    <cfRule type="dataBar" priority="1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{229F94FC-706F-4DF0-8A1B-92F73F5988A6}</x14:id>
        </ext>
      </extLst>
    </cfRule>
    <cfRule type="dataBar" priority="198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{911C768E-7C23-4EC4-A222-D0FD44979643}</x14:id>
        </ext>
      </extLst>
    </cfRule>
    <cfRule type="dataBar" priority="199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{AA20C62B-34D7-4744-9F55-FB02C82E0D0E}</x14:id>
        </ext>
      </extLst>
    </cfRule>
    <cfRule type="dataBar" priority="198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{AB411C47-A9EE-4249-BCA4-EBB45ED411A9}</x14:id>
        </ext>
      </extLst>
    </cfRule>
  </conditionalFormatting>
  <conditionalFormatting sqref="AF28">
    <cfRule type="dataBar" priority="1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{B2A5EB82-E22D-44DC-A7C2-DD3FFF68E7B9}</x14:id>
        </ext>
      </extLst>
    </cfRule>
    <cfRule type="dataBar" priority="198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{4D36D8B9-2002-4B26-A1C0-F49516AF4873}</x14:id>
        </ext>
      </extLst>
    </cfRule>
    <cfRule type="dataBar" priority="1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{33CBF547-7EF7-4F7B-848E-141242C447A8}</x14:id>
        </ext>
      </extLst>
    </cfRule>
    <cfRule type="dataBar" priority="197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{17E46B4C-0DAF-4B4A-9EC4-123282695905}</x14:id>
        </ext>
      </extLst>
    </cfRule>
    <cfRule type="dataBar" priority="19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{5C68A2C2-94FD-43F9-8C37-2887622E9F14}</x14:id>
        </ext>
      </extLst>
    </cfRule>
    <cfRule type="dataBar" priority="1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{988F5A81-F89B-4371-87BC-8669159F0346}</x14:id>
        </ext>
      </extLst>
    </cfRule>
    <cfRule type="dataBar" priority="1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{10E73340-38E1-4BF8-8467-386C74BF6E3D}</x14:id>
        </ext>
      </extLst>
    </cfRule>
    <cfRule type="dataBar" priority="198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{44C26D6F-E26D-4470-AC51-C95D466E3F3B}</x14:id>
        </ext>
      </extLst>
    </cfRule>
    <cfRule type="dataBar" priority="198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{24D657AB-7B8F-4B90-9A33-1A35BD55D511}</x14:id>
        </ext>
      </extLst>
    </cfRule>
    <cfRule type="dataBar" priority="197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{C07BBC68-D732-4CA1-A995-F3321C0CE605}</x14:id>
        </ext>
      </extLst>
    </cfRule>
    <cfRule type="dataBar" priority="19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{0BFDF6AE-0CA4-4986-8512-16FD95AA1085}</x14:id>
        </ext>
      </extLst>
    </cfRule>
    <cfRule type="dataBar" priority="197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{D00BA1AF-9ADC-422E-ADFF-9099E5836AA8}</x14:id>
        </ext>
      </extLst>
    </cfRule>
    <cfRule type="dataBar" priority="19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{7966C4DF-E3A4-4B3D-A960-4C697F8801D6}</x14:id>
        </ext>
      </extLst>
    </cfRule>
    <cfRule type="dataBar" priority="197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{7AE353C2-F4E5-41ED-8409-7857539AB8C7}</x14:id>
        </ext>
      </extLst>
    </cfRule>
    <cfRule type="dataBar" priority="197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{897D6655-A0EE-411C-ACE1-3E14CE2E7937}</x14:id>
        </ext>
      </extLst>
    </cfRule>
    <cfRule type="dataBar" priority="197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{7A75903E-424F-49CF-833A-4416D3940A34}</x14:id>
        </ext>
      </extLst>
    </cfRule>
    <cfRule type="dataBar" priority="19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{EBB5B18D-5A51-4AE1-BB76-31DD087F5A7D}</x14:id>
        </ext>
      </extLst>
    </cfRule>
  </conditionalFormatting>
  <conditionalFormatting sqref="AF29">
    <cfRule type="dataBar" priority="19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{A8D8784E-9BAF-4B67-B282-0216553B1F51}</x14:id>
        </ext>
      </extLst>
    </cfRule>
    <cfRule type="dataBar" priority="19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{669AB8A4-0511-4354-9EC5-6B79FF3078E0}</x14:id>
        </ext>
      </extLst>
    </cfRule>
    <cfRule type="dataBar" priority="19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{2BF80607-781A-4EFA-9199-AC7513985A2B}</x14:id>
        </ext>
      </extLst>
    </cfRule>
    <cfRule type="dataBar" priority="19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{8ED00DDD-3F22-4C27-AC53-0985A995EE8D}</x14:id>
        </ext>
      </extLst>
    </cfRule>
    <cfRule type="dataBar" priority="1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{A6B42BD3-3A37-464B-A5A9-8CDFE711091A}</x14:id>
        </ext>
      </extLst>
    </cfRule>
    <cfRule type="dataBar" priority="1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{3C7B9D34-0306-4453-A029-2F66B0349445}</x14:id>
        </ext>
      </extLst>
    </cfRule>
    <cfRule type="dataBar" priority="19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{FDC30DDF-BCD7-44AE-84BA-8BB19A4CC1AD}</x14:id>
        </ext>
      </extLst>
    </cfRule>
    <cfRule type="dataBar" priority="19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{5AFA19CF-77F7-4FA2-B9BB-81299C48A892}</x14:id>
        </ext>
      </extLst>
    </cfRule>
    <cfRule type="dataBar" priority="19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{CD65220E-2376-4335-AEFA-83488AB96707}</x14:id>
        </ext>
      </extLst>
    </cfRule>
    <cfRule type="dataBar" priority="19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{D283E8A8-4BD5-4D90-8D2F-64138B449E6B}</x14:id>
        </ext>
      </extLst>
    </cfRule>
    <cfRule type="dataBar" priority="19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{E105A2BA-B40C-46B5-9C0F-EF2D2E7AD852}</x14:id>
        </ext>
      </extLst>
    </cfRule>
    <cfRule type="dataBar" priority="19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{CBDF4342-54A2-43A3-8B68-A2C4EDD03397}</x14:id>
        </ext>
      </extLst>
    </cfRule>
    <cfRule type="dataBar" priority="19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{12283888-1410-4CFD-AB1D-4364C430684F}</x14:id>
        </ext>
      </extLst>
    </cfRule>
    <cfRule type="dataBar" priority="19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{4E2A596E-375C-43A7-A140-BE4AE7DFD57B}</x14:id>
        </ext>
      </extLst>
    </cfRule>
    <cfRule type="dataBar" priority="19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{D82B813D-15A8-4DA2-AD59-248016BA3B40}</x14:id>
        </ext>
      </extLst>
    </cfRule>
    <cfRule type="dataBar" priority="19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{45913280-44CE-4935-BFD7-40734CA2270A}</x14:id>
        </ext>
      </extLst>
    </cfRule>
    <cfRule type="dataBar" priority="19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{7CCCD7FA-0F55-462B-9FBB-CA38A2461A8C}</x14:id>
        </ext>
      </extLst>
    </cfRule>
  </conditionalFormatting>
  <conditionalFormatting sqref="AF30">
    <cfRule type="dataBar" priority="19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{40C14DF0-41F3-4C6A-8C29-7F65AC034F0E}</x14:id>
        </ext>
      </extLst>
    </cfRule>
    <cfRule type="dataBar" priority="194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{F4BDDD5E-6908-42D3-87E6-4116B2D12E7F}</x14:id>
        </ext>
      </extLst>
    </cfRule>
    <cfRule type="dataBar" priority="194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{12036229-0C87-4FB1-B911-3B6EF351B579}</x14:id>
        </ext>
      </extLst>
    </cfRule>
    <cfRule type="dataBar" priority="1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{6CA95FC1-8FC9-418A-8634-10569C28BB55}</x14:id>
        </ext>
      </extLst>
    </cfRule>
    <cfRule type="dataBar" priority="1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{1DDC0DD5-8A81-4918-822B-C8D4B8128373}</x14:id>
        </ext>
      </extLst>
    </cfRule>
    <cfRule type="dataBar" priority="19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{8E9C78C8-D5F9-4E26-A9E6-BE5563AB1142}</x14:id>
        </ext>
      </extLst>
    </cfRule>
    <cfRule type="dataBar" priority="19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{97730EC3-CF75-42BF-9CDF-57905791046E}</x14:id>
        </ext>
      </extLst>
    </cfRule>
    <cfRule type="dataBar" priority="1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{14F1B4BE-E797-48FD-A261-5E477747510B}</x14:id>
        </ext>
      </extLst>
    </cfRule>
    <cfRule type="dataBar" priority="19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{5492678C-FAD0-4AB1-B073-CBF8BE1981CF}</x14:id>
        </ext>
      </extLst>
    </cfRule>
    <cfRule type="dataBar" priority="19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{4D9E8775-294B-4D90-B2E5-0EE9B9FE8CF5}</x14:id>
        </ext>
      </extLst>
    </cfRule>
    <cfRule type="dataBar" priority="193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{580930A0-03D5-41EF-AE3C-0B6A6C92C8F4}</x14:id>
        </ext>
      </extLst>
    </cfRule>
    <cfRule type="dataBar" priority="1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{5FCBCEE5-D28C-42BE-B36F-0AA9572FD2F3}</x14:id>
        </ext>
      </extLst>
    </cfRule>
    <cfRule type="dataBar" priority="194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{498D4525-8F76-486D-BD56-7A7A14F1E5DD}</x14:id>
        </ext>
      </extLst>
    </cfRule>
    <cfRule type="dataBar" priority="19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{E1BEA1F4-8CB6-4547-A1AE-7710F89A2138}</x14:id>
        </ext>
      </extLst>
    </cfRule>
    <cfRule type="dataBar" priority="19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{563460C4-628A-44D7-AEFD-311A8D322947}</x14:id>
        </ext>
      </extLst>
    </cfRule>
    <cfRule type="dataBar" priority="194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{7EADD881-E27B-4EFA-9FAD-AEE0470D5D8E}</x14:id>
        </ext>
      </extLst>
    </cfRule>
    <cfRule type="dataBar" priority="1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{06A6B86C-E2FC-475D-936D-B91004E52A1A}</x14:id>
        </ext>
      </extLst>
    </cfRule>
  </conditionalFormatting>
  <conditionalFormatting sqref="AF31">
    <cfRule type="dataBar" priority="19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{13BD66D5-C099-4A92-8551-312F1B81AB34}</x14:id>
        </ext>
      </extLst>
    </cfRule>
    <cfRule type="dataBar" priority="193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{3B3D6C5E-3F03-4A67-9FB1-23221E1966D7}</x14:id>
        </ext>
      </extLst>
    </cfRule>
    <cfRule type="dataBar" priority="191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{6E39A731-AAB6-47DE-98DB-75D16208391A}</x14:id>
        </ext>
      </extLst>
    </cfRule>
    <cfRule type="dataBar" priority="1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{1CF6FCC6-190B-46BF-860C-E2686B5ADE69}</x14:id>
        </ext>
      </extLst>
    </cfRule>
    <cfRule type="dataBar" priority="19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{2707C01E-E053-4C83-8B2A-2EE4EB06D423}</x14:id>
        </ext>
      </extLst>
    </cfRule>
    <cfRule type="dataBar" priority="193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{52BE2E1A-F105-4A50-BDEB-00BC5C165274}</x14:id>
        </ext>
      </extLst>
    </cfRule>
    <cfRule type="dataBar" priority="19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{747BAE97-6C9C-45E5-84A1-7A9C5FD51730}</x14:id>
        </ext>
      </extLst>
    </cfRule>
    <cfRule type="dataBar" priority="1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{7C28E49A-67DA-4E28-99E3-6A77B5CA609A}</x14:id>
        </ext>
      </extLst>
    </cfRule>
    <cfRule type="dataBar" priority="19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{3C514DCA-D287-4849-8A4C-DECC3035D80F}</x14:id>
        </ext>
      </extLst>
    </cfRule>
    <cfRule type="dataBar" priority="192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{E3C5756F-2B77-4D52-9235-6B2DA739D4CD}</x14:id>
        </ext>
      </extLst>
    </cfRule>
    <cfRule type="dataBar" priority="192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{F2CA028B-9FB2-4595-AC4A-3F81ECB87460}</x14:id>
        </ext>
      </extLst>
    </cfRule>
    <cfRule type="dataBar" priority="19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{B03AC6D3-4E28-490E-A7F4-652EE54096CF}</x14:id>
        </ext>
      </extLst>
    </cfRule>
    <cfRule type="dataBar" priority="19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{3F999CA6-B797-4742-BC88-4ADE1A4F07DE}</x14:id>
        </ext>
      </extLst>
    </cfRule>
    <cfRule type="dataBar" priority="19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{9E62D8B6-7ACF-42FB-B439-BE3BFFAF5008}</x14:id>
        </ext>
      </extLst>
    </cfRule>
    <cfRule type="dataBar" priority="19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{FDEFB6CB-4FBF-4A17-B346-A07950B962D9}</x14:id>
        </ext>
      </extLst>
    </cfRule>
    <cfRule type="dataBar" priority="1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{12EF1DFD-C4F0-4E19-BD6F-B799329E9209}</x14:id>
        </ext>
      </extLst>
    </cfRule>
    <cfRule type="dataBar" priority="192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{4DD3AA06-9619-4EF9-B890-A9D180D40E12}</x14:id>
        </ext>
      </extLst>
    </cfRule>
  </conditionalFormatting>
  <conditionalFormatting sqref="AF32">
    <cfRule type="dataBar" priority="188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{2A100FE2-D90F-40E2-856C-052498FCBB0F}</x14:id>
        </ext>
      </extLst>
    </cfRule>
    <cfRule type="dataBar" priority="18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{28452359-487B-42FC-9F61-061B63FC5262}</x14:id>
        </ext>
      </extLst>
    </cfRule>
    <cfRule type="dataBar" priority="186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{742A5D71-7345-4A2B-8BE9-18C600D21148}</x14:id>
        </ext>
      </extLst>
    </cfRule>
    <cfRule type="dataBar" priority="1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{E6CE3384-0F25-427B-8BD6-B842F4C092D1}</x14:id>
        </ext>
      </extLst>
    </cfRule>
    <cfRule type="dataBar" priority="188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{441A6A44-91C8-42F7-B43F-215ADEAD4055}</x14:id>
        </ext>
      </extLst>
    </cfRule>
    <cfRule type="dataBar" priority="1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{07736363-A6EA-43BA-9927-9DF859ABE692}</x14:id>
        </ext>
      </extLst>
    </cfRule>
    <cfRule type="dataBar" priority="1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{AAC7CFBB-18E1-4F96-A3F1-E1E0FD8DB663}</x14:id>
        </ext>
      </extLst>
    </cfRule>
    <cfRule type="dataBar" priority="187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{ADB0C36F-1CFB-4FF3-B8A1-7F6E1C990D54}</x14:id>
        </ext>
      </extLst>
    </cfRule>
    <cfRule type="dataBar" priority="18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{2F638BCB-A5F3-4C3F-92A8-800134F33DC7}</x14:id>
        </ext>
      </extLst>
    </cfRule>
    <cfRule type="dataBar" priority="1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{940B9CE6-4CF8-49AB-871D-722950C9FA36}</x14:id>
        </ext>
      </extLst>
    </cfRule>
    <cfRule type="dataBar" priority="187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{E779B74B-5764-4BCE-95AC-0929146859FC}</x14:id>
        </ext>
      </extLst>
    </cfRule>
    <cfRule type="dataBar" priority="187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{21472EDF-5CAC-4F88-9207-46353EB9F9AA}</x14:id>
        </ext>
      </extLst>
    </cfRule>
    <cfRule type="dataBar" priority="187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{A40D276E-3059-4C28-BB91-3986AF9393E8}</x14:id>
        </ext>
      </extLst>
    </cfRule>
    <cfRule type="dataBar" priority="18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{C0A93BFF-0B6F-48C6-B220-4DB84B24F685}</x14:id>
        </ext>
      </extLst>
    </cfRule>
    <cfRule type="dataBar" priority="18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{A08702D5-46B1-46B5-AD27-BA9A0AC60B9A}</x14:id>
        </ext>
      </extLst>
    </cfRule>
    <cfRule type="dataBar" priority="187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{6CB5D8DB-B884-4A89-98CE-9D6F35DB5918}</x14:id>
        </ext>
      </extLst>
    </cfRule>
    <cfRule type="dataBar" priority="18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{8657A480-41CA-44B2-A3FF-420552F25D80}</x14:id>
        </ext>
      </extLst>
    </cfRule>
  </conditionalFormatting>
  <conditionalFormatting sqref="AF33">
    <cfRule type="dataBar" priority="18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{D36D4663-C095-4521-BDC9-251113965F9D}</x14:id>
        </ext>
      </extLst>
    </cfRule>
    <cfRule type="dataBar" priority="185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{8C72CA1C-D79B-4CFB-8F22-D0740AC11A35}</x14:id>
        </ext>
      </extLst>
    </cfRule>
    <cfRule type="dataBar" priority="185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{CFA43BFF-3F41-48D8-8624-B0A0F4631C6E}</x14:id>
        </ext>
      </extLst>
    </cfRule>
    <cfRule type="dataBar" priority="185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{77A94738-68AA-4DBD-9E54-33F6C8CEF34F}</x14:id>
        </ext>
      </extLst>
    </cfRule>
    <cfRule type="dataBar" priority="185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{A319599F-8671-41CA-9B73-B4A000A5D188}</x14:id>
        </ext>
      </extLst>
    </cfRule>
    <cfRule type="dataBar" priority="1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{6843B012-A280-4185-B841-2B82E0D6D2E0}</x14:id>
        </ext>
      </extLst>
    </cfRule>
    <cfRule type="dataBar" priority="18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{3FE8A6DA-496C-436B-BB4A-F44AE3E5F5D6}</x14:id>
        </ext>
      </extLst>
    </cfRule>
    <cfRule type="dataBar" priority="185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{7D89B484-5FA8-48A3-B02A-8D6EEA05FFD0}</x14:id>
        </ext>
      </extLst>
    </cfRule>
    <cfRule type="dataBar" priority="1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{FE1F4FE3-121B-48B0-8632-C94A49790FC3}</x14:id>
        </ext>
      </extLst>
    </cfRule>
    <cfRule type="dataBar" priority="185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{2330DC98-ED6A-4122-8B25-9504E569AB37}</x14:id>
        </ext>
      </extLst>
    </cfRule>
    <cfRule type="dataBar" priority="1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{BE79E86F-7F43-4123-AB62-1829B88CC1EB}</x14:id>
        </ext>
      </extLst>
    </cfRule>
    <cfRule type="dataBar" priority="18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{43E9523D-9C2E-44EC-88DC-2D166A63AD06}</x14:id>
        </ext>
      </extLst>
    </cfRule>
    <cfRule type="dataBar" priority="1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{ED8FB512-A23D-47BC-89E1-568E42BABEF3}</x14:id>
        </ext>
      </extLst>
    </cfRule>
    <cfRule type="dataBar" priority="186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{76D74416-5BF1-48CC-8646-36D166A8790F}</x14:id>
        </ext>
      </extLst>
    </cfRule>
    <cfRule type="dataBar" priority="18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{76C6EF21-ED57-4341-A503-638B040BD372}</x14:id>
        </ext>
      </extLst>
    </cfRule>
    <cfRule type="dataBar" priority="1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{3A141965-1D5E-4ED5-BB2E-77A7D69E7728}</x14:id>
        </ext>
      </extLst>
    </cfRule>
    <cfRule type="dataBar" priority="18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{4D4B50C3-1410-4326-B20E-37B7A4C6778F}</x14:id>
        </ext>
      </extLst>
    </cfRule>
  </conditionalFormatting>
  <conditionalFormatting sqref="AF34">
    <cfRule type="dataBar" priority="190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{DDE37E3D-B5FA-4A56-B03A-9DE607713400}</x14:id>
        </ext>
      </extLst>
    </cfRule>
    <cfRule type="dataBar" priority="19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{3F805058-12E5-405D-8ED4-8AB963B5D7D1}</x14:id>
        </ext>
      </extLst>
    </cfRule>
    <cfRule type="dataBar" priority="19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{39E0BF79-78E5-4B61-95DC-C690E2C6EFF9}</x14:id>
        </ext>
      </extLst>
    </cfRule>
    <cfRule type="dataBar" priority="1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{4FC806E4-1539-4912-9A9A-9738CD8A6A83}</x14:id>
        </ext>
      </extLst>
    </cfRule>
    <cfRule type="dataBar" priority="1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{114441D7-43AD-43D2-A70A-D1525FB0DAAF}</x14:id>
        </ext>
      </extLst>
    </cfRule>
    <cfRule type="dataBar" priority="19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{7B0934C0-092B-4334-92B2-100239EE4769}</x14:id>
        </ext>
      </extLst>
    </cfRule>
    <cfRule type="dataBar" priority="1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{22663364-9EC6-40C6-AB5F-481DAEC5B9F5}</x14:id>
        </ext>
      </extLst>
    </cfRule>
    <cfRule type="dataBar" priority="19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{269F2419-E2F1-4B6B-8908-6632F825309C}</x14:id>
        </ext>
      </extLst>
    </cfRule>
    <cfRule type="dataBar" priority="1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{95D2EF28-DC2D-4ED6-A46E-69786F33D771}</x14:id>
        </ext>
      </extLst>
    </cfRule>
    <cfRule type="dataBar" priority="190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{DE81A2DA-B49E-489D-843F-62AE4DD041BA}</x14:id>
        </ext>
      </extLst>
    </cfRule>
    <cfRule type="dataBar" priority="190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{C939A945-1EF3-49D2-8066-25ADB534AF48}</x14:id>
        </ext>
      </extLst>
    </cfRule>
    <cfRule type="dataBar" priority="191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{31CCDABD-E8C7-4855-A738-C2A83F5D65CE}</x14:id>
        </ext>
      </extLst>
    </cfRule>
    <cfRule type="dataBar" priority="19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{113D44E0-39D1-4247-A1E7-6E4AC29971CA}</x14:id>
        </ext>
      </extLst>
    </cfRule>
    <cfRule type="dataBar" priority="19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{998249F6-DCCE-4B46-918E-F0C55B5179BC}</x14:id>
        </ext>
      </extLst>
    </cfRule>
    <cfRule type="dataBar" priority="190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{8BB2385D-2F51-4B4F-A60F-78D8B638C83F}</x14:id>
        </ext>
      </extLst>
    </cfRule>
    <cfRule type="dataBar" priority="19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{5F7B9A02-BD30-406A-87AD-8F7FD8BE2F8E}</x14:id>
        </ext>
      </extLst>
    </cfRule>
    <cfRule type="dataBar" priority="19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{5F79FB39-394A-4348-BEA8-51B6D208A946}</x14:id>
        </ext>
      </extLst>
    </cfRule>
  </conditionalFormatting>
  <conditionalFormatting sqref="AF35">
    <cfRule type="dataBar" priority="189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{831DA418-E783-4C5D-969E-71DA0F1DF6CC}</x14:id>
        </ext>
      </extLst>
    </cfRule>
    <cfRule type="dataBar" priority="1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{F1504D0A-BC3F-4D06-B4BB-F9BA727D8A86}</x14:id>
        </ext>
      </extLst>
    </cfRule>
    <cfRule type="dataBar" priority="189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{C8982F13-835E-4FA9-B0C4-40FB2ED0DAC7}</x14:id>
        </ext>
      </extLst>
    </cfRule>
    <cfRule type="dataBar" priority="189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{4A61D37D-0D76-4012-8FCF-6F59AD38340B}</x14:id>
        </ext>
      </extLst>
    </cfRule>
    <cfRule type="dataBar" priority="189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{C0FABAC3-1E0C-4D8E-B7E1-2223C12321F0}</x14:id>
        </ext>
      </extLst>
    </cfRule>
    <cfRule type="dataBar" priority="189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{42DEFD99-3E2A-4A37-BD18-11086E16EF87}</x14:id>
        </ext>
      </extLst>
    </cfRule>
    <cfRule type="dataBar" priority="18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{E4BCC325-4D1B-4801-A6AF-E4FEF038C7EA}</x14:id>
        </ext>
      </extLst>
    </cfRule>
    <cfRule type="dataBar" priority="18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{48C28B66-BED0-474E-90B6-95A0A8B1E11A}</x14:id>
        </ext>
      </extLst>
    </cfRule>
    <cfRule type="dataBar" priority="18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{3F13EDAB-2129-4DD8-9991-C45282853843}</x14:id>
        </ext>
      </extLst>
    </cfRule>
    <cfRule type="dataBar" priority="18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{1F825A31-5F95-4A91-98F6-D73DD80A65B2}</x14:id>
        </ext>
      </extLst>
    </cfRule>
    <cfRule type="dataBar" priority="18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{7E558421-9B19-44FA-834F-60D6579348A9}</x14:id>
        </ext>
      </extLst>
    </cfRule>
    <cfRule type="dataBar" priority="190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{96BBD8EA-57BC-428C-A506-25C9A138782C}</x14:id>
        </ext>
      </extLst>
    </cfRule>
    <cfRule type="dataBar" priority="19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{31B61AE5-275B-47C2-BF61-FBEAFC20B870}</x14:id>
        </ext>
      </extLst>
    </cfRule>
    <cfRule type="dataBar" priority="189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{7EF64B3D-6013-4054-B182-2D2F34E01647}</x14:id>
        </ext>
      </extLst>
    </cfRule>
    <cfRule type="dataBar" priority="1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{C8CA6BAF-63D5-49AB-ACEF-1C2684110E7D}</x14:id>
        </ext>
      </extLst>
    </cfRule>
    <cfRule type="dataBar" priority="1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{FD38600C-BA5C-4F37-A53D-C9A7D817DC72}</x14:id>
        </ext>
      </extLst>
    </cfRule>
    <cfRule type="dataBar" priority="189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{EE211B31-B0D0-4D76-A5E2-887E59E9A14C}</x14:id>
        </ext>
      </extLst>
    </cfRule>
  </conditionalFormatting>
  <conditionalFormatting sqref="AF36">
    <cfRule type="dataBar" priority="266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{3EC516C2-BA3A-4A0A-AAE1-3B100D215D0B}</x14:id>
        </ext>
      </extLst>
    </cfRule>
    <cfRule type="dataBar" priority="266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{BA0E2530-3429-4306-9024-218425FC7520}</x14:id>
        </ext>
      </extLst>
    </cfRule>
    <cfRule type="dataBar" priority="2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{0C6F2D6D-9698-485C-9D85-F99625C7160A}</x14:id>
        </ext>
      </extLst>
    </cfRule>
    <cfRule type="dataBar" priority="266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{91D5C245-742E-454D-A553-23161090BF4A}</x14:id>
        </ext>
      </extLst>
    </cfRule>
    <cfRule type="dataBar" priority="2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{DAE44ACC-6906-47EE-8CB6-C6CD6CB00227}</x14:id>
        </ext>
      </extLst>
    </cfRule>
    <cfRule type="dataBar" priority="266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{9ADC76B7-3AC4-4F58-BFA4-BC52CF41993C}</x14:id>
        </ext>
      </extLst>
    </cfRule>
    <cfRule type="dataBar" priority="266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{20851375-A10A-4143-BD1D-C33B941F7085}</x14:id>
        </ext>
      </extLst>
    </cfRule>
    <cfRule type="dataBar" priority="266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{E3EBE9B1-22D9-435D-8396-B72B18213BC0}</x14:id>
        </ext>
      </extLst>
    </cfRule>
    <cfRule type="dataBar" priority="2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{F2868CA3-33F0-4D44-9D6D-9255F8050A54}</x14:id>
        </ext>
      </extLst>
    </cfRule>
    <cfRule type="dataBar" priority="265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{0A7E9B56-2A99-436A-A592-20BF25A693B4}</x14:id>
        </ext>
      </extLst>
    </cfRule>
    <cfRule type="dataBar" priority="265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{804F7C9A-401D-494E-826A-C84FEF9ED120}</x14:id>
        </ext>
      </extLst>
    </cfRule>
    <cfRule type="dataBar" priority="26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{FF5BE552-ED3A-423D-A87F-C66CB0C7614D}</x14:id>
        </ext>
      </extLst>
    </cfRule>
    <cfRule type="dataBar" priority="26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{21AF2C17-F130-485F-991A-C2D9E6719BD3}</x14:id>
        </ext>
      </extLst>
    </cfRule>
  </conditionalFormatting>
  <conditionalFormatting sqref="AI11">
    <cfRule type="dataBar" priority="22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{7CB8BC77-669B-43B5-B1A5-8CECAAB33403}</x14:id>
        </ext>
      </extLst>
    </cfRule>
  </conditionalFormatting>
  <conditionalFormatting sqref="AI18">
    <cfRule type="dataBar" priority="22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{C795EE08-5AC0-40CD-B806-EB3878A608F5}</x14:id>
        </ext>
      </extLst>
    </cfRule>
  </conditionalFormatting>
  <conditionalFormatting sqref="AI20">
    <cfRule type="dataBar" priority="22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{9B4D9FF7-E211-4D6D-8DB2-AC229CD97487}</x14:id>
        </ext>
      </extLst>
    </cfRule>
  </conditionalFormatting>
  <conditionalFormatting sqref="AI22">
    <cfRule type="dataBar" priority="222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{40362E4E-209B-4B55-A78C-675AACD7ABF0}</x14:id>
        </ext>
      </extLst>
    </cfRule>
  </conditionalFormatting>
  <conditionalFormatting sqref="AI23">
    <cfRule type="dataBar" priority="22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{F772D2FE-3F9D-4087-9562-9D93C7A0AB16}</x14:id>
        </ext>
      </extLst>
    </cfRule>
  </conditionalFormatting>
  <conditionalFormatting sqref="AI26">
    <cfRule type="dataBar" priority="22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{B75F67AC-97A8-44B7-B927-24D5E6DD4314}</x14:id>
        </ext>
      </extLst>
    </cfRule>
  </conditionalFormatting>
  <conditionalFormatting sqref="AI28">
    <cfRule type="dataBar" priority="22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{7EDE4032-9CF3-483C-A81B-B598231B5A49}</x14:id>
        </ext>
      </extLst>
    </cfRule>
  </conditionalFormatting>
  <conditionalFormatting sqref="AI31">
    <cfRule type="dataBar" priority="209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{ED90600A-6A7B-48A1-AA4D-C69AB6BDB5D0}</x14:id>
        </ext>
      </extLst>
    </cfRule>
  </conditionalFormatting>
  <conditionalFormatting sqref="AI32">
    <cfRule type="dataBar" priority="269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{7B2CC634-7AD7-44D4-A83C-255EA8E9490D}</x14:id>
        </ext>
      </extLst>
    </cfRule>
  </conditionalFormatting>
  <conditionalFormatting sqref="AI33">
    <cfRule type="dataBar" priority="7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{2077ADCE-6D0F-492D-BC8D-EE17E13060EE}</x14:id>
        </ext>
      </extLst>
    </cfRule>
  </conditionalFormatting>
  <conditionalFormatting sqref="AI34">
    <cfRule type="dataBar" priority="7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{8182A5D6-29E8-4184-9FB6-B5D51151BB01}</x14:id>
        </ext>
      </extLst>
    </cfRule>
  </conditionalFormatting>
  <conditionalFormatting sqref="AK5:AK34">
    <cfRule type="dataBar" priority="269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{926C9FE6-38A4-4A91-AC2B-C0D80EEC40B6}</x14:id>
        </ext>
      </extLst>
    </cfRule>
    <cfRule type="dataBar" priority="269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{76654BA7-BCDC-4873-ACED-CDC9F8C79C21}</x14:id>
        </ext>
      </extLst>
    </cfRule>
    <cfRule type="dataBar" priority="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{E128453C-6622-40AE-BE9D-0D3C113C93A4}</x14:id>
        </ext>
      </extLst>
    </cfRule>
  </conditionalFormatting>
  <conditionalFormatting sqref="AL5:AL11">
    <cfRule type="dataBar" priority="12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{C17E6D5D-EBEE-428E-B6C9-652CFE197D56}</x14:id>
        </ext>
      </extLst>
    </cfRule>
    <cfRule type="dataBar" priority="12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{6943E5F4-8A80-4950-BA0F-1AD2455BAF27}</x14:id>
        </ext>
      </extLst>
    </cfRule>
    <cfRule type="dataBar" priority="128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{8D02A632-0D13-40A0-B3AA-73A86EAC5DBF}</x14:id>
        </ext>
      </extLst>
    </cfRule>
    <cfRule type="dataBar" priority="1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{35342FD1-572E-4C5F-8EA4-98AEB1EDE5D4}</x14:id>
        </ext>
      </extLst>
    </cfRule>
    <cfRule type="dataBar" priority="12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{778E5E60-3A77-45DF-ACB5-9DDF1B82B1D5}</x14:id>
        </ext>
      </extLst>
    </cfRule>
    <cfRule type="dataBar" priority="1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{B87359E7-8B3D-46FE-8F20-FCDBF1D9388B}</x14:id>
        </ext>
      </extLst>
    </cfRule>
    <cfRule type="dataBar" priority="12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{32F98D33-36B2-4FFF-BD58-3E9748CE1DFE}</x14:id>
        </ext>
      </extLst>
    </cfRule>
    <cfRule type="dataBar" priority="12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{3915A37D-F1A9-48C9-9C0A-3E3252B51437}</x14:id>
        </ext>
      </extLst>
    </cfRule>
    <cfRule type="dataBar" priority="127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{A85E5D5A-204D-440A-9101-5B95AD4D15B8}</x14:id>
        </ext>
      </extLst>
    </cfRule>
    <cfRule type="dataBar" priority="127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{3F78842E-BBCB-4349-A9F9-0B6112178DA9}</x14:id>
        </ext>
      </extLst>
    </cfRule>
    <cfRule type="dataBar" priority="12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{6783D5C8-8B82-4D79-AE50-9A9F18F57E06}</x14:id>
        </ext>
      </extLst>
    </cfRule>
    <cfRule type="dataBar" priority="1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{C7D87D96-4DEC-456C-A9FA-79608B320DC4}</x14:id>
        </ext>
      </extLst>
    </cfRule>
    <cfRule type="dataBar" priority="12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{C09B2644-3D01-481B-B733-94823495BE05}</x14:id>
        </ext>
      </extLst>
    </cfRule>
    <cfRule type="dataBar" priority="12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{F368F6C9-E191-4890-8943-F7ACFB821904}</x14:id>
        </ext>
      </extLst>
    </cfRule>
    <cfRule type="dataBar" priority="12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{45A038B1-C133-49A6-B68C-A3A53040CF44}</x14:id>
        </ext>
      </extLst>
    </cfRule>
    <cfRule type="dataBar" priority="12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{3A0BA077-8694-46EE-9939-38B3626BA5DE}</x14:id>
        </ext>
      </extLst>
    </cfRule>
    <cfRule type="dataBar" priority="1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{418C5CA1-7B9F-4A78-B884-DF6AA98D61A8}</x14:id>
        </ext>
      </extLst>
    </cfRule>
    <cfRule type="dataBar" priority="12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{8BFAC821-E2CE-4DA5-9105-E70D4CC05408}</x14:id>
        </ext>
      </extLst>
    </cfRule>
    <cfRule type="dataBar" priority="12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{7F530FF4-ED39-486B-814A-AA6C4C6664E6}</x14:id>
        </ext>
      </extLst>
    </cfRule>
    <cfRule type="dataBar" priority="12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{60B48A86-5667-496B-9924-9E271EF86721}</x14:id>
        </ext>
      </extLst>
    </cfRule>
    <cfRule type="dataBar" priority="1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{D9868F3D-C5AE-494F-95BF-14D59B4D8326}</x14:id>
        </ext>
      </extLst>
    </cfRule>
    <cfRule type="dataBar" priority="127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{EC077FFE-011D-4BCD-9005-85A781EA9814}</x14:id>
        </ext>
      </extLst>
    </cfRule>
    <cfRule type="dataBar" priority="12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{A9CAC5F6-9B13-4798-A53C-BB02CC17E710}</x14:id>
        </ext>
      </extLst>
    </cfRule>
    <cfRule type="dataBar" priority="12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{ADFE1175-DCD8-4A1E-8298-53617A836684}</x14:id>
        </ext>
      </extLst>
    </cfRule>
    <cfRule type="dataBar" priority="129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{904D9EBE-7706-4DE5-85B6-3F13BCD6F6F4}</x14:id>
        </ext>
      </extLst>
    </cfRule>
    <cfRule type="dataBar" priority="12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{82DAE44C-FC0E-4157-A727-E91DE82A06D1}</x14:id>
        </ext>
      </extLst>
    </cfRule>
    <cfRule type="dataBar" priority="12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{AF90B8A7-7C25-4EAA-90CE-ADEC3997468F}</x14:id>
        </ext>
      </extLst>
    </cfRule>
    <cfRule type="dataBar" priority="1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{304134CC-76F8-481A-909C-788237EE05D6}</x14:id>
        </ext>
      </extLst>
    </cfRule>
    <cfRule type="dataBar" priority="12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{980ED61D-C5D2-4ED7-B5E1-C86D4778E723}</x14:id>
        </ext>
      </extLst>
    </cfRule>
    <cfRule type="dataBar" priority="12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{1709979F-F678-4D15-9E7F-3B07D5268B7E}</x14:id>
        </ext>
      </extLst>
    </cfRule>
  </conditionalFormatting>
  <conditionalFormatting sqref="AL12">
    <cfRule type="dataBar" priority="8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{DE818741-4CF6-4BDC-A61E-E7DCE0B6335A}</x14:id>
        </ext>
      </extLst>
    </cfRule>
    <cfRule type="dataBar" priority="8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{5E979947-648C-4A8D-9104-4DDE52E856CB}</x14:id>
        </ext>
      </extLst>
    </cfRule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{5EDB4840-D12C-4B6A-B837-80AF3AAC7D05}</x14:id>
        </ext>
      </extLst>
    </cfRule>
    <cfRule type="dataBar" priority="8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{B021F160-E197-42ED-81C4-7CE6732087D9}</x14:id>
        </ext>
      </extLst>
    </cfRule>
    <cfRule type="dataBar" priority="8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{F57AEB8E-D23E-48FE-BED4-77A73F2AEAFB}</x14:id>
        </ext>
      </extLst>
    </cfRule>
    <cfRule type="dataBar" priority="8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{5A023B6F-213E-4D25-AA77-16A0A2EDA33C}</x14:id>
        </ext>
      </extLst>
    </cfRule>
    <cfRule type="dataBar" priority="8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{A6568EFA-D6BA-4890-A50A-6C925D87DC52}</x14:id>
        </ext>
      </extLst>
    </cfRule>
    <cfRule type="dataBar" priority="8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{0167A2B5-75EB-46F1-8D4D-0303CC0AD740}</x14:id>
        </ext>
      </extLst>
    </cfRule>
    <cfRule type="dataBar" priority="84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{AF30C737-618E-47B5-AA04-D712B6F263BE}</x14:id>
        </ext>
      </extLst>
    </cfRule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{9DC89C4E-809B-4B53-BE40-9BBC670AF464}</x14:id>
        </ext>
      </extLst>
    </cfRule>
    <cfRule type="dataBar" priority="84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{6DDBE5A6-8EDB-4D8E-AF02-ADAB6F7D9E88}</x14:id>
        </ext>
      </extLst>
    </cfRule>
    <cfRule type="dataBar" priority="84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{E0FAA9F9-7CAC-488B-81E6-4561D788E62E}</x14:id>
        </ext>
      </extLst>
    </cfRule>
    <cfRule type="dataBar" priority="83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{4E97BD6A-68E7-4827-94E7-E491C2A0EA70}</x14:id>
        </ext>
      </extLst>
    </cfRule>
    <cfRule type="dataBar" priority="8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{7A8B9B2F-7C46-4996-9F96-F980DFA4B042}</x14:id>
        </ext>
      </extLst>
    </cfRule>
    <cfRule type="dataBar" priority="8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{0B252FA8-20EC-4BEC-87B9-8CE30D97A168}</x14:id>
        </ext>
      </extLst>
    </cfRule>
    <cfRule type="dataBar" priority="8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{98BE2CB4-37A4-473B-A1DE-CED8C40CEFD5}</x14:id>
        </ext>
      </extLst>
    </cfRule>
    <cfRule type="dataBar" priority="8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{41D0DDAF-2FB8-4200-887C-31EFB4BA534E}</x14:id>
        </ext>
      </extLst>
    </cfRule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{B9A70F60-5080-47FE-8720-17372FC88C96}</x14:id>
        </ext>
      </extLst>
    </cfRule>
    <cfRule type="dataBar" priority="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{27240E0E-AE9F-44E1-8B84-4F27423DD387}</x14:id>
        </ext>
      </extLst>
    </cfRule>
    <cfRule type="dataBar" priority="8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{68788D51-60BA-4DFC-BC63-34EC41AACACF}</x14:id>
        </ext>
      </extLst>
    </cfRule>
    <cfRule type="dataBar" priority="8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{269D0417-0414-4584-AA50-DDBF49AB082F}</x14:id>
        </ext>
      </extLst>
    </cfRule>
    <cfRule type="dataBar" priority="83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{684B6651-2EFF-45C7-8AB3-C3298F9659F5}</x14:id>
        </ext>
      </extLst>
    </cfRule>
    <cfRule type="dataBar" priority="82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{983B2196-0A3E-4923-8B80-2C27B1C52733}</x14:id>
        </ext>
      </extLst>
    </cfRule>
    <cfRule type="dataBar" priority="82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{AA472E46-92FE-4367-A97C-B2B0B346456C}</x14:id>
        </ext>
      </extLst>
    </cfRule>
    <cfRule type="dataBar" priority="82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{C835A428-38C2-4259-8EC7-791FA92212C9}</x14:id>
        </ext>
      </extLst>
    </cfRule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{984236D0-B70A-4DDB-ABB2-3AD5FDA95D40}</x14:id>
        </ext>
      </extLst>
    </cfRule>
    <cfRule type="dataBar" priority="8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{64EE87F7-EFAE-4586-867F-BAFFE7A61805}</x14:id>
        </ext>
      </extLst>
    </cfRule>
    <cfRule type="dataBar" priority="8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{B49A691D-613F-406E-83FC-B72CCFC33D6C}</x14:id>
        </ext>
      </extLst>
    </cfRule>
    <cfRule type="dataBar" priority="8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{52671B2F-0D88-44DF-8840-9DED6D8B7AE5}</x14:id>
        </ext>
      </extLst>
    </cfRule>
    <cfRule type="dataBar" priority="8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{45FCC141-E04F-49E4-9DA6-7D209D586340}</x14:id>
        </ext>
      </extLst>
    </cfRule>
  </conditionalFormatting>
  <conditionalFormatting sqref="AL13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{45834F43-7967-4A4B-8EEF-32DE5DDAE36F}</x14:id>
        </ext>
      </extLst>
    </cfRule>
    <cfRule type="dataBar" priority="2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{6A9C6453-B1DA-4875-BB89-0316E6563E9C}</x14:id>
        </ext>
      </extLst>
    </cfRule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{5B4881A4-1159-4BC8-86A9-4739A6D13CF0}</x14:id>
        </ext>
      </extLst>
    </cfRule>
    <cfRule type="dataBar" priority="29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{419D5E9B-A906-4240-930C-90A2CF0D0563}</x14:id>
        </ext>
      </extLst>
    </cfRule>
    <cfRule type="dataBar" priority="2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{B53B9E97-39AA-4A91-8D3C-8EA5F9410D5F}</x14:id>
        </ext>
      </extLst>
    </cfRule>
    <cfRule type="dataBar" priority="28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{E02AAECC-78BF-4A2B-A644-9200CAFD01D6}</x14:id>
        </ext>
      </extLst>
    </cfRule>
    <cfRule type="dataBar" priority="28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{E6197C13-22E2-475E-AF56-BB4CA83BC814}</x14:id>
        </ext>
      </extLst>
    </cfRule>
    <cfRule type="dataBar" priority="28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{BE7CE760-7951-4E4C-BC94-6B992B2F7DB4}</x14:id>
        </ext>
      </extLst>
    </cfRule>
    <cfRule type="dataBar" priority="28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{96E00D70-36DB-4733-B3B5-203B72CD4704}</x14:id>
        </ext>
      </extLst>
    </cfRule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{656FD3EC-EDE5-4D5D-A4C9-89B967FA2156}</x14:id>
        </ext>
      </extLst>
    </cfRule>
    <cfRule type="dataBar" priority="28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{E7DF4AB1-FBEE-4789-96FA-738CC2C822D9}</x14:id>
        </ext>
      </extLst>
    </cfRule>
    <cfRule type="dataBar" priority="2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{DA56232F-F598-43EA-817A-586B696E4127}</x14:id>
        </ext>
      </extLst>
    </cfRule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{BE003EAE-5F42-40FD-8C43-FAF6FDB2F100}</x14:id>
        </ext>
      </extLst>
    </cfRule>
  </conditionalFormatting>
  <conditionalFormatting sqref="AL14:AL21">
    <cfRule type="dataBar" priority="124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{D6910DED-9D55-49FD-B7CD-65C597EE6CF4}</x14:id>
        </ext>
      </extLst>
    </cfRule>
    <cfRule type="dataBar" priority="1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{1BB359BC-616F-4500-A378-EB0E07162121}</x14:id>
        </ext>
      </extLst>
    </cfRule>
    <cfRule type="dataBar" priority="12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{DA615162-5D4F-44A6-B519-207B04B2E079}</x14:id>
        </ext>
      </extLst>
    </cfRule>
    <cfRule type="dataBar" priority="1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{333C6FB2-78A2-4014-B9BD-08D6FAF992D1}</x14:id>
        </ext>
      </extLst>
    </cfRule>
    <cfRule type="dataBar" priority="12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{794B63A4-85B3-44F6-8FFB-AC4451F802D0}</x14:id>
        </ext>
      </extLst>
    </cfRule>
    <cfRule type="dataBar" priority="12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{15618DA0-8810-4D74-89D2-D5C7530E2880}</x14:id>
        </ext>
      </extLst>
    </cfRule>
    <cfRule type="dataBar" priority="12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{191B0B29-07EA-42DB-8226-0F43BD12166B}</x14:id>
        </ext>
      </extLst>
    </cfRule>
    <cfRule type="dataBar" priority="1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{43C8CDB6-FC17-4AA8-ACA7-1171D8EA68A9}</x14:id>
        </ext>
      </extLst>
    </cfRule>
    <cfRule type="dataBar" priority="12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{0A3E49B0-55AC-4469-9C93-B3319834E774}</x14:id>
        </ext>
      </extLst>
    </cfRule>
    <cfRule type="dataBar" priority="12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{84268BC6-7887-4370-BFD9-2DA18E6FC67A}</x14:id>
        </ext>
      </extLst>
    </cfRule>
    <cfRule type="dataBar" priority="12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{ADE526B6-8D3F-4A24-AA56-6AFBE7946EB1}</x14:id>
        </ext>
      </extLst>
    </cfRule>
    <cfRule type="dataBar" priority="12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{136FE272-8869-437B-BB8A-C6144CF6F569}</x14:id>
        </ext>
      </extLst>
    </cfRule>
    <cfRule type="dataBar" priority="12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{BFA671C5-14A8-4986-8338-826255CE0703}</x14:id>
        </ext>
      </extLst>
    </cfRule>
    <cfRule type="dataBar" priority="124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{45CACB83-5115-47CA-A9D7-FA755544B138}</x14:id>
        </ext>
      </extLst>
    </cfRule>
    <cfRule type="dataBar" priority="124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{4B8482D0-4730-44CE-AC93-44E63AAB78BC}</x14:id>
        </ext>
      </extLst>
    </cfRule>
    <cfRule type="dataBar" priority="124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{AA572B3B-3920-456B-9C9B-D34D2B94D2AF}</x14:id>
        </ext>
      </extLst>
    </cfRule>
    <cfRule type="dataBar" priority="12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{BDD82833-9737-4A51-8550-43FEA136DD07}</x14:id>
        </ext>
      </extLst>
    </cfRule>
    <cfRule type="dataBar" priority="125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{3BD4F18E-B3B0-4FC4-9D14-871BDE8F0766}</x14:id>
        </ext>
      </extLst>
    </cfRule>
    <cfRule type="dataBar" priority="1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{2DE31EB9-E606-4356-82BA-1E01F73B873C}</x14:id>
        </ext>
      </extLst>
    </cfRule>
    <cfRule type="dataBar" priority="12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{CBDFA661-5D97-4064-9F16-A54111DA1503}</x14:id>
        </ext>
      </extLst>
    </cfRule>
    <cfRule type="dataBar" priority="1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{25A9659A-5D27-42F9-BF20-EAAF6936A3B2}</x14:id>
        </ext>
      </extLst>
    </cfRule>
    <cfRule type="dataBar" priority="1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{CF96F9A9-38EF-4CB6-9ECB-C64A2C814099}</x14:id>
        </ext>
      </extLst>
    </cfRule>
    <cfRule type="dataBar" priority="12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{5B92A58D-E377-4104-9374-252AA2D4B627}</x14:id>
        </ext>
      </extLst>
    </cfRule>
    <cfRule type="dataBar" priority="12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{9C00876F-3C93-49D4-8062-8BF278F80243}</x14:id>
        </ext>
      </extLst>
    </cfRule>
    <cfRule type="dataBar" priority="12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{B8C7E599-D559-4A38-A8C5-D20845216224}</x14:id>
        </ext>
      </extLst>
    </cfRule>
    <cfRule type="dataBar" priority="1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{B10FE9C2-AB47-4BB5-B7ED-274661FB191B}</x14:id>
        </ext>
      </extLst>
    </cfRule>
    <cfRule type="dataBar" priority="12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{AFBA943E-1C79-40B1-B759-843E863FAA56}</x14:id>
        </ext>
      </extLst>
    </cfRule>
    <cfRule type="dataBar" priority="12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{C54C1209-5AEF-4213-9969-152B44BF3EAB}</x14:id>
        </ext>
      </extLst>
    </cfRule>
    <cfRule type="dataBar" priority="1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{376D6A37-C360-4FFB-8FA8-FEB8676C8CD8}</x14:id>
        </ext>
      </extLst>
    </cfRule>
    <cfRule type="dataBar" priority="12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{36297C44-8FE5-4CE9-846C-454D519E6C5C}</x14:id>
        </ext>
      </extLst>
    </cfRule>
  </conditionalFormatting>
  <conditionalFormatting sqref="AL22">
    <cfRule type="dataBar" priority="2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{3F7F6BC3-A4AA-48F8-9E27-70C8D78EB1CA}</x14:id>
        </ext>
      </extLst>
    </cfRule>
    <cfRule type="dataBar" priority="2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{BCC1AC2E-9D86-4C9B-AFB9-498DB17807B8}</x14:id>
        </ext>
      </extLst>
    </cfRule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{05FE2CA1-CA5F-43DA-AB87-74CE3C9034A2}</x14:id>
        </ext>
      </extLst>
    </cfRule>
    <cfRule type="dataBar" priority="2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{7AE86AE2-168A-4872-B2B4-E08CB857D04A}</x14:id>
        </ext>
      </extLst>
    </cfRule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{25E9972B-CD1F-42A4-B8C5-AE8AAA769D43}</x14:id>
        </ext>
      </extLst>
    </cfRule>
    <cfRule type="dataBar" priority="2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{D9C12F54-2398-4B05-B7E0-101B91FEFC42}</x14:id>
        </ext>
      </extLst>
    </cfRule>
    <cfRule type="dataBar" priority="2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{7E77BF31-51DC-44EC-81D6-54F76373A49E}</x14:id>
        </ext>
      </extLst>
    </cfRule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{7A6CF46B-FC91-42C2-9034-76AF1EEDC511}</x14:id>
        </ext>
      </extLst>
    </cfRule>
    <cfRule type="dataBar" priority="2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{024E914B-79BB-4115-8A7E-E12FACC56CF2}</x14:id>
        </ext>
      </extLst>
    </cfRule>
    <cfRule type="dataBar" priority="2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{A58DA534-F0A8-49D9-A41C-58F7AB9AB572}</x14:id>
        </ext>
      </extLst>
    </cfRule>
    <cfRule type="dataBar" priority="2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{9013F3B0-E0B1-4062-943F-A91BD0F38626}</x14:id>
        </ext>
      </extLst>
    </cfRule>
    <cfRule type="dataBar" priority="2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{704E707D-5CF1-4C7E-9774-3477BAFB5D4E}</x14:id>
        </ext>
      </extLst>
    </cfRule>
    <cfRule type="dataBar" priority="2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{7441CF02-DE50-4098-9D73-6C79A7E93459}</x14:id>
        </ext>
      </extLst>
    </cfRule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{70673FEB-DEE5-4643-81FB-9AC2007D4DE6}</x14:id>
        </ext>
      </extLst>
    </cfRule>
    <cfRule type="dataBar" priority="27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{5F483AAA-43AD-4821-B8FD-A0B099D15672}</x14:id>
        </ext>
      </extLst>
    </cfRule>
    <cfRule type="dataBar" priority="2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{32F921A9-ADDE-46C7-A6C3-CF4786474174}</x14:id>
        </ext>
      </extLst>
    </cfRule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{C2D89857-0825-4AFB-8BBB-1168CFB10D36}</x14:id>
        </ext>
      </extLst>
    </cfRule>
  </conditionalFormatting>
  <conditionalFormatting sqref="AL23:AL24">
    <cfRule type="dataBar" priority="1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{902A735E-7A8E-4C3B-9572-283189A77D52}</x14:id>
        </ext>
      </extLst>
    </cfRule>
    <cfRule type="dataBar" priority="12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{671FD188-C088-4306-96D1-01170637449D}</x14:id>
        </ext>
      </extLst>
    </cfRule>
    <cfRule type="dataBar" priority="123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{27EB1E31-E94E-405C-9A73-617E2DD3218F}</x14:id>
        </ext>
      </extLst>
    </cfRule>
    <cfRule type="dataBar" priority="12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{B67691FB-2B3E-4B98-AB9D-2EB2162C59CC}</x14:id>
        </ext>
      </extLst>
    </cfRule>
    <cfRule type="dataBar" priority="1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{8EE11572-9965-4ABC-93F5-952E47F220C2}</x14:id>
        </ext>
      </extLst>
    </cfRule>
    <cfRule type="dataBar" priority="12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{1A8945BA-76B3-4BC6-B4D6-BD5B47193437}</x14:id>
        </ext>
      </extLst>
    </cfRule>
    <cfRule type="dataBar" priority="12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{C82F722F-C604-4DE1-9F09-47FB48CD7CF7}</x14:id>
        </ext>
      </extLst>
    </cfRule>
    <cfRule type="dataBar" priority="12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{527122C9-DC37-48FF-8148-F09AE98F0D79}</x14:id>
        </ext>
      </extLst>
    </cfRule>
    <cfRule type="dataBar" priority="1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{2B92CEDF-1B5D-4FEA-ADD5-9F89261CBBD1}</x14:id>
        </ext>
      </extLst>
    </cfRule>
    <cfRule type="dataBar" priority="1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{B37F94B3-C2B4-4A89-AA65-782AC70F44AC}</x14:id>
        </ext>
      </extLst>
    </cfRule>
    <cfRule type="dataBar" priority="12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{2DF3E90E-2247-47AA-9863-1567533D8D47}</x14:id>
        </ext>
      </extLst>
    </cfRule>
    <cfRule type="dataBar" priority="12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{300CA10C-7BE9-4295-BDC2-E1CB56BBE67B}</x14:id>
        </ext>
      </extLst>
    </cfRule>
    <cfRule type="dataBar" priority="1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{E14CB9B1-9788-4DF1-A2F8-6C18AFFEEB4F}</x14:id>
        </ext>
      </extLst>
    </cfRule>
    <cfRule type="dataBar" priority="122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{AA4354CB-808A-4014-B5B5-F864EA5BE8F7}</x14:id>
        </ext>
      </extLst>
    </cfRule>
    <cfRule type="dataBar" priority="121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{39D5E926-EFC8-4F90-BE59-8F0DA2A5A914}</x14:id>
        </ext>
      </extLst>
    </cfRule>
    <cfRule type="dataBar" priority="121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{CE2525F5-E9E3-4A6C-BE28-F4056F5693C0}</x14:id>
        </ext>
      </extLst>
    </cfRule>
    <cfRule type="dataBar" priority="12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{996408AF-AF34-4FEC-BE2C-228AD71ECF64}</x14:id>
        </ext>
      </extLst>
    </cfRule>
    <cfRule type="dataBar" priority="1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{B2AFD2E2-6ACF-44DB-976E-34D791CDD286}</x14:id>
        </ext>
      </extLst>
    </cfRule>
    <cfRule type="dataBar" priority="1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{BC9EAD05-4FC9-4403-96E0-72BAB0FEB24D}</x14:id>
        </ext>
      </extLst>
    </cfRule>
    <cfRule type="dataBar" priority="12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{66AE3D05-50F9-412B-BD69-CBD8CB3E06D5}</x14:id>
        </ext>
      </extLst>
    </cfRule>
    <cfRule type="dataBar" priority="12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{91EC59C6-0E7A-4CC4-B69E-26B2F13FF862}</x14:id>
        </ext>
      </extLst>
    </cfRule>
    <cfRule type="dataBar" priority="1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{BCDAC96E-4060-4A8C-B70E-BCE441E94E39}</x14:id>
        </ext>
      </extLst>
    </cfRule>
    <cfRule type="dataBar" priority="121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{2559951A-EE2D-4761-8176-5EF64BC9D111}</x14:id>
        </ext>
      </extLst>
    </cfRule>
    <cfRule type="dataBar" priority="12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{A84EE8B8-E49F-418E-9D06-394D8DCDDF4E}</x14:id>
        </ext>
      </extLst>
    </cfRule>
    <cfRule type="dataBar" priority="12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{C8808A3A-EEC5-4E47-B5DB-21EACFD0851F}</x14:id>
        </ext>
      </extLst>
    </cfRule>
    <cfRule type="dataBar" priority="12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{DF238617-92D4-481C-A584-E5F84ECD2A2C}</x14:id>
        </ext>
      </extLst>
    </cfRule>
    <cfRule type="dataBar" priority="12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{853177B8-ABE2-4E15-9BFA-BED6243195C2}</x14:id>
        </ext>
      </extLst>
    </cfRule>
    <cfRule type="dataBar" priority="12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{0F2E57BE-E7F4-49AE-9D71-449A0830E8F5}</x14:id>
        </ext>
      </extLst>
    </cfRule>
    <cfRule type="dataBar" priority="12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{8D4C449A-0351-45EF-A0DE-510AF9F38EAB}</x14:id>
        </ext>
      </extLst>
    </cfRule>
    <cfRule type="dataBar" priority="12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{748AC5E8-1DD0-492A-93D7-D3F4B9EE18CD}</x14:id>
        </ext>
      </extLst>
    </cfRule>
  </conditionalFormatting>
  <conditionalFormatting sqref="AL25:AL27">
    <cfRule type="dataBar" priority="11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{5C8699B5-E3B5-4A2B-8D51-C3940028D636}</x14:id>
        </ext>
      </extLst>
    </cfRule>
    <cfRule type="dataBar" priority="1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{0CA77811-77E9-4D33-BC18-DCB21C3CC487}</x14:id>
        </ext>
      </extLst>
    </cfRule>
    <cfRule type="dataBar" priority="118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{DC22507B-DA97-448D-9C74-291430575FD4}</x14:id>
        </ext>
      </extLst>
    </cfRule>
    <cfRule type="dataBar" priority="11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{11376F45-09AD-4702-BFA8-5CA0411AD6E8}</x14:id>
        </ext>
      </extLst>
    </cfRule>
    <cfRule type="dataBar" priority="1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{14C113D0-D772-46E8-AAC3-1A5F93867D3E}</x14:id>
        </ext>
      </extLst>
    </cfRule>
    <cfRule type="dataBar" priority="11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{8E00F8F7-69B5-443D-AE45-686BC61C055F}</x14:id>
        </ext>
      </extLst>
    </cfRule>
    <cfRule type="dataBar" priority="11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{2C1D97F9-80CA-453A-81AC-49B42D28C395}</x14:id>
        </ext>
      </extLst>
    </cfRule>
    <cfRule type="dataBar" priority="11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{0C97AE9F-E26A-445D-8470-70D087E5A7F3}</x14:id>
        </ext>
      </extLst>
    </cfRule>
    <cfRule type="dataBar" priority="11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{B5FCD59D-A6BB-43EE-B1B2-F937C00078C1}</x14:id>
        </ext>
      </extLst>
    </cfRule>
    <cfRule type="dataBar" priority="120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{8AD8BC49-D000-44F2-A8CC-4D1890189C6D}</x14:id>
        </ext>
      </extLst>
    </cfRule>
    <cfRule type="dataBar" priority="120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{A0427778-D268-4D2A-B2BB-94C1F4D5AA63}</x14:id>
        </ext>
      </extLst>
    </cfRule>
    <cfRule type="dataBar" priority="1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{7010AF63-4F00-4A4C-AD9F-E3897BD30882}</x14:id>
        </ext>
      </extLst>
    </cfRule>
    <cfRule type="dataBar" priority="120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{668C6A93-5816-4592-97F2-7BC0D5735151}</x14:id>
        </ext>
      </extLst>
    </cfRule>
    <cfRule type="dataBar" priority="120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{CE0FD02B-61A3-4A2F-BA48-C9AA55337ED5}</x14:id>
        </ext>
      </extLst>
    </cfRule>
    <cfRule type="dataBar" priority="119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{A3E38C22-CF2F-492C-A762-1AD5A0450745}</x14:id>
        </ext>
      </extLst>
    </cfRule>
    <cfRule type="dataBar" priority="11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{64EBEF6C-A8EE-442C-A920-4C170A6B496F}</x14:id>
        </ext>
      </extLst>
    </cfRule>
    <cfRule type="dataBar" priority="1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{58437F16-25F5-49E0-97B2-B309ACD0D813}</x14:id>
        </ext>
      </extLst>
    </cfRule>
    <cfRule type="dataBar" priority="119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{15C18B4B-C718-4927-A01D-46499430059B}</x14:id>
        </ext>
      </extLst>
    </cfRule>
    <cfRule type="dataBar" priority="11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{70A91C9A-5727-4872-A5F3-01C91B9D5050}</x14:id>
        </ext>
      </extLst>
    </cfRule>
    <cfRule type="dataBar" priority="1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{B5AEDE20-5B3F-436D-B01D-E7353EBCC370}</x14:id>
        </ext>
      </extLst>
    </cfRule>
    <cfRule type="dataBar" priority="1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{5AC470F5-6E13-4455-996A-625CBA01C7E2}</x14:id>
        </ext>
      </extLst>
    </cfRule>
    <cfRule type="dataBar" priority="11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{65F4B2A5-89FB-4520-9639-A7B8646AF8EF}</x14:id>
        </ext>
      </extLst>
    </cfRule>
    <cfRule type="dataBar" priority="1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{7725057B-892D-4D0A-857B-8DC0D02583FD}</x14:id>
        </ext>
      </extLst>
    </cfRule>
    <cfRule type="dataBar" priority="119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{A78FD837-C171-4589-8B43-E55A4CD91EFD}</x14:id>
        </ext>
      </extLst>
    </cfRule>
    <cfRule type="dataBar" priority="118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{AE94580C-D62D-4C81-83AA-382D12AF56DC}</x14:id>
        </ext>
      </extLst>
    </cfRule>
    <cfRule type="dataBar" priority="118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{795BC320-AD34-45F1-9332-0195699B41EB}</x14:id>
        </ext>
      </extLst>
    </cfRule>
    <cfRule type="dataBar" priority="118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{03F9DADB-7075-4073-806B-779EA88463E8}</x14:id>
        </ext>
      </extLst>
    </cfRule>
    <cfRule type="dataBar" priority="1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{72B7311F-8851-45AE-A25E-2B2F430602FB}</x14:id>
        </ext>
      </extLst>
    </cfRule>
    <cfRule type="dataBar" priority="118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{3C1F4039-C00B-45B4-93C7-CE2FB139FD3F}</x14:id>
        </ext>
      </extLst>
    </cfRule>
    <cfRule type="dataBar" priority="11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{236CCBE2-38C8-464B-9C6D-594E064C2BA7}</x14:id>
        </ext>
      </extLst>
    </cfRule>
  </conditionalFormatting>
  <conditionalFormatting sqref="AL28">
    <cfRule type="dataBar" priority="24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{6EFD94B4-6257-4EA4-9B78-6ECB8C68E632}</x14:id>
        </ext>
      </extLst>
    </cfRule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{4FC6AD11-C4A6-44A6-B15C-176BFBE63A44}</x14:id>
        </ext>
      </extLst>
    </cfRule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{97EF1A58-411F-437E-9D33-7A5C7D7B0A2E}</x14:id>
        </ext>
      </extLst>
    </cfRule>
    <cfRule type="dataBar" priority="25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{45F43AC5-2C9A-4D36-877F-F44CC68E1704}</x14:id>
        </ext>
      </extLst>
    </cfRule>
    <cfRule type="dataBar" priority="2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{BF101833-BFFF-4835-B1AC-0F3B9EC7CD60}</x14:id>
        </ext>
      </extLst>
    </cfRule>
    <cfRule type="dataBar" priority="2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{17D8890E-2604-40C9-B678-9E20B5A3BF7B}</x14:id>
        </ext>
      </extLst>
    </cfRule>
    <cfRule type="dataBar" priority="2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{B5305178-CC23-42B5-8B40-2FA5F67C67D7}</x14:id>
        </ext>
      </extLst>
    </cfRule>
    <cfRule type="dataBar" priority="2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{D69780E1-6E8F-4844-AE05-113A5D52517C}</x14:id>
        </ext>
      </extLst>
    </cfRule>
    <cfRule type="dataBar" priority="25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{7340A5EE-7E1A-4588-B59E-0C03DF507555}</x14:id>
        </ext>
      </extLst>
    </cfRule>
    <cfRule type="dataBar" priority="25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{E11441BC-4104-4DA3-A18A-B4D3A476C167}</x14:id>
        </ext>
      </extLst>
    </cfRule>
    <cfRule type="dataBar" priority="25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{185D8D19-B6B1-42F3-82AF-035CF268629F}</x14:id>
        </ext>
      </extLst>
    </cfRule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{0AB249F1-86EF-49C2-8D7F-4F4ED68DB3B0}</x14:id>
        </ext>
      </extLst>
    </cfRule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{337414F4-2530-4684-BF2A-15A62D01FEFD}</x14:id>
        </ext>
      </extLst>
    </cfRule>
    <cfRule type="dataBar" priority="2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{6D1A8B37-2FE3-47B0-B91E-8EA95F83B1CF}</x14:id>
        </ext>
      </extLst>
    </cfRule>
    <cfRule type="dataBar" priority="25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{A4613B18-D400-4036-8AE2-1620F636E3CA}</x14:id>
        </ext>
      </extLst>
    </cfRule>
    <cfRule type="dataBar" priority="2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{CA685920-8CFA-4055-8807-325111454551}</x14:id>
        </ext>
      </extLst>
    </cfRule>
    <cfRule type="dataBar" priority="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{03A042BD-F99B-48EB-AACF-DC4B229A9A3F}</x14:id>
        </ext>
      </extLst>
    </cfRule>
  </conditionalFormatting>
  <conditionalFormatting sqref="AL29">
    <cfRule type="dataBar" priority="8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{C65CC5D6-401B-4B4C-80B4-FFF4E0A7A322}</x14:id>
        </ext>
      </extLst>
    </cfRule>
    <cfRule type="dataBar" priority="8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{0089B6AD-2BC3-4C8F-BB7C-1A45C7634868}</x14:id>
        </ext>
      </extLst>
    </cfRule>
    <cfRule type="dataBar" priority="8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{51CC878E-8469-434B-9F5A-6B932DFCE4D0}</x14:id>
        </ext>
      </extLst>
    </cfRule>
    <cfRule type="dataBar" priority="8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{34C149C9-9156-45DB-AC56-9BA9E37B7D7C}</x14:id>
        </ext>
      </extLst>
    </cfRule>
    <cfRule type="dataBar" priority="78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{1A73173D-0F60-45B1-8E86-801A42350C68}</x14:id>
        </ext>
      </extLst>
    </cfRule>
    <cfRule type="dataBar" priority="7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{76AC5CFA-F179-4FB0-BA09-4E7BB512E49E}</x14:id>
        </ext>
      </extLst>
    </cfRule>
    <cfRule type="dataBar" priority="8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{87A568BF-EC9D-47CB-A657-3F1CAC5BA4C8}</x14:id>
        </ext>
      </extLst>
    </cfRule>
    <cfRule type="dataBar" priority="79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{94AFB055-9D88-4C2C-87AF-BAB2BD41A03E}</x14:id>
        </ext>
      </extLst>
    </cfRule>
    <cfRule type="dataBar" priority="7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{34FCBB41-CD01-4BA8-BA0C-CD3836E5E1A7}</x14:id>
        </ext>
      </extLst>
    </cfRule>
    <cfRule type="dataBar" priority="79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{6C32E6E2-E8BE-45BB-BA09-7B212AB636EF}</x14:id>
        </ext>
      </extLst>
    </cfRule>
    <cfRule type="dataBar" priority="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{FD523F7F-D006-48D4-9D23-7AB6C109DCD7}</x14:id>
        </ext>
      </extLst>
    </cfRule>
    <cfRule type="dataBar" priority="79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{E212EE96-2F30-4379-A648-A1ACB5B656B2}</x14:id>
        </ext>
      </extLst>
    </cfRule>
    <cfRule type="dataBar" priority="8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{928D379D-B53E-4162-AF99-B37A8F06F41F}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{DFFB2676-56EE-41F2-936C-FCB022FEF4AD}</x14:id>
        </ext>
      </extLst>
    </cfRule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{811CC3FE-76D4-4189-9D8D-43C969CE5D75}</x14:id>
        </ext>
      </extLst>
    </cfRule>
    <cfRule type="dataBar" priority="8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{3032DA84-13E3-4AE6-A688-C17043B5679C}</x14:id>
        </ext>
      </extLst>
    </cfRule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{FDB728C7-9261-4BF5-BDA5-270F9D3231B4}</x14:id>
        </ext>
      </extLst>
    </cfRule>
    <cfRule type="dataBar" priority="7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{F69605DB-1902-4595-BC1E-0EACBB8D7AF0}</x14:id>
        </ext>
      </extLst>
    </cfRule>
    <cfRule type="dataBar" priority="7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{75CFD4C7-D0BC-470D-A441-1E86547639F1}</x14:id>
        </ext>
      </extLst>
    </cfRule>
    <cfRule type="dataBar" priority="7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{0E9B6BB5-06C2-4B26-9325-AECDE8A5E096}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{A70AAE91-A2F8-411C-ACC9-8BAF0C0B8868}</x14:id>
        </ext>
      </extLst>
    </cfRule>
    <cfRule type="dataBar" priority="79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{00DA1717-6C93-46C8-8806-276B9B916686}</x14:id>
        </ext>
      </extLst>
    </cfRule>
    <cfRule type="dataBar" priority="80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{0ECBA444-A2ED-495B-83F5-C1B37692C997}</x14:id>
        </ext>
      </extLst>
    </cfRule>
    <cfRule type="dataBar" priority="8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{BF918F08-5A64-4ADE-A366-1E6086C8E059}</x14:id>
        </ext>
      </extLst>
    </cfRule>
    <cfRule type="dataBar" priority="8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{BE6E2BE1-3ED9-4458-A907-851196242D41}</x14:id>
        </ext>
      </extLst>
    </cfRule>
    <cfRule type="dataBar" priority="8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{C4CD6C5E-E532-46B4-8CDF-65BFA9117AF5}</x14:id>
        </ext>
      </extLst>
    </cfRule>
    <cfRule type="dataBar" priority="79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{B68D6B58-24E6-4D3C-8A68-973FB5D1BDCF}</x14:id>
        </ext>
      </extLst>
    </cfRule>
    <cfRule type="dataBar" priority="79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{40F728D0-90AC-4552-AE54-473FC446ACEC}</x14:id>
        </ext>
      </extLst>
    </cfRule>
    <cfRule type="dataBar" priority="79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{B8CE1545-9F87-47C0-BD7A-D2AC4C5BEE7B}</x14:id>
        </ext>
      </extLst>
    </cfRule>
    <cfRule type="dataBar" priority="7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{0004C36F-EF37-4C3E-BC66-1FCF1B4023BD}</x14:id>
        </ext>
      </extLst>
    </cfRule>
  </conditionalFormatting>
  <conditionalFormatting sqref="AL30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{0CBE9B90-329E-4A95-8A2F-412FFD0BA814}</x14:id>
        </ext>
      </extLst>
    </cfRule>
    <cfRule type="dataBar" priority="24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{8C34C0F5-D8A9-4120-88D8-1861A162F17D}</x14:id>
        </ext>
      </extLst>
    </cfRule>
    <cfRule type="dataBar" priority="23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{8BCE14DA-4C02-4111-9835-17AEF13ACB7D}</x14:id>
        </ext>
      </extLst>
    </cfRule>
    <cfRule type="dataBar" priority="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{1E0556AD-05F2-45B2-AC2D-03D25859DBFC}</x14:id>
        </ext>
      </extLst>
    </cfRule>
    <cfRule type="dataBar" priority="23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{39D0663F-313F-4A91-BB39-8B18A560127B}</x14:id>
        </ext>
      </extLst>
    </cfRule>
    <cfRule type="dataBar" priority="23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{56CD8C2A-C858-4331-987C-FA17D9B9141A}</x14:id>
        </ext>
      </extLst>
    </cfRule>
    <cfRule type="dataBar" priority="23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{95BE0EE6-8BDE-4C3F-8BEF-7F341E0BF67C}</x14:id>
        </ext>
      </extLst>
    </cfRule>
    <cfRule type="dataBar" priority="2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{ED469447-3530-44B5-B856-38527AF78C54}</x14:id>
        </ext>
      </extLst>
    </cfRule>
    <cfRule type="dataBar" priority="2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{3D777C37-DA27-4920-9614-340217276E6D}</x14:id>
        </ext>
      </extLst>
    </cfRule>
    <cfRule type="dataBar" priority="2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{CDF187EF-E544-414B-AFAA-0E6D63D39094}</x14:id>
        </ext>
      </extLst>
    </cfRule>
    <cfRule type="dataBar" priority="2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{63F7C5A3-DD11-43C8-91A1-76DAC43AAF26}</x14:id>
        </ext>
      </extLst>
    </cfRule>
    <cfRule type="dataBar" priority="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{0EF606F0-9CF0-44F2-9B4D-59875C3F62D3}</x14:id>
        </ext>
      </extLst>
    </cfRule>
    <cfRule type="dataBar" priority="24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{CC57884B-167A-462E-B13C-CB4B8B4C8C23}</x14:id>
        </ext>
      </extLst>
    </cfRule>
    <cfRule type="dataBar" priority="2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{54268776-6B77-4142-AFA9-DA9FF85313B8}</x14:id>
        </ext>
      </extLst>
    </cfRule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{2533EDBE-47BB-49B0-B934-37F25900F43B}</x14:id>
        </ext>
      </extLst>
    </cfRule>
    <cfRule type="dataBar" priority="2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{A84CF40D-44DA-4E2D-BB12-2363B3BB7375}</x14:id>
        </ext>
      </extLst>
    </cfRule>
    <cfRule type="dataBar" priority="2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{691696FA-05FA-4EB2-89A7-5F6684C4928E}</x14:id>
        </ext>
      </extLst>
    </cfRule>
  </conditionalFormatting>
  <conditionalFormatting sqref="AL31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{3FD6466E-98D3-4AED-BEF1-A915E40A48D2}</x14:id>
        </ext>
      </extLst>
    </cfRule>
    <cfRule type="dataBar" priority="2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{938C6DD1-710E-4F66-9AD9-40F45C469C59}</x14:id>
        </ext>
      </extLst>
    </cfRule>
    <cfRule type="dataBar" priority="21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{E145C5A8-5D94-4F89-BA38-8CEA2D8B5526}</x14:id>
        </ext>
      </extLst>
    </cfRule>
    <cfRule type="dataBar" priority="21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{E555E578-C7C2-4AAB-AE4A-3A8DE03A0EE9}</x14:id>
        </ext>
      </extLst>
    </cfRule>
    <cfRule type="dataBar" priority="22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{EA424510-24A1-460B-BC60-2758442F27A9}</x14:id>
        </ext>
      </extLst>
    </cfRule>
    <cfRule type="dataBar" priority="2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{A8613D79-B708-43AF-921C-2BC8D36574F8}</x14:id>
        </ext>
      </extLst>
    </cfRule>
    <cfRule type="dataBar" priority="22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{EC859624-5106-456A-83E1-21BEBE114506}</x14:id>
        </ext>
      </extLst>
    </cfRule>
    <cfRule type="dataBar" priority="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{17AC59D4-B3F3-4245-BAA7-8444951FD18D}</x14:id>
        </ext>
      </extLst>
    </cfRule>
    <cfRule type="dataBar" priority="2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{1E994A11-28AE-46CF-8BE1-7714B241D14E}</x14:id>
        </ext>
      </extLst>
    </cfRule>
    <cfRule type="dataBar" priority="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{9CBD5443-4F95-4616-BFA2-C2115AE2B450}</x14:id>
        </ext>
      </extLst>
    </cfRule>
    <cfRule type="dataBar" priority="2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{EDD46B2C-E75B-43A3-A59D-849F2EDA4628}</x14:id>
        </ext>
      </extLst>
    </cfRule>
    <cfRule type="dataBar" priority="2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{318EC684-D015-4555-B7CE-BDD5824168E4}</x14:id>
        </ext>
      </extLst>
    </cfRule>
    <cfRule type="dataBar" priority="2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{5666FEF2-C986-40F3-BB4C-704AE4FA5E1F}</x14:id>
        </ext>
      </extLst>
    </cfRule>
    <cfRule type="dataBar" priority="2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{25A26ACE-E747-4D1F-90C1-A24F11FA056F}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{93AF15D6-17CC-4AD8-875B-FE49676D86A9}</x14:id>
        </ext>
      </extLst>
    </cfRule>
    <cfRule type="dataBar" priority="2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{FF205076-FB10-4ED2-85E2-32C4EDFD3F00}</x14:id>
        </ext>
      </extLst>
    </cfRule>
    <cfRule type="dataBar" priority="2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{A4D13E1E-0B03-495B-941B-F2C974C74FBC}</x14:id>
        </ext>
      </extLst>
    </cfRule>
  </conditionalFormatting>
  <conditionalFormatting sqref="AL32">
    <cfRule type="dataBar" priority="20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{0F9C2E4E-EC5E-4A7D-B382-9EA537C5DA63}</x14:id>
        </ext>
      </extLst>
    </cfRule>
    <cfRule type="dataBar" priority="20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{E6792AF4-7C51-436B-B786-6DBE442F591B}</x14:id>
        </ext>
      </extLst>
    </cfRule>
    <cfRule type="dataBar" priority="20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{6555064D-48A7-4D5E-8B3D-825933D74F44}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{8DFB216A-0AC4-4915-9E22-5A4731266279}</x14:id>
        </ext>
      </extLst>
    </cfRule>
    <cfRule type="dataBar" priority="20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{AD4576EE-2B65-4927-AC69-4E38E2FD1757}</x14:id>
        </ext>
      </extLst>
    </cfRule>
    <cfRule type="dataBar" priority="1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{4ABF2F80-6FAA-456C-831D-FFE6511DB7AF}</x14:id>
        </ext>
      </extLst>
    </cfRule>
    <cfRule type="dataBar" priority="1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{A9C686F0-85F3-41F0-8710-E9F5D2E260C8}</x14:id>
        </ext>
      </extLst>
    </cfRule>
    <cfRule type="dataBar" priority="1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{75128BE5-241C-4DC4-BDD6-1FC9D98F8327}</x14:id>
        </ext>
      </extLst>
    </cfRule>
    <cfRule type="dataBar" priority="1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{22823FB1-6D7A-4A2F-A67D-DE79F7921222}</x14:id>
        </ext>
      </extLst>
    </cfRule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{C8589019-8D02-4C09-A044-3BFB4BB7ABA8}</x14:id>
        </ext>
      </extLst>
    </cfRule>
    <cfRule type="dataBar" priority="2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{5276E763-FE50-498A-B9F4-06CCBEDF5E69}</x14:id>
        </ext>
      </extLst>
    </cfRule>
    <cfRule type="dataBar" priority="2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{D992AE00-ABA1-4F6D-9CED-A52C810BB6ED}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{555B57C1-4C01-4E99-931C-B18ADB8636E2}</x14:id>
        </ext>
      </extLst>
    </cfRule>
    <cfRule type="dataBar" priority="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{D423B6B1-9E5C-43A1-BEEB-B5CDC3216B10}</x14:id>
        </ext>
      </extLst>
    </cfRule>
    <cfRule type="dataBar" priority="2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{EBD35B53-D2BA-4010-9768-07CDF628912B}</x14:id>
        </ext>
      </extLst>
    </cfRule>
    <cfRule type="dataBar" priority="20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{46443FDA-322E-404E-A04F-B0D9DDF1E3D6}</x14:id>
        </ext>
      </extLst>
    </cfRule>
    <cfRule type="dataBar" priority="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{AEBB1FC7-F80C-4A4F-9E25-36B63D5EF943}</x14:id>
        </ext>
      </extLst>
    </cfRule>
  </conditionalFormatting>
  <conditionalFormatting sqref="AL33:AL34">
    <cfRule type="dataBar" priority="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{0DD95D1D-3EA4-4285-8FEC-360B2BD07E81}</x14:id>
        </ext>
      </extLst>
    </cfRule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{99D8F279-DD64-48EC-A86E-045F874EE643}</x14:id>
        </ext>
      </extLst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{8C8C1572-D298-4A44-929E-7098B926FE1A}</x14:id>
        </ext>
      </extLst>
    </cfRule>
    <cfRule type="dataBar" priority="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{60D46F40-3382-485E-8F5A-4479B2B4F919}</x14:id>
        </ext>
      </extLst>
    </cfRule>
    <cfRule type="dataBar" priority="8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{8B469567-31B9-4ED9-98F5-06953E92F487}</x14:id>
        </ext>
      </extLst>
    </cfRule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{BD0F987E-3279-4E7B-92D6-080B483D7D9E}</x14:id>
        </ext>
      </extLst>
    </cfRule>
    <cfRule type="dataBar" priority="8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{D09593CE-F439-4845-A13E-85F06C2E953F}</x14:id>
        </ext>
      </extLst>
    </cfRule>
    <cfRule type="dataBar" priority="8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{36EAD5B8-0B35-4C90-99FA-F7AC900ECD46}</x14:id>
        </ext>
      </extLst>
    </cfRule>
    <cfRule type="dataBar" priority="8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{AB77B646-7E88-4C23-AA31-02F7DCDD0899}</x14:id>
        </ext>
      </extLst>
    </cfRule>
    <cfRule type="dataBar" priority="8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{3F8C537C-601D-4149-BBAB-E50837DA45A7}</x14:id>
        </ext>
      </extLst>
    </cfRule>
    <cfRule type="dataBar" priority="9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{A0B94721-12F8-41F6-ACD1-9800F954D734}</x14:id>
        </ext>
      </extLst>
    </cfRule>
    <cfRule type="dataBar" priority="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{0A5A2F43-96B6-4CE3-AA75-C7C5FF4D3135}</x14:id>
        </ext>
      </extLst>
    </cfRule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{CFE4BD93-2347-4ADF-B15E-3C68BB315BA4}</x14:id>
        </ext>
      </extLst>
    </cfRule>
  </conditionalFormatting>
  <conditionalFormatting sqref="AM5:AM28 AM30 AK5:AK34">
    <cfRule type="dataBar" priority="269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{19544DCD-28D6-468A-AB67-9C92542D67EC}</x14:id>
        </ext>
      </extLst>
    </cfRule>
    <cfRule type="dataBar" priority="269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{AEF9C2A1-3B83-47E7-BCE2-618E421C8E96}</x14:id>
        </ext>
      </extLst>
    </cfRule>
    <cfRule type="dataBar" priority="2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{587AB92D-2FEC-4454-9E13-893243DEDB03}</x14:id>
        </ext>
      </extLst>
    </cfRule>
  </conditionalFormatting>
  <conditionalFormatting sqref="AM5:AM32 AK5:AK34">
    <cfRule type="dataBar" priority="26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{87896B91-DB39-4390-B14E-6CEE1F8789E3}</x14:id>
        </ext>
      </extLst>
    </cfRule>
    <cfRule type="dataBar" priority="26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{A4BD1EAC-7310-4DAE-8D97-213D534946D2}</x14:id>
        </ext>
      </extLst>
    </cfRule>
  </conditionalFormatting>
  <conditionalFormatting sqref="AM29">
    <cfRule type="dataBar" priority="2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{13661AEB-CB57-4F47-B4FC-CDD98AB5B976}</x14:id>
        </ext>
      </extLst>
    </cfRule>
    <cfRule type="dataBar" priority="23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{6E1DDD6A-7FEF-4FBB-83D4-114B9B5E539D}</x14:id>
        </ext>
      </extLst>
    </cfRule>
    <cfRule type="dataBar" priority="23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{B278821C-198D-4249-BB61-2A8CFCB41A8F}</x14:id>
        </ext>
      </extLst>
    </cfRule>
  </conditionalFormatting>
  <conditionalFormatting sqref="AM31">
    <cfRule type="dataBar" priority="23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{92D351CA-3517-4176-8725-F415DB77BB4A}</x14:id>
        </ext>
      </extLst>
    </cfRule>
    <cfRule type="dataBar" priority="2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{EA8484E3-8A59-4C89-BD98-0D96E16F10C4}</x14:id>
        </ext>
      </extLst>
    </cfRule>
    <cfRule type="dataBar" priority="23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{36314D62-AE2D-4ADE-9FD0-538EF8D05637}</x14:id>
        </ext>
      </extLst>
    </cfRule>
  </conditionalFormatting>
  <conditionalFormatting sqref="AM32">
    <cfRule type="dataBar" priority="2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{D6C94D11-3928-47CA-9093-F3BD13EDEB01}</x14:id>
        </ext>
      </extLst>
    </cfRule>
    <cfRule type="dataBar" priority="23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{066217A0-2535-48BA-B54C-D4514DF1BC35}</x14:id>
        </ext>
      </extLst>
    </cfRule>
    <cfRule type="dataBar" priority="23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{36C7B4C1-74C0-4E10-BFC9-C09B7D8280CC}</x14:id>
        </ext>
      </extLst>
    </cfRule>
  </conditionalFormatting>
  <conditionalFormatting sqref="AO6">
    <cfRule type="dataBar" priority="22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{850280BE-D3B2-4DDC-9C98-45E93D24361A}</x14:id>
        </ext>
      </extLst>
    </cfRule>
  </conditionalFormatting>
  <conditionalFormatting sqref="AO7">
    <cfRule type="dataBar" priority="22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{C155C3D7-B533-41B0-94AC-35053C37203D}</x14:id>
        </ext>
      </extLst>
    </cfRule>
  </conditionalFormatting>
  <conditionalFormatting sqref="AO8">
    <cfRule type="dataBar" priority="221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{014DD265-45AA-4ED7-92CF-6BE1806BA70A}</x14:id>
        </ext>
      </extLst>
    </cfRule>
  </conditionalFormatting>
  <conditionalFormatting sqref="AO22">
    <cfRule type="dataBar" priority="22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{6F7A7E69-E02B-426C-9D76-E34CF742DBD1}</x14:id>
        </ext>
      </extLst>
    </cfRule>
  </conditionalFormatting>
  <conditionalFormatting sqref="AO26">
    <cfRule type="dataBar" priority="22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{87D5C4E9-4594-4D2C-BB13-6448FBE48A8C}</x14:id>
        </ext>
      </extLst>
    </cfRule>
  </conditionalFormatting>
  <conditionalFormatting sqref="AO31">
    <cfRule type="dataBar" priority="217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{07DDF803-C37D-4DED-A035-2A608B695DE4}</x14:id>
        </ext>
      </extLst>
    </cfRule>
  </conditionalFormatting>
  <conditionalFormatting sqref="AO32">
    <cfRule type="dataBar" priority="21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{11A10B4C-DA89-45D0-B57E-D0F8F0B2E5C9}</x14:id>
        </ext>
      </extLst>
    </cfRule>
  </conditionalFormatting>
  <conditionalFormatting sqref="AO33:AO34">
    <cfRule type="dataBar" priority="24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{76DD741D-B83B-4763-B637-0EEDA5EB3219}</x14:id>
        </ext>
      </extLst>
    </cfRule>
  </conditionalFormatting>
  <conditionalFormatting sqref="AP5:AP29 AR5:AR33">
    <cfRule type="dataBar" priority="274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{CC6A33A3-64FD-43D4-B5CD-189A4BE96D97}</x14:id>
        </ext>
      </extLst>
    </cfRule>
    <cfRule type="dataBar" priority="2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{FD4D3189-9CEA-42B8-8D59-95D74A921F0C}</x14:id>
        </ext>
      </extLst>
    </cfRule>
  </conditionalFormatting>
  <conditionalFormatting sqref="AP5:AP30">
    <cfRule type="dataBar" priority="27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{3F74576A-834E-46C5-8456-E4C2FA923804}</x14:id>
        </ext>
      </extLst>
    </cfRule>
    <cfRule type="dataBar" priority="27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{6CA9D834-6543-490C-B911-8F622A2EBED8}</x14:id>
        </ext>
      </extLst>
    </cfRule>
  </conditionalFormatting>
  <conditionalFormatting sqref="AP5:AP34">
    <cfRule type="dataBar" priority="27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{8C4AC404-9429-42A9-813D-2DC2A5DDE79C}</x14:id>
        </ext>
      </extLst>
    </cfRule>
  </conditionalFormatting>
  <conditionalFormatting sqref="AP5:AP35">
    <cfRule type="dataBar" priority="274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{90A39A70-36CA-4F48-8083-94DF77BDC8A5}</x14:id>
        </ext>
      </extLst>
    </cfRule>
    <cfRule type="dataBar" priority="27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{63795767-C001-444F-BA68-F7851539E995}</x14:id>
        </ext>
      </extLst>
    </cfRule>
    <cfRule type="dataBar" priority="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{886F86E1-5684-47B4-98FB-93D380C9BFBD}</x14:id>
        </ext>
      </extLst>
    </cfRule>
  </conditionalFormatting>
  <conditionalFormatting sqref="AP14 AR15">
    <cfRule type="dataBar" priority="2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{4341A0A2-693B-458E-B48D-82F74267AD7E}</x14:id>
        </ext>
      </extLst>
    </cfRule>
    <cfRule type="dataBar" priority="23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{76971151-B26B-4B63-9BFF-7A061F2C620B}</x14:id>
        </ext>
      </extLst>
    </cfRule>
    <cfRule type="dataBar" priority="231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{C6EF20EF-3805-42A3-8855-7D528EEF81C1}</x14:id>
        </ext>
      </extLst>
    </cfRule>
  </conditionalFormatting>
  <conditionalFormatting sqref="AP15 AR16">
    <cfRule type="dataBar" priority="226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{4F281731-D6A7-42D2-9DAB-7572E995D91B}</x14:id>
        </ext>
      </extLst>
    </cfRule>
    <cfRule type="dataBar" priority="2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{659E92C7-97B9-47A6-8CFE-5112809E13AA}</x14:id>
        </ext>
      </extLst>
    </cfRule>
    <cfRule type="dataBar" priority="226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{7FBC039E-88D3-4E1F-9347-EB269099D40B}</x14:id>
        </ext>
      </extLst>
    </cfRule>
    <cfRule type="dataBar" priority="226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{D89B7C84-8E55-4167-981B-08FEF0D2D626}</x14:id>
        </ext>
      </extLst>
    </cfRule>
  </conditionalFormatting>
  <conditionalFormatting sqref="AP16:AP27 AP5:AP13 AR5:AR14 AR17:AR31">
    <cfRule type="dataBar" priority="27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{93FC764C-9A1C-4EE2-B6AC-32FA05C8C86C}</x14:id>
        </ext>
      </extLst>
    </cfRule>
    <cfRule type="dataBar" priority="2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{87FE916A-A2C9-4BF3-8DDC-4D0EE19E27E7}</x14:id>
        </ext>
      </extLst>
    </cfRule>
    <cfRule type="dataBar" priority="27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{B87845EC-587B-4B17-8297-E719B7679C75}</x14:id>
        </ext>
      </extLst>
    </cfRule>
  </conditionalFormatting>
  <conditionalFormatting sqref="AP16:AP29 AP5:AP14 AR17:AR33 AR5:AR15">
    <cfRule type="dataBar" priority="272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{6ADF02E9-4004-4C40-BEC7-2FCF9F8E79D5}</x14:id>
        </ext>
      </extLst>
    </cfRule>
  </conditionalFormatting>
  <conditionalFormatting sqref="AP28 AR32">
    <cfRule type="dataBar" priority="234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{9C1F8672-947A-4FBD-B6B9-3055FD61B58F}</x14:id>
        </ext>
      </extLst>
    </cfRule>
    <cfRule type="dataBar" priority="23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{83FF2480-F00C-4A20-AD1E-2F808FBF276F}</x14:id>
        </ext>
      </extLst>
    </cfRule>
    <cfRule type="dataBar" priority="2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{0EF57E95-73DB-4457-8F44-C683AEEA2B9A}</x14:id>
        </ext>
      </extLst>
    </cfRule>
  </conditionalFormatting>
  <conditionalFormatting sqref="AP29 AR33">
    <cfRule type="dataBar" priority="234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{7A3CED18-3241-497A-9392-9E431A278362}</x14:id>
        </ext>
      </extLst>
    </cfRule>
    <cfRule type="dataBar" priority="23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{07432240-D3B2-43C1-9545-647BD664DCDC}</x14:id>
        </ext>
      </extLst>
    </cfRule>
    <cfRule type="dataBar" priority="2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{8076BC82-5F9D-4205-B8C7-F6F4366429AC}</x14:id>
        </ext>
      </extLst>
    </cfRule>
  </conditionalFormatting>
  <conditionalFormatting sqref="AP30">
    <cfRule type="dataBar" priority="219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{9632A22A-BC37-45FC-AD37-9AEA76F996C9}</x14:id>
        </ext>
      </extLst>
    </cfRule>
    <cfRule type="dataBar" priority="2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{AA42184A-4483-4980-8860-AB9618EFA922}</x14:id>
        </ext>
      </extLst>
    </cfRule>
    <cfRule type="dataBar" priority="219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{506153B2-46A2-423D-B789-C5F79C44C76B}</x14:id>
        </ext>
      </extLst>
    </cfRule>
    <cfRule type="dataBar" priority="218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{5C14864B-9787-4E7C-A22C-B63FE11D745D}</x14:id>
        </ext>
      </extLst>
    </cfRule>
    <cfRule type="dataBar" priority="2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{36CAC3AA-4CBC-4469-B344-D0DDB678DB5D}</x14:id>
        </ext>
      </extLst>
    </cfRule>
    <cfRule type="dataBar" priority="218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{6EA65A6B-0BCF-496A-9B9E-2E2BF1BC9D81}</x14:id>
        </ext>
      </extLst>
    </cfRule>
  </conditionalFormatting>
  <conditionalFormatting sqref="AP31">
    <cfRule type="dataBar" priority="2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{F2AC049A-649E-4875-AB3F-CA3E8A9E403D}</x14:id>
        </ext>
      </extLst>
    </cfRule>
    <cfRule type="dataBar" priority="214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{31406AD6-9E13-4512-91DD-BF217CA6432F}</x14:id>
        </ext>
      </extLst>
    </cfRule>
    <cfRule type="dataBar" priority="21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{EA179D45-48D2-4C2C-A28E-4BF4EE32CB43}</x14:id>
        </ext>
      </extLst>
    </cfRule>
    <cfRule type="dataBar" priority="21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{35A7A989-B1CF-4F67-BDC0-3689047BA210}</x14:id>
        </ext>
      </extLst>
    </cfRule>
    <cfRule type="dataBar" priority="215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{1DEB77CE-3CA8-4B13-8108-9995C46012E7}</x14:id>
        </ext>
      </extLst>
    </cfRule>
    <cfRule type="dataBar" priority="21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{5689CEB8-F6AC-4F0E-8B93-D6D2842572C6}</x14:id>
        </ext>
      </extLst>
    </cfRule>
    <cfRule type="dataBar" priority="2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{E281DF55-7F15-4430-8627-036CB186BACD}</x14:id>
        </ext>
      </extLst>
    </cfRule>
    <cfRule type="dataBar" priority="21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{6E5CD577-1902-43F0-9F34-2CB148355785}</x14:id>
        </ext>
      </extLst>
    </cfRule>
  </conditionalFormatting>
  <conditionalFormatting sqref="AP32">
    <cfRule type="dataBar" priority="21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{9E87C767-AF71-48B0-B598-6A1FE8C22B5D}</x14:id>
        </ext>
      </extLst>
    </cfRule>
    <cfRule type="dataBar" priority="21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{B789F7EF-EB7E-4ECD-A8C1-200D086F901B}</x14:id>
        </ext>
      </extLst>
    </cfRule>
    <cfRule type="dataBar" priority="2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{ACA0C71A-76F4-4C17-A031-AC16D3968FD0}</x14:id>
        </ext>
      </extLst>
    </cfRule>
    <cfRule type="dataBar" priority="210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{3AE88EC3-D477-4649-A92D-BBEDC39322DE}</x14:id>
        </ext>
      </extLst>
    </cfRule>
    <cfRule type="dataBar" priority="21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{BF103620-4442-4FA4-AC46-C139CA8AB0C7}</x14:id>
        </ext>
      </extLst>
    </cfRule>
    <cfRule type="dataBar" priority="2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{C4489C55-2304-40D5-926A-596AAB9CE42D}</x14:id>
        </ext>
      </extLst>
    </cfRule>
    <cfRule type="dataBar" priority="209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{52207323-A954-49CB-A0D5-64A6D6B58E5A}</x14:id>
        </ext>
      </extLst>
    </cfRule>
    <cfRule type="dataBar" priority="209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{23D15862-9E58-4575-B1FF-B1CC18B30007}</x14:id>
        </ext>
      </extLst>
    </cfRule>
  </conditionalFormatting>
  <conditionalFormatting sqref="AP33:AP34">
    <cfRule type="dataBar" priority="2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{0EDCF787-A376-4D07-B733-16719A9822AE}</x14:id>
        </ext>
      </extLst>
    </cfRule>
    <cfRule type="dataBar" priority="24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{5F16F3B4-1718-4F94-932D-7C76AB2FA80F}</x14:id>
        </ext>
      </extLst>
    </cfRule>
    <cfRule type="dataBar" priority="24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{9CE41748-EC9B-48D8-9E94-3BBC78F3EEB7}</x14:id>
        </ext>
      </extLst>
    </cfRule>
    <cfRule type="dataBar" priority="24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{48D79554-1863-4574-87A4-C8607FE97AC4}</x14:id>
        </ext>
      </extLst>
    </cfRule>
    <cfRule type="dataBar" priority="24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{383CDF05-CE73-4A10-A689-B0A94C3D8999}</x14:id>
        </ext>
      </extLst>
    </cfRule>
    <cfRule type="dataBar" priority="24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{CDEEC9CD-D3B1-4E54-AA93-A092C16CAE5A}</x14:id>
        </ext>
      </extLst>
    </cfRule>
    <cfRule type="dataBar" priority="24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{9226C149-132C-430F-A981-EE787943B191}</x14:id>
        </ext>
      </extLst>
    </cfRule>
    <cfRule type="dataBar" priority="243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{D26A47C6-460A-47DF-9361-0498E7F584DE}</x14:id>
        </ext>
      </extLst>
    </cfRule>
  </conditionalFormatting>
  <conditionalFormatting sqref="AP35">
    <cfRule type="dataBar" priority="27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{9C772704-7613-4178-B85A-B6C16E87E66C}</x14:id>
        </ext>
      </extLst>
    </cfRule>
    <cfRule type="dataBar" priority="270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{2BAF7B20-208A-4067-9375-93D66CBC8797}</x14:id>
        </ext>
      </extLst>
    </cfRule>
    <cfRule type="dataBar" priority="2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{76FFCE07-7E7E-4453-934B-394046651843}</x14:id>
        </ext>
      </extLst>
    </cfRule>
    <cfRule type="dataBar" priority="2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{20F72011-D0DB-47CF-8994-968B9CB807B3}</x14:id>
        </ext>
      </extLst>
    </cfRule>
    <cfRule type="dataBar" priority="27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{5529FEC4-657A-42CA-9B20-746924D34670}</x14:id>
        </ext>
      </extLst>
    </cfRule>
    <cfRule type="dataBar" priority="27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{D9DC8F27-BD6C-450A-A66C-E13F6A85600D}</x14:id>
        </ext>
      </extLst>
    </cfRule>
    <cfRule type="dataBar" priority="27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{8F8E6C28-A37F-453D-835A-4173186A3183}</x14:id>
        </ext>
      </extLst>
    </cfRule>
    <cfRule type="dataBar" priority="270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{826A46B0-0999-4AB3-A558-10B32668B2C3}</x14:id>
        </ext>
      </extLst>
    </cfRule>
    <cfRule type="dataBar" priority="269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{B16C2432-7500-442A-BE58-F5C2329B5EA1}</x14:id>
        </ext>
      </extLst>
    </cfRule>
  </conditionalFormatting>
  <conditionalFormatting sqref="AQ5">
    <cfRule type="dataBar" priority="9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{771B7168-F334-4194-868C-7DB705A5F18B}</x14:id>
        </ext>
      </extLst>
    </cfRule>
    <cfRule type="dataBar" priority="9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{EFE8C7E1-C40A-40F7-A299-878B26E984F0}</x14:id>
        </ext>
      </extLst>
    </cfRule>
    <cfRule type="dataBar" priority="94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{69EF4042-D579-49B4-8775-EA7CF11188EB}</x14:id>
        </ext>
      </extLst>
    </cfRule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{017A0AF3-9DAA-42B4-8834-7BEBE320B9A8}</x14:id>
        </ext>
      </extLst>
    </cfRule>
    <cfRule type="dataBar" priority="94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{01D9BBB3-3767-4E11-BA51-E6DE472A880E}</x14:id>
        </ext>
      </extLst>
    </cfRule>
    <cfRule type="dataBar" priority="94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{7C42C215-58DF-46D6-9AA0-81269B2FE6D6}</x14:id>
        </ext>
      </extLst>
    </cfRule>
    <cfRule type="dataBar" priority="94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{FD40BE98-40DF-4688-95C3-5AF262E4A339}</x14:id>
        </ext>
      </extLst>
    </cfRule>
    <cfRule type="dataBar" priority="95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{93ABBA3B-066A-4E02-A0E9-7EAE0E999098}</x14:id>
        </ext>
      </extLst>
    </cfRule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{88C14152-91B4-4ACA-9527-D4CDD79380A4}</x14:id>
        </ext>
      </extLst>
    </cfRule>
    <cfRule type="dataBar" priority="9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{ABBC27AC-6DA2-4B1A-9184-6F7B4DADC7BF}</x14:id>
        </ext>
      </extLst>
    </cfRule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{DA4DEBBC-5300-45A5-BCEB-8DE2053EA7F0}</x14:id>
        </ext>
      </extLst>
    </cfRule>
    <cfRule type="dataBar" priority="9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{B757B68B-F369-460C-8A85-AECF3D5B9495}</x14:id>
        </ext>
      </extLst>
    </cfRule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{F8516AD3-FD07-4566-8F54-9EEBD136115D}</x14:id>
        </ext>
      </extLst>
    </cfRule>
    <cfRule type="dataBar" priority="9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{063B4389-A62D-49FA-B092-905E8344F202}</x14:id>
        </ext>
      </extLst>
    </cfRule>
    <cfRule type="dataBar" priority="9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{44E501A6-CCA7-4F73-A59A-BBBA3542AEB3}</x14:id>
        </ext>
      </extLst>
    </cfRule>
    <cfRule type="dataBar" priority="9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{9B202A90-123C-4C7E-8FE8-84900C39FF3C}</x14:id>
        </ext>
      </extLst>
    </cfRule>
    <cfRule type="dataBar" priority="9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{3B4729E1-45D3-45E8-861E-549C58CBFCF2}</x14:id>
        </ext>
      </extLst>
    </cfRule>
    <cfRule type="dataBar" priority="9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{750E44A6-ED92-4523-B7C8-EB856F188AE1}</x14:id>
        </ext>
      </extLst>
    </cfRule>
    <cfRule type="dataBar" priority="9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{872E69FA-1267-4883-B992-A6DD06B7CE3B}</x14:id>
        </ext>
      </extLst>
    </cfRule>
    <cfRule type="dataBar" priority="9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{E600CA1D-B56C-4915-B6EF-DCA0B000A792}</x14:id>
        </ext>
      </extLst>
    </cfRule>
    <cfRule type="dataBar" priority="9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{4F338691-CD8C-4EA8-8497-9162411D11FD}</x14:id>
        </ext>
      </extLst>
    </cfRule>
    <cfRule type="dataBar" priority="9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{483C899B-16CA-455C-9031-024CB4FF9358}</x14:id>
        </ext>
      </extLst>
    </cfRule>
    <cfRule type="dataBar" priority="9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{D51EC8AE-3FB0-4111-80FC-7B1D0A11F4C8}</x14:id>
        </ext>
      </extLst>
    </cfRule>
    <cfRule type="dataBar" priority="9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{5A0264F0-AE72-4DD7-9D69-6871BAF7DC1A}</x14:id>
        </ext>
      </extLst>
    </cfRule>
    <cfRule type="dataBar" priority="9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{BF04872C-6A50-4E72-8052-9406868B8532}</x14:id>
        </ext>
      </extLst>
    </cfRule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{F9195806-C812-4C3C-BA2A-39389D6A70F3}</x14:id>
        </ext>
      </extLst>
    </cfRule>
    <cfRule type="dataBar" priority="9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{6C19CEFA-357D-4DB1-8C17-CF196F34567C}</x14:id>
        </ext>
      </extLst>
    </cfRule>
    <cfRule type="dataBar" priority="9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{F096A983-970F-4D75-B025-7B9470281003}</x14:id>
        </ext>
      </extLst>
    </cfRule>
    <cfRule type="dataBar" priority="9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{0B3A351C-249E-42D6-9371-B681E4607B0E}</x14:id>
        </ext>
      </extLst>
    </cfRule>
    <cfRule type="dataBar" priority="9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{EF6ED821-6DA0-4FD7-9DE9-5993A4136C73}</x14:id>
        </ext>
      </extLst>
    </cfRule>
  </conditionalFormatting>
  <conditionalFormatting sqref="AQ6:AQ7">
    <cfRule type="dataBar" priority="9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{A62D1018-A8BE-4478-B78C-14BF4BE7037D}</x14:id>
        </ext>
      </extLst>
    </cfRule>
    <cfRule type="dataBar" priority="93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{DF86756B-A714-453C-8A25-E46D25F7663D}</x14:id>
        </ext>
      </extLst>
    </cfRule>
    <cfRule type="dataBar" priority="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{EA92ED9F-A1DB-4DF0-8BD0-6C2342A474F6}</x14:id>
        </ext>
      </extLst>
    </cfRule>
    <cfRule type="dataBar" priority="9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{CD448BB5-9BBD-4015-8363-8B0EC8F3B966}</x14:id>
        </ext>
      </extLst>
    </cfRule>
    <cfRule type="dataBar" priority="9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{F7C2C3DE-D50B-4CD9-9440-09FE81A983A5}</x14:id>
        </ext>
      </extLst>
    </cfRule>
    <cfRule type="dataBar" priority="9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{D77BE1A3-B091-4324-8E65-68C03407EDF9}</x14:id>
        </ext>
      </extLst>
    </cfRule>
    <cfRule type="dataBar" priority="9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{588B6637-9C94-4445-98E0-4E6C117351E7}</x14:id>
        </ext>
      </extLst>
    </cfRule>
    <cfRule type="dataBar" priority="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{47C1910D-BAE2-43B4-8327-7A4562C25455}</x14:id>
        </ext>
      </extLst>
    </cfRule>
    <cfRule type="dataBar" priority="9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{FC3308EB-65E9-4487-9151-D57DAC96D2C3}</x14:id>
        </ext>
      </extLst>
    </cfRule>
    <cfRule type="dataBar" priority="91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{5F5F727C-42FB-424E-B417-E8027D2CF474}</x14:id>
        </ext>
      </extLst>
    </cfRule>
    <cfRule type="dataBar" priority="91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{054AD91E-E300-47B7-A122-E3EC42D6B248}</x14:id>
        </ext>
      </extLst>
    </cfRule>
    <cfRule type="dataBar" priority="92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{7C89F49F-348F-4F9E-A813-4A7C273D2771}</x14:id>
        </ext>
      </extLst>
    </cfRule>
    <cfRule type="dataBar" priority="9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{99A9CD74-08CE-4123-8D34-DA9FC581F6BB}</x14:id>
        </ext>
      </extLst>
    </cfRule>
    <cfRule type="dataBar" priority="9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{E2240325-DE74-42C7-B048-6EC4A4814A98}</x14:id>
        </ext>
      </extLst>
    </cfRule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{AB67D681-4762-4701-B5C4-0D94FEBE379E}</x14:id>
        </ext>
      </extLst>
    </cfRule>
    <cfRule type="dataBar" priority="9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{09DC5112-A73D-4F20-85CA-AF7AA3636C7A}</x14:id>
        </ext>
      </extLst>
    </cfRule>
    <cfRule type="dataBar" priority="9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{6B62EBFF-3AD2-4C73-AC96-196330FC83EF}</x14:id>
        </ext>
      </extLst>
    </cfRule>
    <cfRule type="dataBar" priority="9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{7286C591-F522-4A32-A237-A34C638EAE55}</x14:id>
        </ext>
      </extLst>
    </cfRule>
    <cfRule type="dataBar" priority="9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{7A318EF2-A105-4F58-9D77-FBD8A1B65A1A}</x14:id>
        </ext>
      </extLst>
    </cfRule>
    <cfRule type="dataBar" priority="9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{D0CF7DC3-D9A9-401A-A1C7-033E5B3112E4}</x14:id>
        </ext>
      </extLst>
    </cfRule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{4E7A7271-B950-45EE-A1E0-C315B56E41A4}</x14:id>
        </ext>
      </extLst>
    </cfRule>
    <cfRule type="dataBar" priority="9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{6CDF9B6B-1B87-4921-9316-1673C6CADB5F}</x14:id>
        </ext>
      </extLst>
    </cfRule>
    <cfRule type="dataBar" priority="9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{134C74BC-1AC9-4559-8C41-189E60E0FB64}</x14:id>
        </ext>
      </extLst>
    </cfRule>
    <cfRule type="dataBar" priority="9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{2723F15A-1B1D-4BE0-8FB4-9ECE86EB6159}</x14:id>
        </ext>
      </extLst>
    </cfRule>
    <cfRule type="dataBar" priority="9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{9EAA8DA9-07C8-4BB5-853E-9C4DBBD7FE18}</x14:id>
        </ext>
      </extLst>
    </cfRule>
    <cfRule type="dataBar" priority="91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{EFE1B58D-9CE8-4A9F-BE78-83FB46502AEB}</x14:id>
        </ext>
      </extLst>
    </cfRule>
    <cfRule type="dataBar" priority="9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{6077A37D-F8B3-422A-84B6-CD214657BD4F}</x14:id>
        </ext>
      </extLst>
    </cfRule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{D97F2726-910C-4D0B-8A2A-441AE5456BBA}</x14:id>
        </ext>
      </extLst>
    </cfRule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{F525E03A-1FF7-4A0C-AB79-495D9E4A6817}</x14:id>
        </ext>
      </extLst>
    </cfRule>
    <cfRule type="dataBar" priority="9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{DD765797-1EEF-4236-9B53-484918CBA59B}</x14:id>
        </ext>
      </extLst>
    </cfRule>
  </conditionalFormatting>
  <conditionalFormatting sqref="AQ8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{0845383C-572C-4DB4-97F7-40077DCC736C}</x14:id>
        </ext>
      </extLst>
    </cfRule>
    <cfRule type="dataBar" priority="4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{641C0CB2-0CF5-4856-A244-F616B9164543}</x14:id>
        </ext>
      </extLst>
    </cfRule>
    <cfRule type="dataBar" priority="4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{B518FCFF-A659-4510-8F46-4F0093640419}</x14:id>
        </ext>
      </extLst>
    </cfRule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{469EE64C-CF4C-41D1-B086-AB2B765536C0}</x14:id>
        </ext>
      </extLst>
    </cfRule>
    <cfRule type="dataBar" priority="4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{04F42570-95AD-4057-83A4-3564885EA4E6}</x14:id>
        </ext>
      </extLst>
    </cfRule>
    <cfRule type="dataBar" priority="4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{DCD22223-F961-4498-A502-0758B8150430}</x14:id>
        </ext>
      </extLst>
    </cfRule>
    <cfRule type="dataBar" priority="4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{8C4FE620-0B86-4624-9515-4712ADC8A7F3}</x14:id>
        </ext>
      </extLst>
    </cfRule>
    <cfRule type="dataBar" priority="4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{0D02F592-E562-41DC-B215-0E84AB15510B}</x14:id>
        </ext>
      </extLst>
    </cfRule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{437EAC89-1215-4F23-A6E2-DAC70DB359D6}</x14:id>
        </ext>
      </extLst>
    </cfRule>
    <cfRule type="dataBar" priority="4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{21D62CBD-4060-4B83-9B65-03A5DF5BC731}</x14:id>
        </ext>
      </extLst>
    </cfRule>
    <cfRule type="dataBar" priority="4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{C9AF22B4-F644-4BF1-95D5-FFE5140AA380}</x14:id>
        </ext>
      </extLst>
    </cfRule>
    <cfRule type="dataBar" priority="4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{3A08B2F0-65B7-47D0-B40F-577C3BAF8D51}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{2C56D400-9BFC-428E-BFB7-34540E822123}</x14:id>
        </ext>
      </extLst>
    </cfRule>
  </conditionalFormatting>
  <conditionalFormatting sqref="AQ9:AQ10">
    <cfRule type="dataBar" priority="88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{6EDBF96D-2637-47B9-BD03-490DD4B7019B}</x14:id>
        </ext>
      </extLst>
    </cfRule>
    <cfRule type="dataBar" priority="90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{04C74170-C356-4C4E-9E46-024B5BFC0282}</x14:id>
        </ext>
      </extLst>
    </cfRule>
    <cfRule type="dataBar" priority="90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{99C11E7B-02D0-4C27-852A-7E40478FBD8C}</x14:id>
        </ext>
      </extLst>
    </cfRule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{032FF539-6A7F-4199-AC43-E19C59A6766F}</x14:id>
        </ext>
      </extLst>
    </cfRule>
    <cfRule type="dataBar" priority="90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{AEA3A317-9C1C-4440-9A11-A11CCBAECA1D}</x14:id>
        </ext>
      </extLst>
    </cfRule>
    <cfRule type="dataBar" priority="90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{BCF8EAF0-802B-4B35-9CC8-B7802B22DA11}</x14:id>
        </ext>
      </extLst>
    </cfRule>
    <cfRule type="dataBar" priority="88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{3FCA00F7-31BA-43E6-AD8F-A59437B566A6}</x14:id>
        </ext>
      </extLst>
    </cfRule>
    <cfRule type="dataBar" priority="89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{2C36FAEA-522F-4889-B53B-9ACBA5C1B5A0}</x14:id>
        </ext>
      </extLst>
    </cfRule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{7B8E6394-EA1C-41CA-9B8F-F94547E7EB12}</x14:id>
        </ext>
      </extLst>
    </cfRule>
    <cfRule type="dataBar" priority="89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{961E0A85-715C-4B01-A429-8D851311239C}</x14:id>
        </ext>
      </extLst>
    </cfRule>
    <cfRule type="dataBar" priority="8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{748F601B-0F0E-4CB5-9073-FACE1131CB11}</x14:id>
        </ext>
      </extLst>
    </cfRule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{F5FE6A0B-D9CB-4840-B403-791DFB2F83E2}</x14:id>
        </ext>
      </extLst>
    </cfRule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{808758DE-FF98-42D4-8817-7CFBCA8CF92F}</x14:id>
        </ext>
      </extLst>
    </cfRule>
    <cfRule type="dataBar" priority="8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{755BFBE4-4E2A-4BCA-A7CD-AC8769C00226}</x14:id>
        </ext>
      </extLst>
    </cfRule>
    <cfRule type="dataBar" priority="8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{76FE89B1-49F1-4ED7-8872-EB6E861EBCF1}</x14:id>
        </ext>
      </extLst>
    </cfRule>
    <cfRule type="dataBar" priority="89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{F9E31583-46BB-46C3-94E7-00868E4D305B}</x14:id>
        </ext>
      </extLst>
    </cfRule>
    <cfRule type="dataBar" priority="88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{A4DAF5C4-06A7-426E-B6E1-9E1F16C2AD7C}</x14:id>
        </ext>
      </extLst>
    </cfRule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{0F60B87A-A317-4559-A2EF-1082E5E56285}</x14:id>
        </ext>
      </extLst>
    </cfRule>
    <cfRule type="dataBar" priority="88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{FC67E117-EBB1-42F1-94B0-8A1A7327DD15}</x14:id>
        </ext>
      </extLst>
    </cfRule>
    <cfRule type="dataBar" priority="8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{87283BF1-15A7-4174-890C-3266D4BC9160}</x14:id>
        </ext>
      </extLst>
    </cfRule>
    <cfRule type="dataBar" priority="8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{AE467F56-2BF8-42B5-9E65-A7F45117519A}</x14:id>
        </ext>
      </extLst>
    </cfRule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{BC62E7C6-A67B-4749-A70A-EE4ADD8B6BB9}</x14:id>
        </ext>
      </extLst>
    </cfRule>
    <cfRule type="dataBar" priority="88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{387A0C41-AB3F-4069-A3D4-19102A69D908}</x14:id>
        </ext>
      </extLst>
    </cfRule>
    <cfRule type="dataBar" priority="8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{7B75FC91-C6B4-4A3A-B319-3D9E22D784A8}</x14:id>
        </ext>
      </extLst>
    </cfRule>
    <cfRule type="dataBar" priority="8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{72930A17-80B1-4587-AF9C-409C9987CCB6}</x14:id>
        </ext>
      </extLst>
    </cfRule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{A928EDC6-9041-4590-BAF8-8ABC78A255CF}</x14:id>
        </ext>
      </extLst>
    </cfRule>
    <cfRule type="dataBar" priority="8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{55E840D2-5ACF-4CCF-A767-F48DF4FD009E}</x14:id>
        </ext>
      </extLst>
    </cfRule>
    <cfRule type="dataBar" priority="8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{682B9925-D79A-4D56-B8A5-EC68D0811E80}</x14:id>
        </ext>
      </extLst>
    </cfRule>
    <cfRule type="dataBar" priority="8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{4CB0A99D-00C4-4C8C-95AB-069D17D7C2D7}</x14:id>
        </ext>
      </extLst>
    </cfRule>
    <cfRule type="dataBar" priority="89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{4B30784E-99F4-4CDC-9DF9-43EBE3ED5D3B}</x14:id>
        </ext>
      </extLst>
    </cfRule>
  </conditionalFormatting>
  <conditionalFormatting sqref="AQ11">
    <cfRule type="dataBar" priority="1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{08661F76-59DB-4374-9AEE-36DC52DDFBC3}</x14:id>
        </ext>
      </extLst>
    </cfRule>
    <cfRule type="dataBar" priority="1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{FBCD7DC4-AF30-49C9-A45A-C199F50A2122}</x14:id>
        </ext>
      </extLst>
    </cfRule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{F5A5CDAB-0B0C-45B6-B6DB-914300FC5E0A}</x14:id>
        </ext>
      </extLst>
    </cfRule>
    <cfRule type="dataBar" priority="1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{495EE216-2A35-4A78-AF91-D5B559B19B3F}</x14:id>
        </ext>
      </extLst>
    </cfRule>
    <cfRule type="dataBar" priority="17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{DFE2CD0C-F930-410E-BC6C-BCB82D425C09}</x14:id>
        </ext>
      </extLst>
    </cfRule>
    <cfRule type="dataBar" priority="17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{CAFE78EC-A11F-4764-82FB-243277B16C6A}</x14:id>
        </ext>
      </extLst>
    </cfRule>
    <cfRule type="dataBar" priority="18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{7F55CCCD-99F2-4095-ADE2-5C8671823F39}</x14:id>
        </ext>
      </extLst>
    </cfRule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{4664D3E7-4D3F-4A36-BAF3-4C28DBFF7C51}</x14:id>
        </ext>
      </extLst>
    </cfRule>
    <cfRule type="dataBar" priority="1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{3B878101-AACD-4175-96A4-BC85FEDEEA0E}</x14:id>
        </ext>
      </extLst>
    </cfRule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{F00C8C75-E38B-4A0D-A35D-FC175DC54A21}</x14:id>
        </ext>
      </extLst>
    </cfRule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{C7AB63DD-1DC5-4711-A3C7-265AC20209E0}</x14:id>
        </ext>
      </extLst>
    </cfRule>
    <cfRule type="dataBar" priority="1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{0E8C9ED5-A35C-4B2B-8602-EA5B6A12D1D5}</x14:id>
        </ext>
      </extLst>
    </cfRule>
    <cfRule type="dataBar" priority="1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{1CD14F1E-5220-4725-839F-6DC3717DC378}</x14:id>
        </ext>
      </extLst>
    </cfRule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{801F9CC2-B9CF-4FAE-ABF7-9A8CAE82229B}</x14:id>
        </ext>
      </extLst>
    </cfRule>
    <cfRule type="dataBar" priority="1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{EA20ADDA-143E-4332-810E-509583DF836A}</x14:id>
        </ext>
      </extLst>
    </cfRule>
    <cfRule type="dataBar" priority="1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{21CB0B10-E902-499C-AA83-DEE577D7FE10}</x14:id>
        </ext>
      </extLst>
    </cfRule>
    <cfRule type="dataBar" priority="1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{1FA45E5A-34BB-4601-8550-DB37D6F4B7EB}</x14:id>
        </ext>
      </extLst>
    </cfRule>
    <cfRule type="dataBar" priority="1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{1760D894-B270-4241-80D8-846F24B8D700}</x14:id>
        </ext>
      </extLst>
    </cfRule>
    <cfRule type="dataBar" priority="1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{20F4FA20-6B2D-47F2-94B7-916407055E10}</x14:id>
        </ext>
      </extLst>
    </cfRule>
    <cfRule type="dataBar" priority="19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{9D0295A9-CF1A-4A6A-BF7D-CF0D729A6982}</x14:id>
        </ext>
      </extLst>
    </cfRule>
    <cfRule type="dataBar" priority="1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{9AE1AADC-3651-4732-9094-90C1D1903252}</x14:id>
        </ext>
      </extLst>
    </cfRule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{3561274E-DA99-48BB-9618-EB33DE880E1D}</x14:id>
        </ext>
      </extLst>
    </cfRule>
    <cfRule type="dataBar" priority="1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{E41E73CB-4770-424B-92E3-6460F7F2328F}</x14:id>
        </ext>
      </extLst>
    </cfRule>
    <cfRule type="dataBar" priority="1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{889459AD-B5A2-4226-8C41-5D98C0250497}</x14:id>
        </ext>
      </extLst>
    </cfRule>
    <cfRule type="dataBar" priority="1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{1CC0EB4E-41CC-4E2B-BD02-AF4DE75357D4}</x14:id>
        </ext>
      </extLst>
    </cfRule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{A71DE6C7-869F-4D3E-8095-402FC4575E13}</x14:id>
        </ext>
      </extLst>
    </cfRule>
    <cfRule type="dataBar" priority="1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{626EA078-71C3-422C-ABE5-6F91DF182843}</x14:id>
        </ext>
      </extLst>
    </cfRule>
    <cfRule type="dataBar" priority="1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{69EEF669-D209-4D6D-AA92-33E7411179A4}</x14:id>
        </ext>
      </extLst>
    </cfRule>
    <cfRule type="dataBar" priority="17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{3961283B-FD16-45AE-B1B1-355DCF5E7126}</x14:id>
        </ext>
      </extLst>
    </cfRule>
    <cfRule type="dataBar" priority="1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{F8C96E8C-FA11-4012-9CA8-5F3D2D9D4759}</x14:id>
        </ext>
      </extLst>
    </cfRule>
  </conditionalFormatting>
  <conditionalFormatting sqref="AQ12:AQ13">
    <cfRule type="dataBar" priority="4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{51112EB9-58AA-4AB2-9FAD-95BAE4D4080C}</x14:id>
        </ext>
      </extLst>
    </cfRule>
    <cfRule type="dataBar" priority="41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{A42AF69F-DC80-4D5A-9E31-87AB246C9EC6}</x14:id>
        </ext>
      </extLst>
    </cfRule>
    <cfRule type="dataBar" priority="4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{2CC3E18F-5602-498E-B023-A3B9B0BD80FD}</x14:id>
        </ext>
      </extLst>
    </cfRule>
    <cfRule type="dataBar" priority="42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{AC421010-A1DB-4C05-BDAC-CFFD51E4200D}</x14:id>
        </ext>
      </extLst>
    </cfRule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{CBCC7A19-1A1A-4278-9F3F-F4504671B392}</x14:id>
        </ext>
      </extLst>
    </cfRule>
    <cfRule type="dataBar" priority="41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{DBD56B8D-167A-448F-A442-7F3EA2B1DB27}</x14:id>
        </ext>
      </extLst>
    </cfRule>
    <cfRule type="dataBar" priority="41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{CE766988-48A0-4537-9993-6F5C9B5E17F8}</x14:id>
        </ext>
      </extLst>
    </cfRule>
    <cfRule type="dataBar" priority="41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{A2F1A90E-B9B4-4A41-A591-42C6B5305DA1}</x14:id>
        </ext>
      </extLst>
    </cfRule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{60036308-D6C3-4826-9D66-457A6EDD8FEA}</x14:id>
        </ext>
      </extLst>
    </cfRule>
    <cfRule type="dataBar" priority="41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{93535100-78CB-4B36-BBB0-28D09423C45E}</x14:id>
        </ext>
      </extLst>
    </cfRule>
    <cfRule type="dataBar" priority="41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{E7B1C847-5B1C-40C7-AF49-42DBFAD77BDC}</x14:id>
        </ext>
      </extLst>
    </cfRule>
    <cfRule type="dataBar" priority="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{F0E8F115-DB73-4F10-849B-FD9F25DEFF71}</x14:id>
        </ext>
      </extLst>
    </cfRule>
    <cfRule type="dataBar" priority="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{3133D1A1-158C-42AD-A736-6FFD9D279FB0}</x14:id>
        </ext>
      </extLst>
    </cfRule>
  </conditionalFormatting>
  <conditionalFormatting sqref="AQ14:AQ19">
    <cfRule type="dataBar" priority="1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{36C51E94-8F33-46D8-ACC5-06FEC2AAC248}</x14:id>
        </ext>
      </extLst>
    </cfRule>
    <cfRule type="dataBar" priority="1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{CCA2C9DB-25BC-4C50-B8E5-3C699A6A54E7}</x14:id>
        </ext>
      </extLst>
    </cfRule>
    <cfRule type="dataBar" priority="11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{6F93A306-04BC-4105-A1D5-C41CBD9D4137}</x14:id>
        </ext>
      </extLst>
    </cfRule>
    <cfRule type="dataBar" priority="11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{5AD7B4CB-DE03-48A1-BFE7-0028645422D6}</x14:id>
        </ext>
      </extLst>
    </cfRule>
    <cfRule type="dataBar" priority="114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{F9A15D29-1EE4-4301-A763-ADFB12E9B1FA}</x14:id>
        </ext>
      </extLst>
    </cfRule>
    <cfRule type="dataBar" priority="1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{27183EB4-AE33-408F-A03B-D1173C59E001}</x14:id>
        </ext>
      </extLst>
    </cfRule>
    <cfRule type="dataBar" priority="11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{D59EFCF4-4EE5-4091-86B2-EEB95F700923}</x14:id>
        </ext>
      </extLst>
    </cfRule>
    <cfRule type="dataBar" priority="1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{37CD3D4A-86C0-447E-BEC6-18E0758C0054}</x14:id>
        </ext>
      </extLst>
    </cfRule>
    <cfRule type="dataBar" priority="11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{4D7DCA1A-851F-4A86-A502-8F7E4B5BD14D}</x14:id>
        </ext>
      </extLst>
    </cfRule>
    <cfRule type="dataBar" priority="11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{A953A37E-BC72-4923-BE14-0E76B3145101}</x14:id>
        </ext>
      </extLst>
    </cfRule>
    <cfRule type="dataBar" priority="11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{CB481E24-2D66-47CF-B3EF-059360BBD981}</x14:id>
        </ext>
      </extLst>
    </cfRule>
    <cfRule type="dataBar" priority="1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{3A147C13-9A53-4F6A-B1FD-5F606C4784B9}</x14:id>
        </ext>
      </extLst>
    </cfRule>
    <cfRule type="dataBar" priority="11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{EA84AF9F-43BD-44DE-9A9B-F2D7FCE750B8}</x14:id>
        </ext>
      </extLst>
    </cfRule>
    <cfRule type="dataBar" priority="116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{74F5FF15-8D24-4F82-9371-CF6C4D57222F}</x14:id>
        </ext>
      </extLst>
    </cfRule>
    <cfRule type="dataBar" priority="115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{C484BAC7-9762-48A2-99E2-C1A11C851960}</x14:id>
        </ext>
      </extLst>
    </cfRule>
    <cfRule type="dataBar" priority="115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{0769C91F-5878-464E-90C9-FFC72DFF1529}</x14:id>
        </ext>
      </extLst>
    </cfRule>
    <cfRule type="dataBar" priority="115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{CA554031-9D33-4DD5-871C-A9E3A11B1399}</x14:id>
        </ext>
      </extLst>
    </cfRule>
    <cfRule type="dataBar" priority="1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{278E5F8D-1A3F-4729-B214-1E431C3D71B2}</x14:id>
        </ext>
      </extLst>
    </cfRule>
    <cfRule type="dataBar" priority="115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{63C5BDDF-6CFB-4851-AF9E-2A463E0EE105}</x14:id>
        </ext>
      </extLst>
    </cfRule>
    <cfRule type="dataBar" priority="11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{349FA993-CCCC-44F7-BCB2-2234151EAA61}</x14:id>
        </ext>
      </extLst>
    </cfRule>
    <cfRule type="dataBar" priority="11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{197F4E45-3CF2-4717-94B5-2C424BE73896}</x14:id>
        </ext>
      </extLst>
    </cfRule>
    <cfRule type="dataBar" priority="11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{0C1C6CF2-4182-4B78-8857-16E9666C6C27}</x14:id>
        </ext>
      </extLst>
    </cfRule>
    <cfRule type="dataBar" priority="11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{B541F604-55B8-4885-AFBE-9651BE8282B7}</x14:id>
        </ext>
      </extLst>
    </cfRule>
    <cfRule type="dataBar" priority="1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{D819EE5C-2D6B-4CBB-9F04-D5A87D0D3E8A}</x14:id>
        </ext>
      </extLst>
    </cfRule>
    <cfRule type="dataBar" priority="11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{9AA5B0E6-D32F-4D97-A2A9-E1DAB4A15DA5}</x14:id>
        </ext>
      </extLst>
    </cfRule>
    <cfRule type="dataBar" priority="11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{76FEFEFA-0943-4144-AE34-48F7669F08CE}</x14:id>
        </ext>
      </extLst>
    </cfRule>
    <cfRule type="dataBar" priority="11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{B22D690C-75FD-4DE9-B4DF-B31AECF6A4EC}</x14:id>
        </ext>
      </extLst>
    </cfRule>
    <cfRule type="dataBar" priority="11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{6142CC2D-50EB-4A72-A59B-B277523245D5}</x14:id>
        </ext>
      </extLst>
    </cfRule>
    <cfRule type="dataBar" priority="1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{54D2794A-D6B5-4339-8713-A4F0B872F561}</x14:id>
        </ext>
      </extLst>
    </cfRule>
    <cfRule type="dataBar" priority="11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{7E384FE2-F548-498E-ADF3-E0EBEE9E8F42}</x14:id>
        </ext>
      </extLst>
    </cfRule>
  </conditionalFormatting>
  <conditionalFormatting sqref="AQ20">
    <cfRule type="dataBar" priority="40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{906284A3-E3D7-400C-B241-5D55BBFF4AE8}</x14:id>
        </ext>
      </extLst>
    </cfRule>
    <cfRule type="dataBar" priority="40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{BE5C8783-4979-4FC1-B222-82F58CF84D2A}</x14:id>
        </ext>
      </extLst>
    </cfRule>
    <cfRule type="dataBar" priority="4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{EA3872DC-2095-4ABC-81A5-4D20C53F259B}</x14:id>
        </ext>
      </extLst>
    </cfRule>
    <cfRule type="dataBar" priority="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{418E389C-32DE-4C02-BA08-BA98BBC416FA}</x14:id>
        </ext>
      </extLst>
    </cfRule>
    <cfRule type="dataBar" priority="40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{2AEC55B5-8DDC-413E-97CF-493D873A1005}</x14:id>
        </ext>
      </extLst>
    </cfRule>
    <cfRule type="dataBar" priority="40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{D8FF7BFF-C1EE-4A97-A41A-80C33E7322A7}</x14:id>
        </ext>
      </extLst>
    </cfRule>
    <cfRule type="dataBar" priority="40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{9F3EDC13-E7F6-47B6-BE18-C6DFF3B73C69}</x14:id>
        </ext>
      </extLst>
    </cfRule>
    <cfRule type="dataBar" priority="4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{4F981CA0-7891-4CFE-9BA1-08D7AF86BBAD}</x14:id>
        </ext>
      </extLst>
    </cfRule>
    <cfRule type="dataBar" priority="40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{56D60C36-9741-487C-9DEB-EE0899699F38}</x14:id>
        </ext>
      </extLst>
    </cfRule>
    <cfRule type="dataBar" priority="4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{52A90518-D993-4565-94AB-9C88F0668036}</x14:id>
        </ext>
      </extLst>
    </cfRule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{46BF093A-BAFF-4EF0-802B-1C60199C56E0}</x14:id>
        </ext>
      </extLst>
    </cfRule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{8963F080-78FA-45A5-BE24-73B3680B0A01}</x14:id>
        </ext>
      </extLst>
    </cfRule>
    <cfRule type="dataBar" priority="39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{3B2C192E-BFDA-4650-BEED-13430F95E9CB}</x14:id>
        </ext>
      </extLst>
    </cfRule>
  </conditionalFormatting>
  <conditionalFormatting sqref="AQ21:AQ24">
    <cfRule type="dataBar" priority="27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{916EE880-7CC4-4C80-A799-2BA16D159577}</x14:id>
        </ext>
      </extLst>
    </cfRule>
    <cfRule type="dataBar" priority="27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{3171D58C-C237-456B-9AE7-0DF09F7CED27}</x14:id>
        </ext>
      </extLst>
    </cfRule>
    <cfRule type="dataBar" priority="27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{63E1C489-C699-4B70-A0F3-5E0AD036C16A}</x14:id>
        </ext>
      </extLst>
    </cfRule>
    <cfRule type="dataBar" priority="27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{D7FBA7E0-938B-4E0B-AD1D-38BB47F785AF}</x14:id>
        </ext>
      </extLst>
    </cfRule>
    <cfRule type="dataBar" priority="27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{B883E1B2-6E54-4668-8166-E2C2539D9312}</x14:id>
        </ext>
      </extLst>
    </cfRule>
    <cfRule type="dataBar" priority="27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{183B2CFB-0B62-42B7-B5BE-0CD79AE55F01}</x14:id>
        </ext>
      </extLst>
    </cfRule>
    <cfRule type="dataBar" priority="274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{90E29040-6FFC-49CB-8863-347BA54905AC}</x14:id>
        </ext>
      </extLst>
    </cfRule>
    <cfRule type="dataBar" priority="2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{5C36EEA1-8EB5-4BD4-A0AB-C85D659CD944}</x14:id>
        </ext>
      </extLst>
    </cfRule>
    <cfRule type="dataBar" priority="2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{66943710-CBC2-4473-AD48-3A35168040F6}</x14:id>
        </ext>
      </extLst>
    </cfRule>
    <cfRule type="dataBar" priority="27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{067EE13E-02E1-4603-8582-7B09EBE0A2AC}</x14:id>
        </ext>
      </extLst>
    </cfRule>
    <cfRule type="dataBar" priority="2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{20C5DC36-F55E-48A5-A195-C09ADAF0E5B6}</x14:id>
        </ext>
      </extLst>
    </cfRule>
    <cfRule type="dataBar" priority="2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{EA59CEDD-268D-428D-A1ED-FEF8D90D96A6}</x14:id>
        </ext>
      </extLst>
    </cfRule>
    <cfRule type="dataBar" priority="27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{974FC2D8-E549-4B7F-A511-239BE84825AC}</x14:id>
        </ext>
      </extLst>
    </cfRule>
    <cfRule type="dataBar" priority="27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{F65AE71E-DBC0-4F27-8F43-4C1EC1C131D3}</x14:id>
        </ext>
      </extLst>
    </cfRule>
    <cfRule type="dataBar" priority="2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{91D5CB7D-C3D1-4F81-A9C7-6E4E45F67050}</x14:id>
        </ext>
      </extLst>
    </cfRule>
    <cfRule type="dataBar" priority="27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{6881EA75-534E-4031-B672-D05F4400EDDA}</x14:id>
        </ext>
      </extLst>
    </cfRule>
    <cfRule type="dataBar" priority="274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{225D31AA-EDDB-4BCB-982D-18BD58F91FB2}</x14:id>
        </ext>
      </extLst>
    </cfRule>
  </conditionalFormatting>
  <conditionalFormatting sqref="AQ25"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{D066A279-3C7E-4E53-830E-E7228B6EFFF9}</x14:id>
        </ext>
      </extLst>
    </cfRule>
    <cfRule type="dataBar" priority="3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{03F28ADB-E7CD-494C-8D04-C724A6A83A75}</x14:id>
        </ext>
      </extLst>
    </cfRule>
    <cfRule type="dataBar" priority="3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{0B0FB51A-5977-4AD2-8658-5D35ED823CED}</x14:id>
        </ext>
      </extLst>
    </cfRule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{CB90A57A-7E1B-4FF8-A880-BCB117FC2D19}</x14:id>
        </ext>
      </extLst>
    </cfRule>
    <cfRule type="dataBar" priority="39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{E9FC42D6-3903-4403-B34C-B3517B0A400A}</x14:id>
        </ext>
      </extLst>
    </cfRule>
    <cfRule type="dataBar" priority="39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{DAFEC053-3B25-4277-BF51-61312F89BF22}</x14:id>
        </ext>
      </extLst>
    </cfRule>
    <cfRule type="dataBar" priority="39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{33BD8991-F884-41A1-93C4-1D541EC7FA8A}</x14:id>
        </ext>
      </extLst>
    </cfRule>
    <cfRule type="dataBar" priority="39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{9BF84EA5-E464-4BE4-9647-FA71FF499A48}</x14:id>
        </ext>
      </extLst>
    </cfRule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{2309D224-233E-4CD6-B797-7F933752A938}</x14:id>
        </ext>
      </extLst>
    </cfRule>
    <cfRule type="dataBar" priority="39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{58683EC2-5F9C-498A-B78E-0AC757ADF619}</x14:id>
        </ext>
      </extLst>
    </cfRule>
    <cfRule type="dataBar" priority="3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{6A75105C-DA16-4550-9114-565E500F7B5C}</x14:id>
        </ext>
      </extLst>
    </cfRule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{659D6EDF-9ADE-44F1-AB8F-55678CB21EF4}</x14:id>
        </ext>
      </extLst>
    </cfRule>
    <cfRule type="dataBar" priority="39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{0F27F78D-E9F5-4454-B8B6-64BBBEA2F9A9}</x14:id>
        </ext>
      </extLst>
    </cfRule>
  </conditionalFormatting>
  <conditionalFormatting sqref="AQ26:AQ32">
    <cfRule type="dataBar" priority="1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{91336053-C02B-409F-9925-24A6A2AE096D}</x14:id>
        </ext>
      </extLst>
    </cfRule>
    <cfRule type="dataBar" priority="11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{F0D53954-6311-4D9D-8C53-51663D7092AE}</x14:id>
        </ext>
      </extLst>
    </cfRule>
    <cfRule type="dataBar" priority="11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{C47F6F12-EE37-4B2D-BD44-9109BA6115EB}</x14:id>
        </ext>
      </extLst>
    </cfRule>
    <cfRule type="dataBar" priority="11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{C8FC3132-9408-41D0-BBCB-CD94CF898469}</x14:id>
        </ext>
      </extLst>
    </cfRule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{DB17785E-000D-4887-8397-EA28F90C4A53}</x14:id>
        </ext>
      </extLst>
    </cfRule>
    <cfRule type="dataBar" priority="11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{1A385491-22B6-47D2-B9F8-376BA48AA535}</x14:id>
        </ext>
      </extLst>
    </cfRule>
    <cfRule type="dataBar" priority="11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{0BAFACC5-B6C7-4097-A017-67DCE0414B2A}</x14:id>
        </ext>
      </extLst>
    </cfRule>
    <cfRule type="dataBar" priority="11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{9FB1609C-07D5-4F0E-901F-3299F9C123B0}</x14:id>
        </ext>
      </extLst>
    </cfRule>
    <cfRule type="dataBar" priority="1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{DF055D95-1EC4-41D5-A8AD-0059E226E38C}</x14:id>
        </ext>
      </extLst>
    </cfRule>
    <cfRule type="dataBar" priority="112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{3532E4DC-617E-4D4B-9CE0-FF7534FF9DF8}</x14:id>
        </ext>
      </extLst>
    </cfRule>
    <cfRule type="dataBar" priority="112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{8F5298B2-E81E-431A-98F9-0EBDF6097884}</x14:id>
        </ext>
      </extLst>
    </cfRule>
    <cfRule type="dataBar" priority="112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{9B83EF21-D470-48B5-873A-456FC9592A2D}</x14:id>
        </ext>
      </extLst>
    </cfRule>
    <cfRule type="dataBar" priority="113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{39FCB527-77E7-4D0C-ADF2-9944F0CF7B94}</x14:id>
        </ext>
      </extLst>
    </cfRule>
    <cfRule type="dataBar" priority="1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{D02F298C-2E52-4A4A-A07B-ACDDD97F90C8}</x14:id>
        </ext>
      </extLst>
    </cfRule>
    <cfRule type="dataBar" priority="11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{1E1D34AF-A8F6-4C64-9A5E-9A479FCC164D}</x14:id>
        </ext>
      </extLst>
    </cfRule>
    <cfRule type="dataBar" priority="1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{3EB931D7-4802-49E8-8B95-5386CF292A77}</x14:id>
        </ext>
      </extLst>
    </cfRule>
    <cfRule type="dataBar" priority="1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{3E9993C3-CA5D-4966-BF7D-8AD16D10098D}</x14:id>
        </ext>
      </extLst>
    </cfRule>
    <cfRule type="dataBar" priority="11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{DFD398B2-2131-4F04-94B9-A8F4C3A9451C}</x14:id>
        </ext>
      </extLst>
    </cfRule>
    <cfRule type="dataBar" priority="11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{D269E43C-3A09-449D-A0A5-7EFD28DCA34F}</x14:id>
        </ext>
      </extLst>
    </cfRule>
    <cfRule type="dataBar" priority="1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{B3FD0564-F1F1-4C73-B890-82E651F50ECE}</x14:id>
        </ext>
      </extLst>
    </cfRule>
    <cfRule type="dataBar" priority="11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{D16A319A-F9FC-4FFE-B4B3-5C9410F6C2D1}</x14:id>
        </ext>
      </extLst>
    </cfRule>
    <cfRule type="dataBar" priority="113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{0812915E-19D8-4096-B900-74449A40D351}</x14:id>
        </ext>
      </extLst>
    </cfRule>
    <cfRule type="dataBar" priority="114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{CC4286A2-A2F8-41A4-B96F-8D78E8B43BB0}</x14:id>
        </ext>
      </extLst>
    </cfRule>
    <cfRule type="dataBar" priority="114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{8C294166-398A-4AFC-B9FF-F2F9D0EFF94B}</x14:id>
        </ext>
      </extLst>
    </cfRule>
    <cfRule type="dataBar" priority="1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{A431A6EF-8D1F-41B9-986B-321C61E4B2D5}</x14:id>
        </ext>
      </extLst>
    </cfRule>
    <cfRule type="dataBar" priority="114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{5D93A51C-F586-43D6-BEA7-C94BB3553D13}</x14:id>
        </ext>
      </extLst>
    </cfRule>
    <cfRule type="dataBar" priority="11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{AC04AD5B-DE95-438E-954E-AB7CF9C943A0}</x14:id>
        </ext>
      </extLst>
    </cfRule>
    <cfRule type="dataBar" priority="11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{22FD12F2-6BCD-48D9-87C7-077F39D4C402}</x14:id>
        </ext>
      </extLst>
    </cfRule>
    <cfRule type="dataBar" priority="11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{F558FBAA-D339-4666-ABF0-3268B242B8E3}</x14:id>
        </ext>
      </extLst>
    </cfRule>
    <cfRule type="dataBar" priority="11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{A8425A15-D7A3-4F56-A083-FD413C061D77}</x14:id>
        </ext>
      </extLst>
    </cfRule>
  </conditionalFormatting>
  <conditionalFormatting sqref="AQ33">
    <cfRule type="dataBar" priority="3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{748F6716-9EAA-4B09-BB82-F36021631977}</x14:id>
        </ext>
      </extLst>
    </cfRule>
    <cfRule type="dataBar" priority="3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{8485D976-6B23-4A2E-8A15-C81EE4FCCF6A}</x14:id>
        </ext>
      </extLst>
    </cfRule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{A8486E7A-F82C-427A-91A8-CD5C7E3842E6}</x14:id>
        </ext>
      </extLst>
    </cfRule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{F62044EA-46F7-480B-8643-A71A63C29F50}</x14:id>
        </ext>
      </extLst>
    </cfRule>
    <cfRule type="dataBar" priority="37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{BFA454E8-FDCA-48A4-A57B-02339EA89F04}</x14:id>
        </ext>
      </extLst>
    </cfRule>
    <cfRule type="dataBar" priority="3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{7FCB695E-F8AD-4920-99C1-11357879C79A}</x14:id>
        </ext>
      </extLst>
    </cfRule>
    <cfRule type="dataBar" priority="3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{7FF39FB0-1FFB-4CFD-ABA6-D2ABA8CC86AF}</x14:id>
        </ext>
      </extLst>
    </cfRule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{1104B7A0-BB2D-4266-B022-01F5F95FF906}</x14:id>
        </ext>
      </extLst>
    </cfRule>
    <cfRule type="dataBar" priority="3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{279BCAFB-2352-4936-A63C-156D990888F6}</x14:id>
        </ext>
      </extLst>
    </cfRule>
    <cfRule type="dataBar" priority="37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{A7D1B49F-39AC-43EC-B05A-CEBD15D5E95B}</x14:id>
        </ext>
      </extLst>
    </cfRule>
    <cfRule type="dataBar" priority="37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{C281DEE0-4E1F-4DD4-A579-7C0CFC559468}</x14:id>
        </ext>
      </extLst>
    </cfRule>
    <cfRule type="dataBar" priority="38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{63A0D723-112F-4C3B-A378-0CCE96C44606}</x14:id>
        </ext>
      </extLst>
    </cfRule>
    <cfRule type="dataBar" priority="38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{1EF153A3-BFE1-4A7D-A629-D8EA5F8C9BED}</x14:id>
        </ext>
      </extLst>
    </cfRule>
  </conditionalFormatting>
  <conditionalFormatting sqref="AQ34">
    <cfRule type="dataBar" priority="8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{F802A89A-2CB5-4149-B251-0334CA15040E}</x14:id>
        </ext>
      </extLst>
    </cfRule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{C59ECF4D-FF3A-4044-AE2A-0EED8801CA8F}</x14:id>
        </ext>
      </extLst>
    </cfRule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{0D4DF29F-9DD0-48E3-B18F-4766E46D31B8}</x14:id>
        </ext>
      </extLst>
    </cfRule>
    <cfRule type="dataBar" priority="8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{F00A3271-F416-4B3B-B583-6DD471D4B743}</x14:id>
        </ext>
      </extLst>
    </cfRule>
    <cfRule type="dataBar" priority="8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{2D2B812B-FA70-4C66-9E1B-5693E74EE261}</x14:id>
        </ext>
      </extLst>
    </cfRule>
    <cfRule type="dataBar" priority="8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{E72ECE3D-1E2D-4D3F-8241-EB28C5223488}</x14:id>
        </ext>
      </extLst>
    </cfRule>
    <cfRule type="dataBar" priority="8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{66A6E58F-6498-4369-9A05-E2CB017945F5}</x14:id>
        </ext>
      </extLst>
    </cfRule>
    <cfRule type="dataBar" priority="8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{F8EB6CF2-7403-4BA2-8F3C-457F40CA1455}</x14:id>
        </ext>
      </extLst>
    </cfRule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{650AA483-8703-41AD-BCA1-F9F26FDC9E63}</x14:id>
        </ext>
      </extLst>
    </cfRule>
    <cfRule type="dataBar" priority="86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{141EC53E-749E-4D1C-B397-FA464286D222}</x14:id>
        </ext>
      </extLst>
    </cfRule>
    <cfRule type="dataBar" priority="8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{F54E06C2-2746-4446-AE80-49623811207A}</x14:id>
        </ext>
      </extLst>
    </cfRule>
    <cfRule type="dataBar" priority="8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{A4AE13D5-0455-47C3-A717-6948A55D7043}</x14:id>
        </ext>
      </extLst>
    </cfRule>
    <cfRule type="dataBar" priority="8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{D1C8288B-D215-4734-B190-E0312B68C9F7}</x14:id>
        </ext>
      </extLst>
    </cfRule>
    <cfRule type="dataBar" priority="87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{9A8FA89F-A6C2-4E5F-ADDB-B3A72E3F67CA}</x14:id>
        </ext>
      </extLst>
    </cfRule>
    <cfRule type="dataBar" priority="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{36D58A49-C2CA-4E1F-B249-5346919BCE37}</x14:id>
        </ext>
      </extLst>
    </cfRule>
    <cfRule type="dataBar" priority="85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{E418974C-5FA5-4846-ADBE-D4748EDE203B}</x14:id>
        </ext>
      </extLst>
    </cfRule>
    <cfRule type="dataBar" priority="85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{A193FA0E-A6E0-4C93-B65D-C360D7745F82}</x14:id>
        </ext>
      </extLst>
    </cfRule>
    <cfRule type="dataBar" priority="85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{30119592-2067-4BD9-8A88-F16C2A20DF86}</x14:id>
        </ext>
      </extLst>
    </cfRule>
    <cfRule type="dataBar" priority="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{20D59604-EB79-4BDE-9D9F-220EB3388806}</x14:id>
        </ext>
      </extLst>
    </cfRule>
    <cfRule type="dataBar" priority="85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{9E6C9885-BF41-4CBF-98CD-14886B07E8A9}</x14:id>
        </ext>
      </extLst>
    </cfRule>
    <cfRule type="dataBar" priority="8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{A4878BD5-0895-4984-A3D1-58E290992C88}</x14:id>
        </ext>
      </extLst>
    </cfRule>
    <cfRule type="dataBar" priority="8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{C38610A6-B7EF-4DFB-BB95-78B243670FE8}</x14:id>
        </ext>
      </extLst>
    </cfRule>
    <cfRule type="dataBar" priority="84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{421B50B7-A1A1-4AA3-872C-C98506F1D6AB}</x14:id>
        </ext>
      </extLst>
    </cfRule>
    <cfRule type="dataBar" priority="86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{8E8B173C-00ED-47B0-9B28-37DA0EA1E30B}</x14:id>
        </ext>
      </extLst>
    </cfRule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{BB928E45-E0AF-4EBC-80E0-A363015CD757}</x14:id>
        </ext>
      </extLst>
    </cfRule>
    <cfRule type="dataBar" priority="86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{0510C64D-E556-4F83-90E7-4C63F6FF7ADA}</x14:id>
        </ext>
      </extLst>
    </cfRule>
    <cfRule type="dataBar" priority="8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{45F829FD-BC18-4B37-BEDD-9C6F48EB9BB2}</x14:id>
        </ext>
      </extLst>
    </cfRule>
    <cfRule type="dataBar" priority="8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{91199D16-B3ED-4A61-BCCA-511DA36090E0}</x14:id>
        </ext>
      </extLst>
    </cfRule>
    <cfRule type="dataBar" priority="8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{10511F1F-01C5-44FF-8C33-FA6C91068C63}</x14:id>
        </ext>
      </extLst>
    </cfRule>
    <cfRule type="dataBar" priority="8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{253E9CF6-D85A-41FB-99A8-EB53DA81C69B}</x14:id>
        </ext>
      </extLst>
    </cfRule>
  </conditionalFormatting>
  <conditionalFormatting sqref="AQ35">
    <cfRule type="dataBar" priority="27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{9DC4046E-C38F-466C-AA97-DC527B5BBA3B}</x14:id>
        </ext>
      </extLst>
    </cfRule>
    <cfRule type="dataBar" priority="27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{CE0AAE81-F61E-47B0-9A45-2F91C223D583}</x14:id>
        </ext>
      </extLst>
    </cfRule>
    <cfRule type="dataBar" priority="270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{A617F8B6-BB01-4ECB-A164-8E5041695385}</x14:id>
        </ext>
      </extLst>
    </cfRule>
    <cfRule type="dataBar" priority="2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{E15A633A-23DC-45F2-8E08-F255F8660F20}</x14:id>
        </ext>
      </extLst>
    </cfRule>
    <cfRule type="dataBar" priority="2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{98B5FE88-1581-4AD2-8F61-229922BC8A01}</x14:id>
        </ext>
      </extLst>
    </cfRule>
    <cfRule type="dataBar" priority="27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{F80288C4-5223-4625-BD48-818A546944CF}</x14:id>
        </ext>
      </extLst>
    </cfRule>
    <cfRule type="dataBar" priority="27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{F59AAFBA-8DE4-44D4-805E-0013F34BA3DD}</x14:id>
        </ext>
      </extLst>
    </cfRule>
    <cfRule type="dataBar" priority="2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{B384F435-253E-440A-A9E6-C5352D905FC4}</x14:id>
        </ext>
      </extLst>
    </cfRule>
    <cfRule type="dataBar" priority="271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{88368BCC-5E61-4A1F-B4AD-C329069B4623}</x14:id>
        </ext>
      </extLst>
    </cfRule>
    <cfRule type="dataBar" priority="271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{11EE1798-FB6A-44D0-9C3E-9051739D64DB}</x14:id>
        </ext>
      </extLst>
    </cfRule>
    <cfRule type="dataBar" priority="271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{448A2A5C-AABF-4F4A-A9DA-49269D6D22FA}</x14:id>
        </ext>
      </extLst>
    </cfRule>
    <cfRule type="dataBar" priority="2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{5DD37E47-BC0E-4E00-AB50-808CB7FBD4E0}</x14:id>
        </ext>
      </extLst>
    </cfRule>
    <cfRule type="dataBar" priority="27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{A89F09BC-1592-4CCA-9D33-7991F51AE127}</x14:id>
        </ext>
      </extLst>
    </cfRule>
  </conditionalFormatting>
  <conditionalFormatting sqref="AT10">
    <cfRule type="dataBar" priority="221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{D1268C09-87DA-4F18-B565-0E5412AFF230}</x14:id>
        </ext>
      </extLst>
    </cfRule>
  </conditionalFormatting>
  <conditionalFormatting sqref="AT11">
    <cfRule type="dataBar" priority="22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{89B91031-FF30-4814-92DA-63FD3388DBBC}</x14:id>
        </ext>
      </extLst>
    </cfRule>
  </conditionalFormatting>
  <conditionalFormatting sqref="AT12">
    <cfRule type="dataBar" priority="20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{77D368C2-CFD3-4F8D-B29F-9369DAAFFDC3}</x14:id>
        </ext>
      </extLst>
    </cfRule>
  </conditionalFormatting>
  <conditionalFormatting sqref="AT14">
    <cfRule type="dataBar" priority="22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{E0007410-F470-476E-902E-3815707E863A}</x14:id>
        </ext>
      </extLst>
    </cfRule>
  </conditionalFormatting>
  <conditionalFormatting sqref="AT15">
    <cfRule type="dataBar" priority="20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{1C6063BE-A758-4B00-B74F-942383E9B655}</x14:id>
        </ext>
      </extLst>
    </cfRule>
  </conditionalFormatting>
  <conditionalFormatting sqref="AT18">
    <cfRule type="dataBar" priority="22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{6D6C3DD3-0399-49EF-9EC5-7E4BB80F19F2}</x14:id>
        </ext>
      </extLst>
    </cfRule>
  </conditionalFormatting>
  <conditionalFormatting sqref="AT19">
    <cfRule type="dataBar" priority="22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{605A6033-6EF8-4411-998C-C841B0D91C2E}</x14:id>
        </ext>
      </extLst>
    </cfRule>
  </conditionalFormatting>
  <conditionalFormatting sqref="AT20">
    <cfRule type="dataBar" priority="221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{0ACA7EA3-6F8F-447B-9BDB-C46F181DD239}</x14:id>
        </ext>
      </extLst>
    </cfRule>
  </conditionalFormatting>
  <conditionalFormatting sqref="AT24">
    <cfRule type="dataBar" priority="216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{14AA86D7-3444-4C77-9EBB-746CAF97C817}</x14:id>
        </ext>
      </extLst>
    </cfRule>
  </conditionalFormatting>
  <conditionalFormatting sqref="AT25:AT26">
    <cfRule type="dataBar" priority="24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{B9E47401-C967-4D9C-A03D-6D1813797FD4}</x14:id>
        </ext>
      </extLst>
    </cfRule>
  </conditionalFormatting>
  <conditionalFormatting sqref="AU5">
    <cfRule type="dataBar" priority="2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{FD8840F3-81AC-43B9-8EE6-4B8C1A97B173}</x14:id>
        </ext>
      </extLst>
    </cfRule>
    <cfRule type="dataBar" priority="23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{123FDD12-65B8-4724-B3D0-74BE6100D9F4}</x14:id>
        </ext>
      </extLst>
    </cfRule>
    <cfRule type="dataBar" priority="23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{14B6370C-7B6D-466D-8DB6-B8F9077EDE8E}</x14:id>
        </ext>
      </extLst>
    </cfRule>
    <cfRule type="dataBar" priority="23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{FFA62FA5-0D97-40BF-A7F5-181BF8252F68}</x14:id>
        </ext>
      </extLst>
    </cfRule>
  </conditionalFormatting>
  <conditionalFormatting sqref="AU5:AU22">
    <cfRule type="dataBar" priority="2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{4E5E4876-EAEF-4A47-98A6-0F4F4B6CA144}</x14:id>
        </ext>
      </extLst>
    </cfRule>
    <cfRule type="dataBar" priority="24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{B8A6CD20-B146-405F-9653-2CD3BBEFB92B}</x14:id>
        </ext>
      </extLst>
    </cfRule>
  </conditionalFormatting>
  <conditionalFormatting sqref="AU5:AU26">
    <cfRule type="dataBar" priority="277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{71F4D632-A002-417E-A8BB-24C1426D0294}</x14:id>
        </ext>
      </extLst>
    </cfRule>
  </conditionalFormatting>
  <conditionalFormatting sqref="AU5:AU28">
    <cfRule type="dataBar" priority="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{5C4ED2B2-BF7E-4015-B263-DD9DDE77B930}</x14:id>
        </ext>
      </extLst>
    </cfRule>
    <cfRule type="dataBar" priority="278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{35B63152-39C8-4562-9228-1CB5C477E41A}</x14:id>
        </ext>
      </extLst>
    </cfRule>
    <cfRule type="dataBar" priority="27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{2C52DFC0-0C56-4828-AF53-CA045250DB60}</x14:id>
        </ext>
      </extLst>
    </cfRule>
  </conditionalFormatting>
  <conditionalFormatting sqref="AU14">
    <cfRule type="dataBar" priority="22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{2F4D8180-0C2F-4301-AC70-64DB94739E88}</x14:id>
        </ext>
      </extLst>
    </cfRule>
    <cfRule type="dataBar" priority="2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{F7B59A55-C8C6-4CC1-8B9F-3326742C1A01}</x14:id>
        </ext>
      </extLst>
    </cfRule>
    <cfRule type="dataBar" priority="22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{8E25A12E-97AE-4538-972E-55386A66F35D}</x14:id>
        </ext>
      </extLst>
    </cfRule>
    <cfRule type="dataBar" priority="23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{B6738541-0553-4B63-97B5-370FF52E4764}</x14:id>
        </ext>
      </extLst>
    </cfRule>
    <cfRule type="dataBar" priority="2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{69D6CD89-4EF5-4921-99C9-D9EEEB0DEE0B}</x14:id>
        </ext>
      </extLst>
    </cfRule>
    <cfRule type="dataBar" priority="23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{69A2ADE4-425D-4E1E-AA82-9540196FAE91}</x14:id>
        </ext>
      </extLst>
    </cfRule>
    <cfRule type="dataBar" priority="23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{B182AD6A-720C-4811-AA00-92F448FFE2F9}</x14:id>
        </ext>
      </extLst>
    </cfRule>
    <cfRule type="dataBar" priority="22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{2A08B5EF-5004-4A9B-B750-FF6869CC74C1}</x14:id>
        </ext>
      </extLst>
    </cfRule>
    <cfRule type="dataBar" priority="22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{7A275C6A-AD24-44A6-A36E-1694EFC76EAB}</x14:id>
        </ext>
      </extLst>
    </cfRule>
  </conditionalFormatting>
  <conditionalFormatting sqref="AU15:AU16 AU5:AU13 AU18:AU22">
    <cfRule type="dataBar" priority="241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{7DA6B3B3-09AB-4D4B-83FF-485D561A5CF7}</x14:id>
        </ext>
      </extLst>
    </cfRule>
    <cfRule type="dataBar" priority="24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{9D206CF2-3D16-4B53-8E12-ECA8BAE60023}</x14:id>
        </ext>
      </extLst>
    </cfRule>
    <cfRule type="dataBar" priority="240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{66EB74BF-F3D4-482D-BDFD-51D73AAF0202}</x14:id>
        </ext>
      </extLst>
    </cfRule>
    <cfRule type="dataBar" priority="240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{FFDABD0F-2716-4C19-9953-1B5EE6DE3F89}</x14:id>
        </ext>
      </extLst>
    </cfRule>
    <cfRule type="dataBar" priority="24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{73D5BDB4-87BE-41FA-BD27-FA7F7783E6D5}</x14:id>
        </ext>
      </extLst>
    </cfRule>
  </conditionalFormatting>
  <conditionalFormatting sqref="AU15:AU16 AU6:AU13 AU18:AU22">
    <cfRule type="dataBar" priority="2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{5872D7D2-1DA1-477B-A128-C5387A3B7A05}</x14:id>
        </ext>
      </extLst>
    </cfRule>
    <cfRule type="dataBar" priority="240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{134D5851-9B40-4D60-8758-1155B99DEEE5}</x14:id>
        </ext>
      </extLst>
    </cfRule>
    <cfRule type="dataBar" priority="24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{D15E3521-E689-4F31-BDB6-508C9D556196}</x14:id>
        </ext>
      </extLst>
    </cfRule>
    <cfRule type="dataBar" priority="240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{91DBED1D-0FD5-40D3-B0FA-47A15B7FCE4F}</x14:id>
        </ext>
      </extLst>
    </cfRule>
  </conditionalFormatting>
  <conditionalFormatting sqref="AU17">
    <cfRule type="dataBar" priority="22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{9B8C19F6-0F67-4C81-ACF6-1CEB6747F28B}</x14:id>
        </ext>
      </extLst>
    </cfRule>
    <cfRule type="dataBar" priority="226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{BED2294B-3D0E-45F2-8092-89DD32DBCEAA}</x14:id>
        </ext>
      </extLst>
    </cfRule>
    <cfRule type="dataBar" priority="22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{A4ADB5E7-1D68-4C05-BC77-1396B68CC42E}</x14:id>
        </ext>
      </extLst>
    </cfRule>
    <cfRule type="dataBar" priority="225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{A433A384-4BE2-48F3-90FE-338BF2969661}</x14:id>
        </ext>
      </extLst>
    </cfRule>
    <cfRule type="dataBar" priority="225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{06323EF4-D463-4B58-839A-0D2D1100DF6C}</x14:id>
        </ext>
      </extLst>
    </cfRule>
    <cfRule type="dataBar" priority="225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{B43E2F96-6AF8-4094-9029-3788689A15A3}</x14:id>
        </ext>
      </extLst>
    </cfRule>
    <cfRule type="dataBar" priority="225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{5756CE99-030B-4197-A713-4E3F1016F028}</x14:id>
        </ext>
      </extLst>
    </cfRule>
    <cfRule type="dataBar" priority="22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{177DCF5B-5DD9-4AEF-86AC-9633D47C6C29}</x14:id>
        </ext>
      </extLst>
    </cfRule>
    <cfRule type="dataBar" priority="225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{33554EDD-98CF-4D14-9AD7-D61E0B2CF87A}</x14:id>
        </ext>
      </extLst>
    </cfRule>
    <cfRule type="dataBar" priority="2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{D6653738-8120-4DB0-B800-0C5D3F51D5EE}</x14:id>
        </ext>
      </extLst>
    </cfRule>
  </conditionalFormatting>
  <conditionalFormatting sqref="AU18:AU22 AU5:AU16">
    <cfRule type="dataBar" priority="24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{14152AD7-57F5-4330-874F-966B1C8100E1}</x14:id>
        </ext>
      </extLst>
    </cfRule>
  </conditionalFormatting>
  <conditionalFormatting sqref="AU23">
    <cfRule type="dataBar" priority="220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{34952268-F733-49F8-B51B-E5F28340D29E}</x14:id>
        </ext>
      </extLst>
    </cfRule>
    <cfRule type="dataBar" priority="22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{887A5EC1-172E-40FD-BCE6-729241564B62}</x14:id>
        </ext>
      </extLst>
    </cfRule>
    <cfRule type="dataBar" priority="2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{F1F821B0-D5BB-482D-98A0-FC50EA4686F4}</x14:id>
        </ext>
      </extLst>
    </cfRule>
    <cfRule type="dataBar" priority="2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{60FF45BA-B281-434C-B797-C6DFF8902404}</x14:id>
        </ext>
      </extLst>
    </cfRule>
    <cfRule type="dataBar" priority="22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{F5E61529-4E81-48EC-ADA5-EC2D44CBEB78}</x14:id>
        </ext>
      </extLst>
    </cfRule>
    <cfRule type="dataBar" priority="22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{5AC906A7-ED2D-4FA4-AD9B-3E596F24BB91}</x14:id>
        </ext>
      </extLst>
    </cfRule>
    <cfRule type="dataBar" priority="21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{0A57C84D-DA10-4FBC-B925-2E88B0368213}</x14:id>
        </ext>
      </extLst>
    </cfRule>
    <cfRule type="dataBar" priority="219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{31F0EE23-1C3F-4EE2-A0D6-F7F9065459E3}</x14:id>
        </ext>
      </extLst>
    </cfRule>
    <cfRule type="dataBar" priority="21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{DE359124-5ED2-421E-A6DF-5F82D2B8D3DD}</x14:id>
        </ext>
      </extLst>
    </cfRule>
    <cfRule type="dataBar" priority="21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{2FD115E5-883D-41E0-B1C0-06BB99A9C1DF}</x14:id>
        </ext>
      </extLst>
    </cfRule>
    <cfRule type="dataBar" priority="2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{BD9A3412-276F-4701-BD5B-163AF7D89B12}</x14:id>
        </ext>
      </extLst>
    </cfRule>
    <cfRule type="dataBar" priority="21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{BFE3422E-8AE0-4724-B911-A47BB4D85A87}</x14:id>
        </ext>
      </extLst>
    </cfRule>
  </conditionalFormatting>
  <conditionalFormatting sqref="AU24">
    <cfRule type="dataBar" priority="2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{5CD0C071-B899-4657-9172-AB97B4FEFB76}</x14:id>
        </ext>
      </extLst>
    </cfRule>
    <cfRule type="dataBar" priority="214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{BCDF02C3-E0B4-4953-9255-3016D8FF2D07}</x14:id>
        </ext>
      </extLst>
    </cfRule>
    <cfRule type="dataBar" priority="21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{13A2766D-7CA0-4234-BAFC-40270539E014}</x14:id>
        </ext>
      </extLst>
    </cfRule>
    <cfRule type="dataBar" priority="214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{33F67246-39F1-4707-AD0B-635F0E4619A3}</x14:id>
        </ext>
      </extLst>
    </cfRule>
    <cfRule type="dataBar" priority="214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{E0C2311A-A84E-44CA-B987-FC5D90887946}</x14:id>
        </ext>
      </extLst>
    </cfRule>
    <cfRule type="dataBar" priority="214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{C7F7AB4E-E11D-43CE-B14E-076F9E5CB632}</x14:id>
        </ext>
      </extLst>
    </cfRule>
    <cfRule type="dataBar" priority="2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{52FA5FE3-8DEC-4783-A7AD-EFF7A6CC87BD}</x14:id>
        </ext>
      </extLst>
    </cfRule>
    <cfRule type="dataBar" priority="213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{50838000-1031-4178-A981-CBFDD02D0B8D}</x14:id>
        </ext>
      </extLst>
    </cfRule>
    <cfRule type="dataBar" priority="21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{D14A5A31-B515-45B4-8D6C-E33131129127}</x14:id>
        </ext>
      </extLst>
    </cfRule>
    <cfRule type="dataBar" priority="2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{B91ECCB8-7B90-45E9-9A6A-D9A5B6C86428}</x14:id>
        </ext>
      </extLst>
    </cfRule>
    <cfRule type="dataBar" priority="21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{B072E7AD-91E5-463B-9CE6-1CE92EEA3CB6}</x14:id>
        </ext>
      </extLst>
    </cfRule>
    <cfRule type="dataBar" priority="21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{672C8401-EDBB-40B8-83F6-D37F2511E867}</x14:id>
        </ext>
      </extLst>
    </cfRule>
  </conditionalFormatting>
  <conditionalFormatting sqref="AU25:AU26">
    <cfRule type="dataBar" priority="24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{39F53213-F227-4799-9BF4-A0F0C3C57EC9}</x14:id>
        </ext>
      </extLst>
    </cfRule>
    <cfRule type="dataBar" priority="2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{4ECEFBFF-99DD-4B5F-8F63-BB67593A7080}</x14:id>
        </ext>
      </extLst>
    </cfRule>
    <cfRule type="dataBar" priority="24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{2A9E71E7-D048-4A7C-AA09-AD541DD6EBFB}</x14:id>
        </ext>
      </extLst>
    </cfRule>
    <cfRule type="dataBar" priority="24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{5460D293-9F59-46DA-8273-90074474B65F}</x14:id>
        </ext>
      </extLst>
    </cfRule>
    <cfRule type="dataBar" priority="242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{DD88D370-F13A-4F37-9DBE-FA2946E7085C}</x14:id>
        </ext>
      </extLst>
    </cfRule>
    <cfRule type="dataBar" priority="24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{81602860-183E-489D-B769-8C321D763C39}</x14:id>
        </ext>
      </extLst>
    </cfRule>
    <cfRule type="dataBar" priority="2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{365000F9-C906-4F3F-9861-D0C179DE62D2}</x14:id>
        </ext>
      </extLst>
    </cfRule>
    <cfRule type="dataBar" priority="24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{9869A7F8-921D-45E8-B5A8-96D859A30CFE}</x14:id>
        </ext>
      </extLst>
    </cfRule>
    <cfRule type="dataBar" priority="24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{543A272F-1EC8-40B4-A51F-56A88D6000CB}</x14:id>
        </ext>
      </extLst>
    </cfRule>
    <cfRule type="dataBar" priority="24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{428A594E-1577-48C9-B449-A1105A302374}</x14:id>
        </ext>
      </extLst>
    </cfRule>
    <cfRule type="dataBar" priority="2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{C5B49303-C15C-44D0-814F-D861A5A6DD96}</x14:id>
        </ext>
      </extLst>
    </cfRule>
    <cfRule type="dataBar" priority="24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{1682951A-2673-4F4C-912E-AC9E5A97C4E8}</x14:id>
        </ext>
      </extLst>
    </cfRule>
  </conditionalFormatting>
  <conditionalFormatting sqref="AU27:AU28">
    <cfRule type="dataBar" priority="14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{36AEEB8D-C4EA-452E-882C-16FB4F41CEDC}</x14:id>
        </ext>
      </extLst>
    </cfRule>
    <cfRule type="dataBar" priority="14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{23DD6252-A28F-46B6-81C2-34B74F7DAA57}</x14:id>
        </ext>
      </extLst>
    </cfRule>
    <cfRule type="dataBar" priority="14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{BC158971-2A4C-4F9F-9E73-9C52F0606E23}</x14:id>
        </ext>
      </extLst>
    </cfRule>
    <cfRule type="dataBar" priority="1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{16EC489D-6EED-4B98-ADAB-5C4EB48B5757}</x14:id>
        </ext>
      </extLst>
    </cfRule>
    <cfRule type="dataBar" priority="1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{AEFAECAE-D449-4533-9D92-57796867DF8D}</x14:id>
        </ext>
      </extLst>
    </cfRule>
    <cfRule type="dataBar" priority="1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{117045DB-FBF9-4E64-B606-48F61929EFD2}</x14:id>
        </ext>
      </extLst>
    </cfRule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{1E2E943D-28EC-4A52-9D3E-CA4E2C3BC6E6}</x14:id>
        </ext>
      </extLst>
    </cfRule>
    <cfRule type="dataBar" priority="1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{BD83551A-3E12-46FB-92BA-FBB9316B5404}</x14:id>
        </ext>
      </extLst>
    </cfRule>
    <cfRule type="dataBar" priority="1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{2403157E-C64A-46A1-B3FF-7E265D471D14}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{E219E40B-5B37-492A-975F-047AEB3787C1}</x14:id>
        </ext>
      </extLst>
    </cfRule>
    <cfRule type="dataBar" priority="14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{C3D0D3D9-B615-48E7-8A17-2F0481DF6656}</x14:id>
        </ext>
      </extLst>
    </cfRule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{89BDE43A-D8F2-4846-B8CF-9277D97C272D}</x14:id>
        </ext>
      </extLst>
    </cfRule>
    <cfRule type="dataBar" priority="1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{B224FF18-7A33-429C-A49F-905EAE0FC584}</x14:id>
        </ext>
      </extLst>
    </cfRule>
  </conditionalFormatting>
  <conditionalFormatting sqref="AV5">
    <cfRule type="dataBar" priority="35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{49DF95A3-A932-447A-A8BE-478D4C07293E}</x14:id>
        </ext>
      </extLst>
    </cfRule>
    <cfRule type="dataBar" priority="36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{1BDA5C5E-0335-4697-84A1-6D2C981E74B2}</x14:id>
        </ext>
      </extLst>
    </cfRule>
    <cfRule type="dataBar" priority="37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{5E635F7B-68FB-4546-90BB-EF4DA6D382A8}</x14:id>
        </ext>
      </extLst>
    </cfRule>
    <cfRule type="dataBar" priority="3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{D2914007-FF00-4698-99C1-83D8BA55C570}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{2088EA88-C5BE-442E-9A60-98381E2FB43E}</x14:id>
        </ext>
      </extLst>
    </cfRule>
    <cfRule type="dataBar" priority="36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{34403E99-5462-455D-9C29-659058A09D22}</x14:id>
        </ext>
      </extLst>
    </cfRule>
    <cfRule type="dataBar" priority="36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{EC3BB422-4FC8-4EF7-B20D-27E199A1E3CC}</x14:id>
        </ext>
      </extLst>
    </cfRule>
    <cfRule type="dataBar" priority="36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{5F814C5A-3F8F-495C-83F5-EEC50CACD8C1}</x14:id>
        </ext>
      </extLst>
    </cfRule>
    <cfRule type="dataBar" priority="3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{B2BC7959-D987-4F65-983D-7BBF4A56AECE}</x14:id>
        </ext>
      </extLst>
    </cfRule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{835AF579-36BC-4B48-A6F6-E1BFC0332A97}</x14:id>
        </ext>
      </extLst>
    </cfRule>
    <cfRule type="dataBar" priority="3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{F76CDF81-9A8E-4F05-B0F9-FA3428AEDD6D}</x14:id>
        </ext>
      </extLst>
    </cfRule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{1B88F6D2-5CBC-4892-A41A-2F2F0F79FB15}</x14:id>
        </ext>
      </extLst>
    </cfRule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{CFD100A4-CA76-44F0-8661-331DE9A7A2D8}</x14:id>
        </ext>
      </extLst>
    </cfRule>
  </conditionalFormatting>
  <conditionalFormatting sqref="AV6:AV12">
    <cfRule type="dataBar" priority="1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{29CEEFA0-FDC5-43D0-9154-E05007B3A0D2}</x14:id>
        </ext>
      </extLst>
    </cfRule>
    <cfRule type="dataBar" priority="109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{79D6DEE0-7FAB-4B75-81A2-FAB4B71D2BC1}</x14:id>
        </ext>
      </extLst>
    </cfRule>
    <cfRule type="dataBar" priority="109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{B16444B3-2F96-4052-ABBE-BB7DFD186D37}</x14:id>
        </ext>
      </extLst>
    </cfRule>
    <cfRule type="dataBar" priority="10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{4BFD37A2-5AF4-479F-825F-7151C263366F}</x14:id>
        </ext>
      </extLst>
    </cfRule>
    <cfRule type="dataBar" priority="109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{9A1D5D93-6C28-4D21-88E2-952DF7D4D7FE}</x14:id>
        </ext>
      </extLst>
    </cfRule>
    <cfRule type="dataBar" priority="109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{3D596F5B-6E7B-416E-84A5-F02385E3F7A5}</x14:id>
        </ext>
      </extLst>
    </cfRule>
    <cfRule type="dataBar" priority="109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{CF96CBC7-3AC2-4431-9C24-31B662817D21}</x14:id>
        </ext>
      </extLst>
    </cfRule>
    <cfRule type="dataBar" priority="110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{C1F60339-8752-41F6-BA50-0BC227FA576B}</x14:id>
        </ext>
      </extLst>
    </cfRule>
    <cfRule type="dataBar" priority="1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{7729494A-A18E-43D7-93E4-C380AC23F8EB}</x14:id>
        </ext>
      </extLst>
    </cfRule>
    <cfRule type="dataBar" priority="10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{CE6E9523-0899-4EAB-9AA9-4C129A991FC4}</x14:id>
        </ext>
      </extLst>
    </cfRule>
    <cfRule type="dataBar" priority="11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{4CB7B052-FF56-49E0-AD78-8326C6E63E76}</x14:id>
        </ext>
      </extLst>
    </cfRule>
    <cfRule type="dataBar" priority="10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{0A86B352-AC19-42B9-A6A9-65FAB1462ADB}</x14:id>
        </ext>
      </extLst>
    </cfRule>
    <cfRule type="dataBar" priority="11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{8D8D5230-2100-4076-90DA-081CAC2CEF4D}</x14:id>
        </ext>
      </extLst>
    </cfRule>
    <cfRule type="dataBar" priority="10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{D0FBA996-CFF1-45D4-A8F6-BCDBA83E5E42}</x14:id>
        </ext>
      </extLst>
    </cfRule>
    <cfRule type="dataBar" priority="1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{E29D058A-3C2C-4BF4-8A75-A5D2BECDCD9A}</x14:id>
        </ext>
      </extLst>
    </cfRule>
    <cfRule type="dataBar" priority="11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{3859E1BC-3A09-4963-AB62-BE293CEB6720}</x14:id>
        </ext>
      </extLst>
    </cfRule>
    <cfRule type="dataBar" priority="11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{8014CEEA-69AE-4CBC-AC56-98CDDDA38DAA}</x14:id>
        </ext>
      </extLst>
    </cfRule>
    <cfRule type="dataBar" priority="1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{52E96DEA-8FCC-49E4-A9FF-36DC8C3FF211}</x14:id>
        </ext>
      </extLst>
    </cfRule>
    <cfRule type="dataBar" priority="109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{62B0653C-9023-4E65-A6E5-0E14B2D0E542}</x14:id>
        </ext>
      </extLst>
    </cfRule>
    <cfRule type="dataBar" priority="11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{216017F4-A3DC-47AD-B70A-8F973E06C1C8}</x14:id>
        </ext>
      </extLst>
    </cfRule>
    <cfRule type="dataBar" priority="11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{16E1B52B-C355-4527-8063-ECF8DC99E77A}</x14:id>
        </ext>
      </extLst>
    </cfRule>
    <cfRule type="dataBar" priority="11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{B305FC2D-0D15-443A-B838-336B2E4270EC}</x14:id>
        </ext>
      </extLst>
    </cfRule>
    <cfRule type="dataBar" priority="1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{B2EC7926-B23A-48AA-9177-4917CCEB9DF4}</x14:id>
        </ext>
      </extLst>
    </cfRule>
    <cfRule type="dataBar" priority="11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{704F5F20-71E3-4975-A17F-F18323EC1E94}</x14:id>
        </ext>
      </extLst>
    </cfRule>
    <cfRule type="dataBar" priority="11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{FF0880FD-1C1E-40E7-977B-456EE61F2828}</x14:id>
        </ext>
      </extLst>
    </cfRule>
    <cfRule type="dataBar" priority="10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{6278EF47-23B1-4E66-BA3C-4A61339B3756}</x14:id>
        </ext>
      </extLst>
    </cfRule>
    <cfRule type="dataBar" priority="109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{B444B884-61DA-4609-84DA-E4C6F083A9C7}</x14:id>
        </ext>
      </extLst>
    </cfRule>
    <cfRule type="dataBar" priority="10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{0FE0C518-B696-4EBF-8CC9-2A7A60CCD36D}</x14:id>
        </ext>
      </extLst>
    </cfRule>
    <cfRule type="dataBar" priority="108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{C1E2FE62-FE4D-4C8B-8CA5-A5432B49FBA8}</x14:id>
        </ext>
      </extLst>
    </cfRule>
    <cfRule type="dataBar" priority="10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{2F033CAC-7FE4-43D5-BDC7-AD330F24D943}</x14:id>
        </ext>
      </extLst>
    </cfRule>
  </conditionalFormatting>
  <conditionalFormatting sqref="AV13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{257E9663-36C9-4D9F-8914-CB96384B2978}</x14:id>
        </ext>
      </extLst>
    </cfRule>
    <cfRule type="dataBar" priority="1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{F19020B8-0C33-4EF3-80C2-695489CFC1B7}</x14:id>
        </ext>
      </extLst>
    </cfRule>
    <cfRule type="dataBar" priority="1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{C962424C-3A17-4C34-869A-27F946480130}</x14:id>
        </ext>
      </extLst>
    </cfRule>
    <cfRule type="dataBar" priority="1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{BEF7C8A3-95AC-4E4B-840B-508C3723D819}</x14:id>
        </ext>
      </extLst>
    </cfRule>
    <cfRule type="dataBar" priority="1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{630260AD-DD46-49F7-9999-090461736D2D}</x14:id>
        </ext>
      </extLst>
    </cfRule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{2B1E9DE0-E1E6-46B3-BB97-E007827D5883}</x14:id>
        </ext>
      </extLst>
    </cfRule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{02709E32-4511-47B3-8628-0439D91C497D}</x14:id>
        </ext>
      </extLst>
    </cfRule>
    <cfRule type="dataBar" priority="1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{67B91F4D-FB39-445B-9556-CCB083C639FE}</x14:id>
        </ext>
      </extLst>
    </cfRule>
    <cfRule type="dataBar" priority="1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{33EF2DAD-AB68-4126-86D4-C0D4349B9EC6}</x14:id>
        </ext>
      </extLst>
    </cfRule>
    <cfRule type="dataBar" priority="1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{D961E4D7-A03B-47CD-B64A-C63C0A7410EB}</x14:id>
        </ext>
      </extLst>
    </cfRule>
    <cfRule type="dataBar" priority="1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{39A0B900-A113-4B60-96D3-769103F4671B}</x14:id>
        </ext>
      </extLst>
    </cfRule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{7D4C7EB4-092A-4AA1-A73D-3944D19F5E6F}</x14:id>
        </ext>
      </extLst>
    </cfRule>
    <cfRule type="dataBar" priority="1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{4CDB6486-0CB7-4BB1-B317-776B1EB512DA}</x14:id>
        </ext>
      </extLst>
    </cfRule>
  </conditionalFormatting>
  <conditionalFormatting sqref="AV14:AV15">
    <cfRule type="dataBar" priority="10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{46AFC93E-5374-47CB-A426-CFF11FF58B2A}</x14:id>
        </ext>
      </extLst>
    </cfRule>
    <cfRule type="dataBar" priority="10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{29DF71E7-65ED-4FE3-958D-7E9B2B46B704}</x14:id>
        </ext>
      </extLst>
    </cfRule>
    <cfRule type="dataBar" priority="106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{2F4440B9-C85D-4663-A641-B8EA9DEF579C}</x14:id>
        </ext>
      </extLst>
    </cfRule>
    <cfRule type="dataBar" priority="106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{B0A1795F-51AA-4225-9CE8-BB325D222E9D}</x14:id>
        </ext>
      </extLst>
    </cfRule>
    <cfRule type="dataBar" priority="106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{1DD3A40E-A0CE-4557-A0FD-F649D23E8951}</x14:id>
        </ext>
      </extLst>
    </cfRule>
    <cfRule type="dataBar" priority="106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{14FB2930-2B57-45EC-9134-825941019D1D}</x14:id>
        </ext>
      </extLst>
    </cfRule>
    <cfRule type="dataBar" priority="107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{AB4A3D07-22B2-42BF-8A76-7975EAA1DA1C}</x14:id>
        </ext>
      </extLst>
    </cfRule>
    <cfRule type="dataBar" priority="10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{0E6CF35F-A0D9-4914-874E-86D76DE80B0F}</x14:id>
        </ext>
      </extLst>
    </cfRule>
    <cfRule type="dataBar" priority="10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{A29FDF4E-20FB-409B-9F75-EF50C3E818A0}</x14:id>
        </ext>
      </extLst>
    </cfRule>
    <cfRule type="dataBar" priority="10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{E9A40794-8D68-475D-9A1C-96877B27D63C}</x14:id>
        </ext>
      </extLst>
    </cfRule>
    <cfRule type="dataBar" priority="10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{15058C9F-3177-4234-B6AF-403AD3060F2E}</x14:id>
        </ext>
      </extLst>
    </cfRule>
    <cfRule type="dataBar" priority="10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{57333B37-7FDB-4E83-B984-291A3E517B12}</x14:id>
        </ext>
      </extLst>
    </cfRule>
    <cfRule type="dataBar" priority="10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{35BF20D8-59BB-4769-9AA8-BE03C829B31F}</x14:id>
        </ext>
      </extLst>
    </cfRule>
    <cfRule type="dataBar" priority="108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{71E684A0-9236-421F-B93A-EF38C33B7306}</x14:id>
        </ext>
      </extLst>
    </cfRule>
    <cfRule type="dataBar" priority="107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{BBFE9B61-EB50-419D-AD1E-FFCCF7813016}</x14:id>
        </ext>
      </extLst>
    </cfRule>
    <cfRule type="dataBar" priority="10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{08D5365C-83BE-4115-A2BD-22EE640BC5AC}</x14:id>
        </ext>
      </extLst>
    </cfRule>
    <cfRule type="dataBar" priority="10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{60CD15A1-F433-4465-AC46-33222AD3CF2E}</x14:id>
        </ext>
      </extLst>
    </cfRule>
    <cfRule type="dataBar" priority="1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{10932C91-2259-436C-B8F1-46CDEAAF8470}</x14:id>
        </ext>
      </extLst>
    </cfRule>
    <cfRule type="dataBar" priority="10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{AB97DDB5-67A0-47D5-9B82-3C0A22F8711E}</x14:id>
        </ext>
      </extLst>
    </cfRule>
    <cfRule type="dataBar" priority="10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{6C5027D4-F9BE-4674-84EC-35573D83E18B}</x14:id>
        </ext>
      </extLst>
    </cfRule>
    <cfRule type="dataBar" priority="108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{BBD7F12B-6EDC-49F1-A271-F5EEAC183F1A}</x14:id>
        </ext>
      </extLst>
    </cfRule>
    <cfRule type="dataBar" priority="10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{A8BB6D2D-70A9-4889-A11D-CBD5449241E1}</x14:id>
        </ext>
      </extLst>
    </cfRule>
    <cfRule type="dataBar" priority="10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{D2DC1193-8E3E-43F0-9FA3-28BE0ED68F91}</x14:id>
        </ext>
      </extLst>
    </cfRule>
    <cfRule type="dataBar" priority="10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{7E567028-D220-4530-BF78-76B54EEF2C49}</x14:id>
        </ext>
      </extLst>
    </cfRule>
    <cfRule type="dataBar" priority="10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{230572CF-B49A-4988-B306-07951434E02D}</x14:id>
        </ext>
      </extLst>
    </cfRule>
    <cfRule type="dataBar" priority="10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{5E582929-6A29-4B26-9372-5BA13812DA73}</x14:id>
        </ext>
      </extLst>
    </cfRule>
    <cfRule type="dataBar" priority="1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{31F49AA4-67DE-495F-A1B7-8D4BA7ED9764}</x14:id>
        </ext>
      </extLst>
    </cfRule>
    <cfRule type="dataBar" priority="10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{9CE4DBA1-EDD3-40E7-9432-E1ABFAD2FABD}</x14:id>
        </ext>
      </extLst>
    </cfRule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{76535A31-4B26-4607-9EC5-802F7C31BE04}</x14:id>
        </ext>
      </extLst>
    </cfRule>
    <cfRule type="dataBar" priority="10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{89A08AC0-D7E6-490F-88A1-4F9D57439135}</x14:id>
        </ext>
      </extLst>
    </cfRule>
  </conditionalFormatting>
  <conditionalFormatting sqref="AV16">
    <cfRule type="dataBar" priority="35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{6E1CD23F-EE16-4FD8-8FC6-A694CFF87156}</x14:id>
        </ext>
      </extLst>
    </cfRule>
    <cfRule type="dataBar" priority="35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{D8716AAF-83E6-4DB2-8D74-1C5AC1AF7886}</x14:id>
        </ext>
      </extLst>
    </cfRule>
    <cfRule type="dataBar" priority="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{9BBB8476-54FD-42EF-A574-F742EF326B3F}</x14:id>
        </ext>
      </extLst>
    </cfRule>
    <cfRule type="dataBar" priority="3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{2AD5E53F-4647-4D3D-8EDC-DEE7E280ECE2}</x14:id>
        </ext>
      </extLst>
    </cfRule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{8D2F7FAE-DA71-4127-80D9-4EBC30CE0232}</x14:id>
        </ext>
      </extLst>
    </cfRule>
    <cfRule type="dataBar" priority="35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{520A8FC7-5901-4C29-B792-019AA3C0E388}</x14:id>
        </ext>
      </extLst>
    </cfRule>
    <cfRule type="dataBar" priority="34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{A62A6F10-09A1-4B0B-883A-D09BC07B110E}</x14:id>
        </ext>
      </extLst>
    </cfRule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{CD7E07B7-0C10-469A-8E71-8CF8AD824400}</x14:id>
        </ext>
      </extLst>
    </cfRule>
    <cfRule type="dataBar" priority="3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{877ADACB-6581-461E-A658-534B80B1B7CF}</x14:id>
        </ext>
      </extLst>
    </cfRule>
    <cfRule type="dataBar" priority="3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{454B9756-236E-44B6-9EBC-27443CF83EC1}</x14:id>
        </ext>
      </extLst>
    </cfRule>
    <cfRule type="dataBar" priority="35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{568DD46D-CCC2-41A3-BA2D-1DC53F6FC2E7}</x14:id>
        </ext>
      </extLst>
    </cfRule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{DFE0988A-1C0C-4508-A760-0168367B2FB5}</x14:id>
        </ext>
      </extLst>
    </cfRule>
    <cfRule type="dataBar" priority="35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{368D4901-8286-40C6-B87B-B45E77DE8831}</x14:id>
        </ext>
      </extLst>
    </cfRule>
  </conditionalFormatting>
  <conditionalFormatting sqref="AV17:AV19">
    <cfRule type="dataBar" priority="104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{B0E7E856-8237-4399-A48A-ABC4D0C77FA6}</x14:id>
        </ext>
      </extLst>
    </cfRule>
    <cfRule type="dataBar" priority="10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{52FB661F-C3C7-47C8-94FD-D2E52B306DDF}</x14:id>
        </ext>
      </extLst>
    </cfRule>
    <cfRule type="dataBar" priority="10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{E206AE28-1771-4E23-91F1-F8DFFE56ECD2}</x14:id>
        </ext>
      </extLst>
    </cfRule>
    <cfRule type="dataBar" priority="105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{F99E5B98-471E-4B0F-B396-BC93938B0ADD}</x14:id>
        </ext>
      </extLst>
    </cfRule>
    <cfRule type="dataBar" priority="1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{9E7FB04B-DBA7-420C-8F63-2BC339DDA5C9}</x14:id>
        </ext>
      </extLst>
    </cfRule>
    <cfRule type="dataBar" priority="105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{28F59C69-C006-4056-AB45-BB070180B32F}</x14:id>
        </ext>
      </extLst>
    </cfRule>
    <cfRule type="dataBar" priority="105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{59B4E9FE-7598-439F-A875-214FF1522CA9}</x14:id>
        </ext>
      </extLst>
    </cfRule>
    <cfRule type="dataBar" priority="10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{51CA0D13-1A1C-46AC-93B2-6F483CAEDB81}</x14:id>
        </ext>
      </extLst>
    </cfRule>
    <cfRule type="dataBar" priority="10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{743F8AB4-5658-41AF-A123-98D4A4BB0D36}</x14:id>
        </ext>
      </extLst>
    </cfRule>
    <cfRule type="dataBar" priority="10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{A3972A3D-D624-49CF-A3AC-A6F3875E7A4B}</x14:id>
        </ext>
      </extLst>
    </cfRule>
    <cfRule type="dataBar" priority="10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{9B152C47-4B81-48CC-98E8-B8473D54408F}</x14:id>
        </ext>
      </extLst>
    </cfRule>
    <cfRule type="dataBar" priority="10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{B2EFCC6A-180B-4C21-BAF6-ADF966F6DECF}</x14:id>
        </ext>
      </extLst>
    </cfRule>
    <cfRule type="dataBar" priority="1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{BF01D62E-F1A8-44C5-A4FA-E9A41934D25C}</x14:id>
        </ext>
      </extLst>
    </cfRule>
    <cfRule type="dataBar" priority="104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{E1059C17-529D-44CD-8CF1-8AD5902C2D7C}</x14:id>
        </ext>
      </extLst>
    </cfRule>
    <cfRule type="dataBar" priority="1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{533C4672-59B1-47D3-B355-B64744DC6843}</x14:id>
        </ext>
      </extLst>
    </cfRule>
    <cfRule type="dataBar" priority="104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{31345DA4-147F-401A-BCED-F3B455C4F87C}</x14:id>
        </ext>
      </extLst>
    </cfRule>
    <cfRule type="dataBar" priority="10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{9C943F00-A161-48CD-A0D3-C4CD14F318A0}</x14:id>
        </ext>
      </extLst>
    </cfRule>
    <cfRule type="dataBar" priority="10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{DB46EB29-EB1F-4065-9DE3-EB53F682F4AB}</x14:id>
        </ext>
      </extLst>
    </cfRule>
    <cfRule type="dataBar" priority="103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{05C58B99-7304-46EE-95E4-4345D0DCFC75}</x14:id>
        </ext>
      </extLst>
    </cfRule>
    <cfRule type="dataBar" priority="103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{AEAAAABA-5903-4384-AF99-4FDE7F56D485}</x14:id>
        </ext>
      </extLst>
    </cfRule>
    <cfRule type="dataBar" priority="10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{7BFB2908-7E1F-4ACF-AE31-41C719B1086B}</x14:id>
        </ext>
      </extLst>
    </cfRule>
    <cfRule type="dataBar" priority="10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{8F694565-E6FA-4A9B-98C7-32B41AC948E5}</x14:id>
        </ext>
      </extLst>
    </cfRule>
    <cfRule type="dataBar" priority="10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{613272B8-3B4E-4870-902E-01D87D6C8CAA}</x14:id>
        </ext>
      </extLst>
    </cfRule>
    <cfRule type="dataBar" priority="10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{6ECA21D8-2406-4CFD-A77E-E941F6896D8B}</x14:id>
        </ext>
      </extLst>
    </cfRule>
    <cfRule type="dataBar" priority="10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{0C731446-33D5-4072-B523-BF695C91B204}</x14:id>
        </ext>
      </extLst>
    </cfRule>
    <cfRule type="dataBar" priority="10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{B98239C4-81CA-4654-ACAC-2CA0D0DCCD11}</x14:id>
        </ext>
      </extLst>
    </cfRule>
    <cfRule type="dataBar" priority="10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{3536EF7F-AEDF-43A7-A867-6164BA5501A4}</x14:id>
        </ext>
      </extLst>
    </cfRule>
    <cfRule type="dataBar" priority="10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{7C1609B7-10B8-4DE7-A5FA-F96D45D7918B}</x14:id>
        </ext>
      </extLst>
    </cfRule>
    <cfRule type="dataBar" priority="10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{F17B8F82-F030-4F97-A636-2CEFEDDD5027}</x14:id>
        </ext>
      </extLst>
    </cfRule>
    <cfRule type="dataBar" priority="10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{5C688AF9-3F38-4B5B-84D8-7FF6D870862D}</x14:id>
        </ext>
      </extLst>
    </cfRule>
  </conditionalFormatting>
  <conditionalFormatting sqref="AV20">
    <cfRule type="dataBar" priority="34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{0EB699F5-9473-43FF-92AD-42FC6F5C2FB6}</x14:id>
        </ext>
      </extLst>
    </cfRule>
    <cfRule type="dataBar" priority="3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{83A70B04-6313-4D4D-B7FE-B09ABBEF60DC}</x14:id>
        </ext>
      </extLst>
    </cfRule>
    <cfRule type="dataBar" priority="3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{5EBFEE06-BAF8-469A-B05D-A8DD2AED485F}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{78D523AC-E8DC-43F3-B977-970B3FF3F4F1}</x14:id>
        </ext>
      </extLst>
    </cfRule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{15F53D45-50FD-480D-9636-B3C151CAC9BA}</x14:id>
        </ext>
      </extLst>
    </cfRule>
    <cfRule type="dataBar" priority="3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{EF228CDC-8F1B-455F-99CA-F710F62DC4D2}</x14:id>
        </ext>
      </extLst>
    </cfRule>
    <cfRule type="dataBar" priority="33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{78E7C68E-21F1-4F98-8543-5BC86C85B470}</x14:id>
        </ext>
      </extLst>
    </cfRule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{399430C8-2B74-4CC4-ABEA-29148D67F737}</x14:id>
        </ext>
      </extLst>
    </cfRule>
    <cfRule type="dataBar" priority="34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{8F06C24A-CA36-4243-B7F3-B4AAE74595B1}</x14:id>
        </ext>
      </extLst>
    </cfRule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{8826F891-9203-451D-8774-D27B0A9BDFD2}</x14:id>
        </ext>
      </extLst>
    </cfRule>
    <cfRule type="dataBar" priority="3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{436E7917-B65F-4EA5-B4ED-38461C89179B}</x14:id>
        </ext>
      </extLst>
    </cfRule>
    <cfRule type="dataBar" priority="34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{408B8D8B-D428-41DF-93DD-BA7090655D81}</x14:id>
        </ext>
      </extLst>
    </cfRule>
    <cfRule type="dataBar" priority="3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{A53A827E-B792-498A-88CE-F030531F34D5}</x14:id>
        </ext>
      </extLst>
    </cfRule>
  </conditionalFormatting>
  <conditionalFormatting sqref="AV21">
    <cfRule type="dataBar" priority="9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{35F79216-648C-4E4B-B8EF-509267A9AE32}</x14:id>
        </ext>
      </extLst>
    </cfRule>
    <cfRule type="dataBar" priority="9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{536F4AB6-7B4B-4CBA-892F-6499D0055D19}</x14:id>
        </ext>
      </extLst>
    </cfRule>
    <cfRule type="dataBar" priority="101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{1C4C361F-0EBD-42EE-B54C-18984B082515}</x14:id>
        </ext>
      </extLst>
    </cfRule>
    <cfRule type="dataBar" priority="10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{3A7BBA7C-FCE6-46CB-B952-8C85B8363272}</x14:id>
        </ext>
      </extLst>
    </cfRule>
    <cfRule type="dataBar" priority="9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{F6D363A5-5EDE-4DB6-847E-6A2E1F2885DB}</x14:id>
        </ext>
      </extLst>
    </cfRule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{19B4ABED-CEBA-4A8C-A2FE-D3EDD0367E60}</x14:id>
        </ext>
      </extLst>
    </cfRule>
    <cfRule type="dataBar" priority="10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{F5F546EF-81FF-4FEC-9DDD-B49AD4766737}</x14:id>
        </ext>
      </extLst>
    </cfRule>
    <cfRule type="dataBar" priority="99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{9C769451-8C1F-415F-9ACA-7FD6E29F46C4}</x14:id>
        </ext>
      </extLst>
    </cfRule>
    <cfRule type="dataBar" priority="100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{95095BED-2E18-425B-B257-E6A27A106894}</x14:id>
        </ext>
      </extLst>
    </cfRule>
    <cfRule type="dataBar" priority="100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{6CD21747-9A88-44ED-AB91-4781CC9FD311}</x14:id>
        </ext>
      </extLst>
    </cfRule>
    <cfRule type="dataBar" priority="102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{8E34F84E-556B-423B-A999-BAB6CE5FA98D}</x14:id>
        </ext>
      </extLst>
    </cfRule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{A25A250B-3644-4247-B3E5-D5B31D1F352A}</x14:id>
        </ext>
      </extLst>
    </cfRule>
    <cfRule type="dataBar" priority="100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{8345B09F-CF6B-494F-B1AA-F44F70D811D0}</x14:id>
        </ext>
      </extLst>
    </cfRule>
    <cfRule type="dataBar" priority="10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{C6296319-EB01-4578-B134-AC61587E105D}</x14:id>
        </ext>
      </extLst>
    </cfRule>
    <cfRule type="dataBar" priority="102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{7EE39E33-F80E-4661-942A-97C4A32519FE}</x14:id>
        </ext>
      </extLst>
    </cfRule>
    <cfRule type="dataBar" priority="10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{E78186C4-9753-4FA7-ADCF-FFB874C2BF87}</x14:id>
        </ext>
      </extLst>
    </cfRule>
    <cfRule type="dataBar" priority="101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{D0AF5249-CE45-4A0E-BEE6-AA4660DD321E}</x14:id>
        </ext>
      </extLst>
    </cfRule>
    <cfRule type="dataBar" priority="10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{4C3F4039-1783-4196-A09F-043B50E5B673}</x14:id>
        </ext>
      </extLst>
    </cfRule>
    <cfRule type="dataBar" priority="10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{8F459150-14D4-41D7-9B8E-8B68B815D59F}</x14:id>
        </ext>
      </extLst>
    </cfRule>
    <cfRule type="dataBar" priority="101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{499A60C7-BB22-4019-B9F3-5826CADFA046}</x14:id>
        </ext>
      </extLst>
    </cfRule>
    <cfRule type="dataBar" priority="10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{75247BF6-5C75-44DB-A3A3-2A32A7140016}</x14:id>
        </ext>
      </extLst>
    </cfRule>
    <cfRule type="dataBar" priority="10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{0773343F-5105-4ABE-86A4-719B05CE4C5D}</x14:id>
        </ext>
      </extLst>
    </cfRule>
    <cfRule type="dataBar" priority="100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{6F28B4C3-694E-41BC-99B1-B4630DD90754}</x14:id>
        </ext>
      </extLst>
    </cfRule>
    <cfRule type="dataBar" priority="100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{5954CEDC-CD2D-4247-9DF0-59A465F2D88A}</x14:id>
        </ext>
      </extLst>
    </cfRule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{52698C3A-D9ED-45B0-8E19-35BA9ABB200E}</x14:id>
        </ext>
      </extLst>
    </cfRule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{1F6E537F-E212-46A0-89FC-ECA4B38FA957}</x14:id>
        </ext>
      </extLst>
    </cfRule>
    <cfRule type="dataBar" priority="100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{7EC27292-3AC7-4DC0-B846-50659534983D}</x14:id>
        </ext>
      </extLst>
    </cfRule>
    <cfRule type="dataBar" priority="100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{D1A16D08-2C55-4B09-967E-2430BD2ECDE8}</x14:id>
        </ext>
      </extLst>
    </cfRule>
    <cfRule type="dataBar" priority="101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{70752943-A159-4875-965D-B1CE03DD08C4}</x14:id>
        </ext>
      </extLst>
    </cfRule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{FCCDE0DA-57CC-48CD-97BE-839C77D967AB}</x14:id>
        </ext>
      </extLst>
    </cfRule>
  </conditionalFormatting>
  <conditionalFormatting sqref="AV22">
    <cfRule type="dataBar" priority="276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{7ADE132A-58FF-46D5-A5DE-5A81C2408E54}</x14:id>
        </ext>
      </extLst>
    </cfRule>
    <cfRule type="dataBar" priority="27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{487EB2D3-A5EC-48F5-8165-08FC5C21AD12}</x14:id>
        </ext>
      </extLst>
    </cfRule>
    <cfRule type="dataBar" priority="275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{B267FCE9-7C81-42BD-892A-F7CDA2D893E4}</x14:id>
        </ext>
      </extLst>
    </cfRule>
    <cfRule type="dataBar" priority="27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{C8E97193-5657-44C9-A003-A824960F5116}</x14:id>
        </ext>
      </extLst>
    </cfRule>
    <cfRule type="dataBar" priority="274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{15D80F0C-B6DB-4F2D-BC9C-0890F1A99E91}</x14:id>
        </ext>
      </extLst>
    </cfRule>
    <cfRule type="dataBar" priority="27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{62568060-DB2C-45ED-B543-6CA94EA8D49B}</x14:id>
        </ext>
      </extLst>
    </cfRule>
    <cfRule type="dataBar" priority="27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{3A12678B-63CA-40D9-A420-234EE82F618E}</x14:id>
        </ext>
      </extLst>
    </cfRule>
    <cfRule type="dataBar" priority="27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{1F82A8AF-C460-40A6-926C-93DD193035EA}</x14:id>
        </ext>
      </extLst>
    </cfRule>
    <cfRule type="dataBar" priority="2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{232D9E14-3FCC-4FAE-8995-44465796E828}</x14:id>
        </ext>
      </extLst>
    </cfRule>
    <cfRule type="dataBar" priority="27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{837E5132-0108-414D-B4FF-E6312D91C127}</x14:id>
        </ext>
      </extLst>
    </cfRule>
    <cfRule type="dataBar" priority="275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{9B8A3916-DFA9-4267-A58F-C1018C38C016}</x14:id>
        </ext>
      </extLst>
    </cfRule>
    <cfRule type="dataBar" priority="275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{F30B4AC6-6D24-4F0A-8403-24E85DFFE174}</x14:id>
        </ext>
      </extLst>
    </cfRule>
    <cfRule type="dataBar" priority="2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{67D1297D-9D0E-47E3-8C2A-494839192B58}</x14:id>
        </ext>
      </extLst>
    </cfRule>
  </conditionalFormatting>
  <conditionalFormatting sqref="AV23:AV25">
    <cfRule type="dataBar" priority="27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{3FB276E2-F405-45E3-86ED-9BE0C7A88C62}</x14:id>
        </ext>
      </extLst>
    </cfRule>
    <cfRule type="dataBar" priority="27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{63E0B492-73B6-4E69-9082-013FA5337AD4}</x14:id>
        </ext>
      </extLst>
    </cfRule>
    <cfRule type="dataBar" priority="276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{861D1059-1F3A-440F-866A-1D9E43111745}</x14:id>
        </ext>
      </extLst>
    </cfRule>
    <cfRule type="dataBar" priority="277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{DF4F367E-5698-4D74-A9F1-103D01F717B7}</x14:id>
        </ext>
      </extLst>
    </cfRule>
    <cfRule type="dataBar" priority="2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{6776D26E-B943-4B1F-8937-0CBBE8DF9750}</x14:id>
        </ext>
      </extLst>
    </cfRule>
    <cfRule type="dataBar" priority="2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{5E3EC49E-4971-4A37-A641-426C3F7F0C5B}</x14:id>
        </ext>
      </extLst>
    </cfRule>
    <cfRule type="dataBar" priority="27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{AC61A846-B3CA-4007-9F47-594BF7024C94}</x14:id>
        </ext>
      </extLst>
    </cfRule>
    <cfRule type="dataBar" priority="2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{FB134777-0C95-435E-9B5A-0101CC272918}</x14:id>
        </ext>
      </extLst>
    </cfRule>
    <cfRule type="dataBar" priority="2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{9DDAC8A4-9096-4406-9B18-FAEE3ACE3B0F}</x14:id>
        </ext>
      </extLst>
    </cfRule>
    <cfRule type="dataBar" priority="27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{49B9AF52-4F98-4B74-A17F-4D4BBBFCD06C}</x14:id>
        </ext>
      </extLst>
    </cfRule>
    <cfRule type="dataBar" priority="277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{A6753C83-472A-4BBA-B545-BED3B672096B}</x14:id>
        </ext>
      </extLst>
    </cfRule>
    <cfRule type="dataBar" priority="276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{4B68A869-1BBB-469A-8824-E7ADA4623C59}</x14:id>
        </ext>
      </extLst>
    </cfRule>
    <cfRule type="dataBar" priority="276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{27EA8ED9-ACA1-42CC-8827-54AFF2225FDA}</x14:id>
        </ext>
      </extLst>
    </cfRule>
    <cfRule type="dataBar" priority="276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{7CD204A7-60B2-410A-8B0D-33506BE4D2AB}</x14:id>
        </ext>
      </extLst>
    </cfRule>
    <cfRule type="dataBar" priority="276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{F6D947EB-5CA1-437A-957A-8B8D1DF15AE4}</x14:id>
        </ext>
      </extLst>
    </cfRule>
    <cfRule type="dataBar" priority="276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{926877A7-3638-41E8-B122-64E0DEE8987C}</x14:id>
        </ext>
      </extLst>
    </cfRule>
    <cfRule type="dataBar" priority="2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{14DD0385-2BA5-49C9-B8D5-066DF8CE49D5}</x14:id>
        </ext>
      </extLst>
    </cfRule>
  </conditionalFormatting>
  <conditionalFormatting sqref="AV26">
    <cfRule type="dataBar" priority="9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{282E0A5D-BB2A-4BFF-B816-5DC8AEC4D6E8}</x14:id>
        </ext>
      </extLst>
    </cfRule>
    <cfRule type="dataBar" priority="98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{6D6EA3A4-C42E-40A8-8F00-3F2DA38FA9DA}</x14:id>
        </ext>
      </extLst>
    </cfRule>
    <cfRule type="dataBar" priority="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{29E033CF-08EC-49ED-8C81-145E62979345}</x14:id>
        </ext>
      </extLst>
    </cfRule>
    <cfRule type="dataBar" priority="9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{EBD61AB7-512C-401B-9F81-F56710F19537}</x14:id>
        </ext>
      </extLst>
    </cfRule>
    <cfRule type="dataBar" priority="9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{C050EF47-9259-4E46-9DA2-684A86997940}</x14:id>
        </ext>
      </extLst>
    </cfRule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{3EB1030A-2FAB-4681-BDD8-867F41F3AEF3}</x14:id>
        </ext>
      </extLst>
    </cfRule>
    <cfRule type="dataBar" priority="9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{68C90AE6-21D1-4913-A101-8EFBA88C462E}</x14:id>
        </ext>
      </extLst>
    </cfRule>
    <cfRule type="dataBar" priority="97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{052E838A-17C5-40D7-96DC-A23F4942C66E}</x14:id>
        </ext>
      </extLst>
    </cfRule>
    <cfRule type="dataBar" priority="9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{616D4A53-679E-4A23-8731-3B048BF9165D}</x14:id>
        </ext>
      </extLst>
    </cfRule>
    <cfRule type="dataBar" priority="9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{947592DA-517E-4860-825F-07001E85D6A6}</x14:id>
        </ext>
      </extLst>
    </cfRule>
    <cfRule type="dataBar" priority="9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{EEBC356E-2C16-42F7-A4B0-15EFA6C599B5}</x14:id>
        </ext>
      </extLst>
    </cfRule>
    <cfRule type="dataBar" priority="9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{97CCF593-EA29-442C-926F-D830F38BD2AC}</x14:id>
        </ext>
      </extLst>
    </cfRule>
    <cfRule type="dataBar" priority="9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{4D2D83F1-CC6C-4E8C-B14B-5FBC05F1DD24}</x14:id>
        </ext>
      </extLst>
    </cfRule>
    <cfRule type="dataBar" priority="9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{3F2D01A9-B32B-4FF1-B031-526D95CE132C}</x14:id>
        </ext>
      </extLst>
    </cfRule>
    <cfRule type="dataBar" priority="9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{0520750B-61FC-4104-B85C-89586179E549}</x14:id>
        </ext>
      </extLst>
    </cfRule>
    <cfRule type="dataBar" priority="9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{DC6BA632-5CCD-4B6E-9F11-934D54DF1573}</x14:id>
        </ext>
      </extLst>
    </cfRule>
    <cfRule type="dataBar" priority="97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{0BCE0ED8-37D0-4A5E-9F15-B6942B859104}</x14:id>
        </ext>
      </extLst>
    </cfRule>
    <cfRule type="dataBar" priority="97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{3725DE6F-1522-4170-9D06-174B3095BAD2}</x14:id>
        </ext>
      </extLst>
    </cfRule>
    <cfRule type="dataBar" priority="9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{74C933BA-8A9B-4B08-84F2-2846FF0A889C}</x14:id>
        </ext>
      </extLst>
    </cfRule>
    <cfRule type="dataBar" priority="99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{8CC04A0A-1DFF-477C-93F6-6E6B406CADAF}</x14:id>
        </ext>
      </extLst>
    </cfRule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{B6345889-DC79-47C9-8EFB-9DAADA560459}</x14:id>
        </ext>
      </extLst>
    </cfRule>
    <cfRule type="dataBar" priority="99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{9D9AEF49-86F2-4930-8D76-C011C72E9411}</x14:id>
        </ext>
      </extLst>
    </cfRule>
    <cfRule type="dataBar" priority="98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{55E24EA1-9E83-49B2-B3B4-ECCA720A50D2}</x14:id>
        </ext>
      </extLst>
    </cfRule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{812D935C-0720-4E7C-BC8C-AD3E4AC3045E}</x14:id>
        </ext>
      </extLst>
    </cfRule>
    <cfRule type="dataBar" priority="9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{2B359FCC-161C-4638-A817-D9D96684D905}</x14:id>
        </ext>
      </extLst>
    </cfRule>
    <cfRule type="dataBar" priority="9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{70BA5671-3DCC-43B1-B73E-DF126212B615}</x14:id>
        </ext>
      </extLst>
    </cfRule>
    <cfRule type="dataBar" priority="9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{4A7BD18E-66DF-4C51-971E-2DF937533BD6}</x14:id>
        </ext>
      </extLst>
    </cfRule>
    <cfRule type="dataBar" priority="9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{E1EE968C-364F-4FFD-846E-6658A65D207E}</x14:id>
        </ext>
      </extLst>
    </cfRule>
    <cfRule type="dataBar" priority="9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{5530120E-BA5F-47DC-859D-28D78C0B04C1}</x14:id>
        </ext>
      </extLst>
    </cfRule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{8F06704B-92E2-49ED-B730-95D2CA5143F1}</x14:id>
        </ext>
      </extLst>
    </cfRule>
  </conditionalFormatting>
  <conditionalFormatting sqref="AV27:AV28">
    <cfRule type="dataBar" priority="1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{69EF33C4-AB8F-4739-8903-539D40A15080}</x14:id>
        </ext>
      </extLst>
    </cfRule>
    <cfRule type="dataBar" priority="10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{BFF12816-E171-42A1-9896-3898643D2F9F}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{5BFE7D20-071D-4FFC-B8DC-DF8D2D770753}</x14:id>
        </ext>
      </extLst>
    </cfRule>
    <cfRule type="dataBar" priority="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{99D91D81-19A1-44CD-B916-9938E6D01815}</x14:id>
        </ext>
      </extLst>
    </cfRule>
    <cfRule type="dataBar" priority="1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{811DFF0B-9EE3-4C0D-82B1-A1B161EB2ABC}</x14:id>
        </ext>
      </extLst>
    </cfRule>
    <cfRule type="dataBar" priority="1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{9CDED22A-83AC-439A-BAAC-9EDDE869331D}</x14:id>
        </ext>
      </extLst>
    </cfRule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{60B5C31B-D237-4447-968D-4D8CF34E6D9A}</x14:id>
        </ext>
      </extLst>
    </cfRule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{05DB48B5-689D-4368-B8EE-09873B476DE8}</x14:id>
        </ext>
      </extLst>
    </cfRule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{485239C2-7136-4153-B3A1-154E675001B7}</x14:id>
        </ext>
      </extLst>
    </cfRule>
    <cfRule type="dataBar" priority="9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{EBCEF34A-6D97-46B5-B5A3-84CFE78E3ABA}</x14:id>
        </ext>
      </extLst>
    </cfRule>
    <cfRule type="dataBar" priority="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{A910F6A9-9828-4144-8573-925AFE77565B}</x14:id>
        </ext>
      </extLst>
    </cfRule>
    <cfRule type="dataBar" priority="1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{730414BD-FFFB-45AB-B250-2AD236A7A177}</x14:id>
        </ext>
      </extLst>
    </cfRule>
    <cfRule type="dataBar" priority="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{D06FC945-66FA-42E8-B1DF-976AE61C496E}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0E7AAD-CF95-4FFB-80EF-3B4BE07FA2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0342E1-27C2-4635-868A-6EE2CF8472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3EFD46-F1C8-49E6-BD80-56DC9EB82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C3AABC-E897-4596-94CD-E3C27DDAF1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B5:C22</xm:sqref>
        </x14:conditionalFormatting>
        <x14:conditionalFormatting xmlns:xm="http://schemas.microsoft.com/office/excel/2006/main">
          <x14:cfRule type="dataBar" id="{AA63045D-60B8-4CF8-BB72-B0D5621B39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31ADE1-D75C-45C9-B3B7-D938E263B0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901603-B712-46EF-B376-A8457289A6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4EE6AD-542D-4EFD-A012-E7A114B744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B23:C24</xm:sqref>
        </x14:conditionalFormatting>
        <x14:conditionalFormatting xmlns:xm="http://schemas.microsoft.com/office/excel/2006/main">
          <x14:cfRule type="dataBar" id="{C5884877-24F5-4F14-A305-AC1C5CEA0D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E25</xm:sqref>
        </x14:conditionalFormatting>
        <x14:conditionalFormatting xmlns:xm="http://schemas.microsoft.com/office/excel/2006/main">
          <x14:cfRule type="dataBar" id="{5A58E3D5-1000-46FB-A1D7-1C136507A1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</xm:sqref>
        </x14:conditionalFormatting>
        <x14:conditionalFormatting xmlns:xm="http://schemas.microsoft.com/office/excel/2006/main">
          <x14:cfRule type="dataBar" id="{B7D3BC09-6E5F-4975-9132-B05C66B3EB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E29</xm:sqref>
        </x14:conditionalFormatting>
        <x14:conditionalFormatting xmlns:xm="http://schemas.microsoft.com/office/excel/2006/main">
          <x14:cfRule type="dataBar" id="{0D141BF5-79CE-4CE0-9239-F7CE561F88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F5:F24</xm:sqref>
        </x14:conditionalFormatting>
        <x14:conditionalFormatting xmlns:xm="http://schemas.microsoft.com/office/excel/2006/main">
          <x14:cfRule type="dataBar" id="{8F188CB9-A510-40DB-8FA2-A3F0C4781B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5F1484-7829-4C84-A0BE-3D3A47799B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F585EB-8EBD-4FC7-935F-B24BB2E629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05F32B-A1E0-4092-8044-06120F28D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711E75-1BC1-463C-8BC8-64AF4BBD6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1509B9-093B-4195-AB2D-9994A5A13C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F5:F25</xm:sqref>
        </x14:conditionalFormatting>
        <x14:conditionalFormatting xmlns:xm="http://schemas.microsoft.com/office/excel/2006/main">
          <x14:cfRule type="dataBar" id="{4D8A60AB-5F6F-42F4-92DD-A029F23B7B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A49803-E44E-4C9E-936D-D4093586C6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78B530-7FAF-446A-97AA-09DCD7A77D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DEAD9C-45A8-40CB-AD48-261376BF0E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8256AE-7914-4A2B-B519-1B713C3BB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ACDAB6-709A-4F41-8F37-1F5913705D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D910B8-9C82-40E1-B448-42AB914B96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FAFA4C-3E09-4311-B51F-53E47B6280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80BBB9-6101-4404-9108-4ADAA6874C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79D141-805D-4812-AF75-B53A1367D6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3776A3-0D9A-438A-829A-55677360DF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F74CB6-0675-488C-B09D-46631B133F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C4DC83-D855-493E-A4E1-21128227BA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EB42F1-2B47-4C0F-A8EB-02B4FA852A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62DBB6-A49D-4AEE-9D3D-677014A226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7FB7DD-AFCB-4E12-89D9-79CBF84F01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D095CA-A427-4EF7-8A2F-0D003165D9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F5:F26</xm:sqref>
        </x14:conditionalFormatting>
        <x14:conditionalFormatting xmlns:xm="http://schemas.microsoft.com/office/excel/2006/main">
          <x14:cfRule type="dataBar" id="{B5D52ADE-DACE-46C8-B7CA-CAC9BAD1FF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F5:F28</xm:sqref>
        </x14:conditionalFormatting>
        <x14:conditionalFormatting xmlns:xm="http://schemas.microsoft.com/office/excel/2006/main">
          <x14:cfRule type="dataBar" id="{F74A5C8D-540B-4D61-8C16-79E7AD612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FA966D-0278-47E8-8DDE-77999ECF75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F5:F29</xm:sqref>
        </x14:conditionalFormatting>
        <x14:conditionalFormatting xmlns:xm="http://schemas.microsoft.com/office/excel/2006/main">
          <x14:cfRule type="dataBar" id="{AB5AFFEE-8E4A-4E0E-9D4E-7F1FC82847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57226C-24BA-4905-9146-9E22B4CB55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4F0EBB-9063-46F8-B6F8-F5443F99C9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9218A4-8394-4782-8C23-D7CC7A1B4C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2F14FB-F7B9-4FE2-ABAA-26353454C3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59AF21-AAA8-4363-BE9D-F32F647075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A57B58-480E-4397-9F41-CA8F3B17D9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F322DE-F240-4D09-9E7D-326F5DD738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CA5338-E8BE-423A-A495-569DA85E53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13916C-120B-4656-A6CD-BC46A616DE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2893F8-6FCA-40E4-B24E-2FE8FD511B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5EB581-DC37-40BB-A63A-81222CD9DF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6D8F00-D0EF-46B0-9DA4-0D0BFDA6BE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EABD6D-1A91-4E3A-8916-8CAF9C2C4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6305D5-F7C1-47E3-8E89-2EF563A31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621AC9-150F-475D-AD9F-9B80BC48A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9758E2-A6F3-4397-8350-E44B493BDB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F27</xm:sqref>
        </x14:conditionalFormatting>
        <x14:conditionalFormatting xmlns:xm="http://schemas.microsoft.com/office/excel/2006/main">
          <x14:cfRule type="dataBar" id="{75931DDF-FD56-4541-A719-55D7F80375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71156D-5D72-457C-A54B-FB4F2E4C4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A1B729-5081-4534-982C-9039346D8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FF3948-DF72-4331-9A2B-110968660C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2AD57C-72B7-42BB-8757-B1960FE3C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780A00-4AAC-4855-9496-1209BCF4F8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A909A4-97AD-4F91-9D62-E57EFC7288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9E2073-8543-4165-A119-213585F92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C65A52-4CBF-4910-B14F-AFE9034B0A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71BBBE-7204-4E6E-8D10-A79613B989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1CAD4C-6991-45F2-810C-8D14B0A79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39D98F-D131-4017-B1B0-436087427D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3EDB28-C6A1-4224-97A8-345E1B4168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0A2E15-68E1-4EEB-9D28-FF200430EB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05A509-1739-46BF-858F-FF568569AC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325184-9322-4FCD-B24D-AA4EC298DC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A7942C-CC98-4BE6-AA8C-F99EE93DF9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F28</xm:sqref>
        </x14:conditionalFormatting>
        <x14:conditionalFormatting xmlns:xm="http://schemas.microsoft.com/office/excel/2006/main">
          <x14:cfRule type="dataBar" id="{27B2E709-DD00-4671-954A-5668C3BFBD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05FB70-6B66-4FFA-8D95-CD3A5DFF33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F645D0-1641-4C1B-9615-AF1DF26A2C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9C8933-A7C2-4D20-AC1E-BF027EEA86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52B7FB-8BA9-4852-93DC-D7486F4FFF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481A23-08C4-4EC0-A2F6-95C4C2F18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3A9BF1-F5F9-4581-8912-4191C3A9B4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B4C8AB-10D0-45DF-AD1B-494BF3454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5B2A27-1C76-4630-9E0B-1A96EAB95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F264EE-134D-4D8A-97D3-9704714560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40CDD5-5E3A-460E-9FC2-223BF333D5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5DB369-67E2-4F9A-B90C-6B208130E0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024D66-E9B8-4DEB-B1AA-E898188168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5BE833-D67E-4CBE-A5E4-57D4DBD3B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7EC407-0FCD-4377-9906-490328C125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A33AA8-5563-40FC-9162-A8731B9BB8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358F59-E3A8-499A-94EF-42C0B1C384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6BC001-C2F9-4F6E-A11D-5DA3932E32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F29</xm:sqref>
        </x14:conditionalFormatting>
        <x14:conditionalFormatting xmlns:xm="http://schemas.microsoft.com/office/excel/2006/main">
          <x14:cfRule type="dataBar" id="{EC4E5F11-5A78-4AB8-9E78-ED4130FB77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D223A4-F48D-4AD0-B231-1BED10B011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F3DDC7-0B69-4B4D-BC11-A6AABBAC20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5A90BD-C4E3-4C07-8552-471B0CFC83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AA0B4D-DD47-4899-8B98-F2E7108C39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F2DFE6-EBB6-4A07-9F21-1940D33E48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A9E95B-7526-45AE-B371-8DD6070A42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CFB644-3712-4B0D-9514-77D0B7B06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</xm:sqref>
        </x14:conditionalFormatting>
        <x14:conditionalFormatting xmlns:xm="http://schemas.microsoft.com/office/excel/2006/main">
          <x14:cfRule type="dataBar" id="{0F958852-B910-492C-BAA9-EC29EBBA0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3058DE-CC6A-4D03-BC96-CFE3EAC4F7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C3AE83-D6B1-4CEE-A317-B48D02660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DB8A7A-3FC7-4D84-8FEE-A49CA3E5D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213D15-3B8C-4A05-A466-7DC1FE206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A7D129-3312-454B-908B-F829D1266A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3C5E11-B5BA-4C62-8CF9-74CA271E8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D3BABD-3006-41DF-AAEB-5CFE0E2600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</xm:sqref>
        </x14:conditionalFormatting>
        <x14:conditionalFormatting xmlns:xm="http://schemas.microsoft.com/office/excel/2006/main">
          <x14:cfRule type="dataBar" id="{1428E66D-4613-47DD-BB4C-88B2655C2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87FD4A-9202-4C03-A756-25300C9592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C7CAE6-A130-460B-A916-FB028C610B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054C12-C660-45BE-864C-B076D3509E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22B4A2-BA7F-4B7F-BC0B-C941B7FE02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1DBBCA-1257-4248-80EF-1078D0E88B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E8CCDB-7543-4789-9075-CA9C747D68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D5A844-F1F6-4AF6-9A23-AEA4B6C15A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</xm:sqref>
        </x14:conditionalFormatting>
        <x14:conditionalFormatting xmlns:xm="http://schemas.microsoft.com/office/excel/2006/main">
          <x14:cfRule type="dataBar" id="{0C6FB16C-1A4B-49D3-8483-1E5C59C39F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C1F82C-8D51-4ECF-BE92-5D5331CA7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900673-C12C-4299-9BF6-BF3D28880C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1B361D-3309-48DE-951D-28F0FF3769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44991E-B139-4DC2-B68F-6A21637512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1D44E7-22D7-480A-AC80-DE242B2EA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EE11DC-490D-4B07-9D04-4C01C80092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77BEE0-130D-485D-B905-6A845589FB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</xm:sqref>
        </x14:conditionalFormatting>
        <x14:conditionalFormatting xmlns:xm="http://schemas.microsoft.com/office/excel/2006/main">
          <x14:cfRule type="dataBar" id="{372AD10F-D333-4C73-8221-09E7175C65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7F68EC-D108-414F-B71E-8CA0EF8A4A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2E3516-8520-4430-BEDA-9F32D500EA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F5EF02-A8AC-4939-84AF-8D82C9A7D9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394DAC-4B5B-4D31-BBC7-EC751FB79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2F0EC1-E4FE-4EFD-9A1F-E89EBC488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4080A5-A39E-45C3-B4E4-5426956CD1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08CD46-EC32-4234-BCC4-7BAC2B33B7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</xm:sqref>
        </x14:conditionalFormatting>
        <x14:conditionalFormatting xmlns:xm="http://schemas.microsoft.com/office/excel/2006/main">
          <x14:cfRule type="dataBar" id="{3568CE16-9C29-43BB-B0E5-7A4F66E94C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51756A-FD71-4630-A4C1-86C88FB302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D3F44B-7509-4D2E-9C7A-1BC94B9EE7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D0B985-5FE6-408B-8DEE-068CAE4445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5A74C1-9329-4C72-9C46-C121BDF43B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EEE72A-BC7E-442E-A277-F22EADDE4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423B92-848E-4F1E-8A19-1B98B3F43C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2CC0BB-0995-4DCF-97C1-D07157DA5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37DA12-7454-440E-8FAD-281EE64DF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9AE7A8-F513-4524-AD7C-4B6320C002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5511FF-ECC0-4ABE-AF36-4C2EE5FAE4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20AF92-E590-49AB-B1C2-2D581B12FA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A762FB-94FE-4D59-BF7F-61B9CDA982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51760-2A36-4D19-8863-F9BB0EDD3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218EB9-5215-4848-A977-106E658FD9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28D22B-4A57-4853-B0F0-41FAACC1A9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F7CA86-AF08-48B6-9161-4B32713B9A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0C9565-3BE3-4136-BF3B-AD5860B28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FBF74C-985A-42E2-A0BF-44A31657D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FAA2E4-2CD3-4529-BBC0-A4B61C0AAE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299BA83B-2E2A-4E9B-98A8-42C0B11D3F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ECCF1A-A603-4697-8FD0-57D006D838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33C400-E952-456B-AC5C-8BDA910BE3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C259D4-E87B-40CE-882A-BB2819D320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522E1E-FDC1-4617-9264-DBDB76D8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0C45F0-B7D5-402E-AF17-61F11E139F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DAD66E-E034-44AD-B33A-487E56AE8F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2DC883-134B-4302-A7D3-7D61612337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</xm:sqref>
        </x14:conditionalFormatting>
        <x14:conditionalFormatting xmlns:xm="http://schemas.microsoft.com/office/excel/2006/main">
          <x14:cfRule type="dataBar" id="{5C2D3C12-EFFD-48AB-871C-0C3135B85F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C3A862-09BF-4600-B041-5BE77E6B1E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3E9099-3172-4B70-B85E-3A92ABC117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C1EED8-7E42-4553-B3B1-6E6FB47CF9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D41111-E4BE-4A85-9F2D-23C2CD6C57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F3638E-DBA6-468D-8026-A68951240A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47704C-F3FE-4051-B284-DC03BDE9B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6E68F9-F961-4EC2-B98E-7AB3BEABA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C30833-66F1-4923-BE0F-7B659B12E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E0DA59-EE1F-4F01-ABCD-119ECFD77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200CCE-94C9-4852-9551-44D5E9B796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F042AA-93EA-40AD-BA51-F21727DC06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4751D2-95E9-4182-B26F-F7271F937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6CF774-47B4-472C-A9B7-26632213D4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9D73A6-B7A7-499C-8065-D0216807E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14B9D5-BDFA-4E9A-81FA-FADF4C4A18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0F4EC7-CB54-4F08-A3E3-5382E18035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C619BA-BE07-4754-B4F0-31C0C860F5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D19B12-C162-4D16-A073-DD804B9C0A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ED6E7E-9A42-4FAE-A5E9-E376CFF88E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7A7543-4463-49A8-926C-2E6AC77706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044637-EC36-4B7C-B774-40A5FE1BA2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AB2D99-F0C2-4CDE-A145-D47E2C9BA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283D2B-3A8A-44CC-B31C-E80C465942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518D91-809A-4819-8D8F-DECB445000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4001C1-B937-4DBE-9DAA-F3F401037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D33BF7-6384-4940-BDB4-7BFF2F9E0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4636E2-14EB-47CB-A94C-B92B5ECD2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9A1AC5-37F5-427B-99EE-0F25F6DBCF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D18C64-C5EF-4418-9A7A-81F16CEE5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G21:G27</xm:sqref>
        </x14:conditionalFormatting>
        <x14:conditionalFormatting xmlns:xm="http://schemas.microsoft.com/office/excel/2006/main">
          <x14:cfRule type="dataBar" id="{FD97435F-0554-4535-B671-1640D23D93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B0DD1C-2212-45F5-B641-63EB089A05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847F36-CA29-447E-990C-EF3B7263AB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9F51E7-A8D4-49FF-9C98-E0167D4B9B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8CDB9C-E2A1-4B58-AF14-FA727E9E68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D05D9A-2EBD-4FD3-B0E9-D77C2E8DEE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312405-715E-4E66-A325-F08702F73C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228053-1EEE-4B94-B411-F5BF8FFEC5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FCAA1E-844D-46A2-8344-6F5C5FE69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B8B7C3-3504-4834-8805-24CC5F9151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C646BC-AB88-4ABA-AB2B-24E5B2C71B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FFCCED-7DBF-4312-9550-ABD321186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6E3D0C-956B-43CA-944B-9BB0B22089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G28</xm:sqref>
        </x14:conditionalFormatting>
        <x14:conditionalFormatting xmlns:xm="http://schemas.microsoft.com/office/excel/2006/main">
          <x14:cfRule type="dataBar" id="{CC7D74F4-9C54-4538-8349-28632BEECF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2D5DBF-438E-4AEC-9A60-3BDF32236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DACD95-2661-41B0-8B1E-475A334BEE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129690-08D4-43B8-BB30-3EE97FF1D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70DF-40CB-44B9-AD8F-11494253BB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967556-6AEC-48F1-8312-FA7E5DC0E0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C65EFB-3991-4DB8-8028-E8EC95CF7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953733-E0ED-4436-9657-81093E074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9809FC-4FD9-4D5F-911E-D745CF474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7474BC-620F-4375-9395-208B970C0F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1A15AB-160D-4A4E-8A20-6C96BBAAA7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8AE3FF-C5A5-4026-9F5B-4E2471E098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479781-6A4C-499A-9447-EA1B7DB80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G29</xm:sqref>
        </x14:conditionalFormatting>
        <x14:conditionalFormatting xmlns:xm="http://schemas.microsoft.com/office/excel/2006/main">
          <x14:cfRule type="dataBar" id="{63C7704A-2646-4285-8511-A1EB9CE11D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997303-DB26-4C71-A902-633CFFA7C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EC9FC2-2803-42C5-AE4C-C160DCE83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D96C36-9E6E-456E-91EC-8FFE7AE363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EAF39D-EBD7-4061-8363-BB5F72FE4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2D4E3A-3900-4F1F-9296-FF6B1094A1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01C862-35B9-464F-91A0-5D6CB468CD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788ECE-28B1-405B-B345-6E860AB78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G5:H5</xm:sqref>
        </x14:conditionalFormatting>
        <x14:conditionalFormatting xmlns:xm="http://schemas.microsoft.com/office/excel/2006/main">
          <x14:cfRule type="dataBar" id="{4245D537-C22C-4D6E-8064-8FACA97C26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704731-2F17-4851-91F2-28AFDE31B6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DA1914-5FCC-43B7-9DB9-38D19EC6D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26F4D0-F7FE-4EB3-B462-927D672ED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503834-4D72-4DE2-A6A6-8A1056C940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95A162-0341-4F60-BC87-A7BF1DE42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57AD39-913B-410C-A70E-553BF0D05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1D9A8E-A151-4DA8-A389-BF5ED74E2E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21812E-4F1D-403A-9590-4AABA2E7B6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530787-8945-4713-AE2E-D69C7E5B20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0F8960-158B-4590-9CD3-9B83BC62B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D032DE-DCAE-4620-B4E4-8085D1D861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G5:H12 G14:H17 G18:G20 H18:H27</xm:sqref>
        </x14:conditionalFormatting>
        <x14:conditionalFormatting xmlns:xm="http://schemas.microsoft.com/office/excel/2006/main">
          <x14:cfRule type="dataBar" id="{47698EC0-D608-4852-A24D-63CABF2C03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G5:H17 G18:G20 H18:H27 E5:E23</xm:sqref>
        </x14:conditionalFormatting>
        <x14:conditionalFormatting xmlns:xm="http://schemas.microsoft.com/office/excel/2006/main">
          <x14:cfRule type="dataBar" id="{9B81F867-84A0-4371-80E5-62E588590B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330A33-E830-4D01-AD6F-1B45C54A15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310027-9228-45E6-9978-C3CE882B66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4E72F3-440F-4B55-A37C-6288438C95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74C6B2-4487-4FCC-ACFD-E29D5A6528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914CC3-2ED7-4FC9-85E3-50533733D3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8F960C-5A03-4592-9634-EA696D4742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D02FC0-1C25-48AB-B6C7-FD48817D69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F03ADB-B189-4C35-AE66-DD76236F3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12233E-C8DA-4F10-9E21-DDC4F405B4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C684F3-CB2E-47EA-8A32-6EA65DBEDF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G12:H12</xm:sqref>
        </x14:conditionalFormatting>
        <x14:conditionalFormatting xmlns:xm="http://schemas.microsoft.com/office/excel/2006/main">
          <x14:cfRule type="dataBar" id="{A69AC3B8-9019-4D5F-8FD9-7D18DE2A22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AF22E3-9EA9-49D2-A155-7E532F8B9A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85B9F5-54A5-4063-881C-AD5DA16C0C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55AF6B-89E1-4B41-A0D6-05F78B9ABA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3D6E12-BAAC-4881-9070-FDA973CA93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92671F-C95B-4D68-9576-94DD4B37D3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7280FC-4DD1-4E95-AB3F-FA409CD63D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D0410B-E82D-4DD5-9639-F16D839C07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F66F21-4192-41B0-B6FF-6CFB1DF64A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4532E8-932E-433D-B948-48533F1D6B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556059-3B70-4E47-ADE8-C50C10D59E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D6B731-2A57-4616-B0AF-5F3AFE92FF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0F816C-DEC6-449B-AC75-DF3C6AFA5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744A22-5109-42A5-A351-C71764A38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C27325-EDA9-4663-851A-3EB5A23E0E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D6B47F-401B-4D6D-85C1-60B46FD65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7A6E9D-614D-400A-9F51-98E66EE79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63C7FB-2768-4206-ABA9-ABCC25DC17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0041A7-816D-4FD4-A290-3F01071C2E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5AC243-339B-4B7D-8A4A-2923B1DE73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0B3D13-A1A2-46FC-B325-0ACBC6E246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E8491D-48FE-41EA-81C0-93A027DCE9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3D6DE2-5621-4E4A-9F3F-94A29B878D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G13:H13</xm:sqref>
        </x14:conditionalFormatting>
        <x14:conditionalFormatting xmlns:xm="http://schemas.microsoft.com/office/excel/2006/main">
          <x14:cfRule type="dataBar" id="{2024F6EF-C78A-42E4-BECA-F8882ABDEF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C69D74-0E2F-425E-91DF-42601F3C33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D55E44-E243-41DC-8CFD-532D6854B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8DBA00-6D5C-4FC7-9149-0109B315E7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BD6888-AA24-45D2-AE6C-76E6C7D269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9A9D74-C161-4035-929B-52236AC35E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995A58-EB15-49AF-B921-1D4B4CC30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F4BCAB-36A7-4906-AA3F-FAFFF0DDDD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AF7875-A0EC-4B4F-8C33-B5B60F3ECF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1C35B9-B359-4FF0-94D9-5D6F12CBDF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G14:H14</xm:sqref>
        </x14:conditionalFormatting>
        <x14:conditionalFormatting xmlns:xm="http://schemas.microsoft.com/office/excel/2006/main">
          <x14:cfRule type="dataBar" id="{55F1D815-6758-423F-B542-4E95AAD1FD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611969-A5B5-4EDC-8EA2-BFAF399B5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465791-7106-409D-AF29-FFAB3CEAA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0824EA-2DEA-4A33-9046-528FB6ECC7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94006B-DA4F-4B4C-8A3A-0AFC5AF28D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5C1557-8C54-40D9-BBC6-E918619DD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541A9B-D6D1-48D0-950E-AD02CE9F0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0D062E-1FF8-4938-B274-7C0D9C9220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D632AD-A343-4981-B299-465243F5A9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H18</xm:sqref>
        </x14:conditionalFormatting>
        <x14:conditionalFormatting xmlns:xm="http://schemas.microsoft.com/office/excel/2006/main">
          <x14:cfRule type="dataBar" id="{EB42A0A2-68E9-4865-8A26-F483EAB4E1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0BEDA0-EF33-462E-B14B-3EA39DD24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J19</xm:sqref>
        </x14:conditionalFormatting>
        <x14:conditionalFormatting xmlns:xm="http://schemas.microsoft.com/office/excel/2006/main">
          <x14:cfRule type="dataBar" id="{11A50A4B-F13D-48AD-A0D5-1585A5FCB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J20:J23 J6:J18</xm:sqref>
        </x14:conditionalFormatting>
        <x14:conditionalFormatting xmlns:xm="http://schemas.microsoft.com/office/excel/2006/main">
          <x14:cfRule type="dataBar" id="{7F43F24D-6F00-4C1B-B004-86178F091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F76AA9B9-8928-4A6F-B754-7F2EA3E462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J26</xm:sqref>
        </x14:conditionalFormatting>
        <x14:conditionalFormatting xmlns:xm="http://schemas.microsoft.com/office/excel/2006/main">
          <x14:cfRule type="dataBar" id="{9DBB8E14-8F22-4174-BD71-9AED32E42A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J29</xm:sqref>
        </x14:conditionalFormatting>
        <x14:conditionalFormatting xmlns:xm="http://schemas.microsoft.com/office/excel/2006/main">
          <x14:cfRule type="dataBar" id="{B40CE992-B38A-4B51-8DD7-ACAA45194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K5:K28</xm:sqref>
        </x14:conditionalFormatting>
        <x14:conditionalFormatting xmlns:xm="http://schemas.microsoft.com/office/excel/2006/main">
          <x14:cfRule type="dataBar" id="{E661D0F1-8FBA-438B-B767-D3A77E9DC8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K5:K29</xm:sqref>
        </x14:conditionalFormatting>
        <x14:conditionalFormatting xmlns:xm="http://schemas.microsoft.com/office/excel/2006/main">
          <x14:cfRule type="dataBar" id="{D3D1905F-89AF-4E98-B6F0-0E5DB66840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793761-CF13-4E77-A1AD-081B3D73C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A27252-B74C-4911-AD49-B99647EEF6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AF7E2A-3FAB-4BE3-BAD3-F7BD51A915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1F9801-AC08-4032-960E-16F49ABF1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DCEF70-141E-4D6F-847B-21D338E2A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9C7BDE-7698-41E0-8C5C-FD9A09D1F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A80DFA-94F0-4679-8E6D-FF4DCD45F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D954C0-3500-4097-9F22-9BE86EE0F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1B6877-5973-4BDC-951F-29F2EF57E3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60EB04-3F5F-47C2-86E2-4777F068F7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27C50F-65F3-4779-9FE1-E267D91D9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58CCB7-CE43-4488-B4B7-43DC8B462B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976C3B-198C-4BF8-A65F-263DA9ABCC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6843FE-D4FF-46A1-84D0-EDDF1D37EF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9AD75B-2724-494A-B598-9E0618662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7FE049-F87E-4A9F-9994-E362D267F9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K27</xm:sqref>
        </x14:conditionalFormatting>
        <x14:conditionalFormatting xmlns:xm="http://schemas.microsoft.com/office/excel/2006/main">
          <x14:cfRule type="dataBar" id="{AF5CA05F-A38C-4E32-940F-C1329C20F2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3CF7AC-F103-4A18-9E03-156F252B28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F8168B-6EA2-4F2F-9147-5220823C6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067374-D48F-4F65-B48D-6FB4B126A5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114840-D593-4040-A29A-8FED9CAC6B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F843E5-8A8F-4C8F-B466-3A095D7526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30B7DF-17A4-41ED-9B1F-E8DA63F66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DAC9FA-3D5B-4F67-9424-75C7921E67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10D11C-C2A3-4E2D-B329-82B87E312E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EB5B4A-5824-4D73-AB95-8FE976B39D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3B67FF-562B-4DFD-B397-E26D6D96D5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BB2D06-B094-43ED-8D1F-ED54344C81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93D28A-23EE-47C9-A43B-35A073512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00CE9A-B9C1-40D7-A20E-E0267C9AD0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DCC05D-8BB2-4DF6-855F-1A322BB08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48F4BA-0076-40D2-9A06-57F64E4E5C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E3266A-DA05-4E7E-BD98-630EAA776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</xm:sqref>
        </x14:conditionalFormatting>
        <x14:conditionalFormatting xmlns:xm="http://schemas.microsoft.com/office/excel/2006/main">
          <x14:cfRule type="dataBar" id="{25164181-CE0C-4CC4-B108-5010CC3F07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3D5361-DABE-43D9-8AD1-7C3A8E63D5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26C619-38AD-4514-9CEB-6E4B684F94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4862CB-F084-49CB-9445-821FABEC9D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5D38E3-9957-4A19-9DCC-6C45B4F688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3CA42A-B627-439B-A67E-C74DFA4890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E61630-EADE-49FF-A721-E6B289466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DA9477-B24B-4E12-BD4D-6C53000F15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B60498-0F20-4318-9755-DA1E7E86F0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C58E36-96E4-4BBD-8F13-2F2A1E2EC8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5295A7-CF67-4B21-8FAE-79D161F05E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29DA6E-324B-4F16-A5B4-9BD170E4A3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FD0AC7-CF7A-4862-B6D3-119D22A98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B54023-9E2B-4743-B4D0-AFD0C9F91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5E9C23-8B82-493C-BF9E-CBEDE8CEE8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BC2B21-5C44-48F0-9E83-AC2BC24C36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DDC22C-2284-4E51-8E8D-E33664AC02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C5C3C4-EAE6-4D7D-AF80-9A9A537A51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K29</xm:sqref>
        </x14:conditionalFormatting>
        <x14:conditionalFormatting xmlns:xm="http://schemas.microsoft.com/office/excel/2006/main">
          <x14:cfRule type="dataBar" id="{A570A389-E1C3-43E8-B5C8-4979D3E7DF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48277D-C005-4772-946D-033BF7166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ED37B6-0490-4014-BA05-89A9113F81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D90AEB-E415-4F7D-B487-9F29AF0550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C740A4-31D1-4166-BE50-DFC461499F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9116DF-F2F3-43BB-9872-AA5AC1076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759E22-1FCE-4E54-8BBE-0EA9703A7B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84D1E4-FC7F-40C7-8407-29D5333B65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0C7F16-17B1-40D1-852A-801A2BD8A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D5F557-3F11-4627-8C02-C7C2B466BA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1FAF56-D874-44A9-B574-88CF85E8FA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D4261A-8440-4778-A3B8-480AA975E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7AC2DB-94E7-4345-AA81-FB73E6078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D9BA4AE-AECE-424C-8D5B-71865932C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DD270E-C879-4BA6-A756-E98E3340E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8EA088-8012-4B02-A0FB-FB46987104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9B6056-A4D2-4C14-9DBF-B53FAB4BDA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5DB38D-BF00-4401-9919-60AB101822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9DDF4A-2DC9-44DB-91E8-5940FC19F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E5283-1D02-4861-A718-B03F8F1A8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A9CFD6-8288-4F84-9501-6D43BDA4FC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7138E3-9C8F-448C-9082-9173871E2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511CAF-F229-4923-996D-4A25AEB03C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6E343F-DF97-4375-BEFF-709AB8E83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0C0AE5-A2F7-489A-8E15-098D26DD01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76F217-7BDB-4946-A03B-90A12C9D0D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FD9B04-8AFD-4428-A3A1-D633046104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806718-3E89-434A-A985-1B83FFFC8D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54724B-4F1C-43BD-A759-6A5564B4B0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135B9F-B7D7-43D5-BDD5-69CFC689EE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0F7787-64D1-4112-9191-FD8077DFA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1A0270-75B3-4E97-A01B-72DC7806F9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AEB107-4F6D-4C3A-9CB1-2B130CED15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B0B1B-6384-4859-BE2C-ADD28CE125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33B7D6-946E-4EFE-94F1-537256670C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F66CE8-C562-48F2-BAB4-2B7A278943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65FFE5-5053-4564-88A9-768F1D2EA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A0ABA1-3F33-45E3-87E0-F7D7A8F4B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BDBE87-4E28-4670-8889-5B594418D4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BA43D3-5107-4D2E-82BE-1A104633DC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92197B-53EA-4C26-891E-BA41D40F52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911A4A-FBFA-4C78-BDBF-783E7E4B03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2CE83D-B329-45E7-8209-484C3D221E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A5688EC-7C5B-400F-9024-33ACEE67C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4B297F-4889-40F1-9867-04ECB6C66A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39DF04-85C5-46AB-9E88-CE65AF8957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4F8CEA-E1AF-41A9-A5AC-D8F208BAB2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6E914B-A8AC-40EC-80BC-964CBC6F00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CAD6F6-C6D5-4C48-92CF-B486F80A80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E0274C-A16D-403E-981B-E4DDC33075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94CD26-2752-4D01-95D3-BF78A5D46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7B4B3F-8519-48DD-B272-30EE5038A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9F65A4-C0BD-49E6-A624-B77CA8D69E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6B552E-3692-41F3-8CD8-E15CD77577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461789-303C-40B7-8159-C68760B465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DFFD81-5AAE-440E-9E47-7E02EC7F64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EE42417-0C5C-47B1-9720-BFDAC4A7FB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3DC79F-F177-4622-BB29-27C362059E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5CF120-CE76-438F-8A20-4EC9A08C04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0C3B73-96D7-4A31-BFE1-E628420A33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097121-F5C5-4C6F-A940-CBA100B1D7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B4670F-97C8-4E94-8DB4-EAFAA8EFB0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AECF62-2DE3-4677-8061-6BAAA1182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3BED2D-8863-44CE-AFA2-D75C269FF7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78ADAF-EF96-4A69-9511-2B29BA2462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773B35-0AF1-45F9-8F2E-DC9BD006C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2FB973-D9D8-4C09-B075-29704D5772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60FA3C-2829-4041-B3E9-3CC834C7F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3ACDB7-8F41-44C7-8EA2-F31B7D0C4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372E5B-9963-4C2A-BD31-BEF91363B4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372140-AD5A-404F-9084-25AB3D718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EB4D32-69B7-4BC4-AE0D-289DEE2B7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82A620-7C8A-49D2-8422-E4C03E82F8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0B8374-E559-4800-BA7C-021ECABD80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2CF713-7CA6-4A1C-A66F-00D9910284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9CEAFF-01B5-4651-AFA9-19959A96AC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5D6BCA-E2C7-4D3E-BF1D-1C69CC29CD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42850C-6E18-4989-AB22-6AD7E3A6BF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C5C725-0488-43EF-B356-EDBE78B6AD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650F9-B57E-489C-BA3E-B4CD2442C8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B05834-35E6-4A99-8086-F0A35E9EE7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4A24FE-9548-4933-A826-F4D1CF84CA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26AEC2-AAAF-4349-927C-69DEDEB2A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7FB312-2A97-48F5-BE8B-679CD71E7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353651-1B9D-4062-99A5-3CA77F3522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EA1303-3797-4B7F-A9FD-01FC98D69F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0758C9A-303E-49C4-B150-F259BD11C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62BC80-DF62-4C3E-A936-55C37A1D0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D58BF9-5B61-42F0-B3C8-7E0C84B23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EB88DB-EBC9-402F-A93C-628DE45263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86D992-2794-446F-8E79-B94D303AAB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0068D2-1576-4EF1-83E7-67A5AD46F5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EF545A-8813-4E9B-9BEE-8CDBDF2A2A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0199B0-156E-410B-A587-86438F2AF0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30628E-B5CC-472A-9FD3-9074ED3C9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CB7163-12EF-4A8D-A146-50FD96D8D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1E3936-D6FA-4234-985E-CF7BB411B1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8512A4-F321-48F6-8FEE-E9A9E697FF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C9DA7A-FA27-41E4-852B-212C9CA597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2F40D2-DA2B-413D-AABF-B7A93336D2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0632DC-2798-4257-9D25-FDE5E9F87F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AD5822-B709-4FAE-AD3F-51345E257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D3EDB7-51E1-46A2-801D-0E3F15E0B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FA29AE-BBDE-4568-98F1-EC4C87C955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2DC757-B211-4C04-879E-6F37FC906C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D5EFCA-A4CA-435D-A64F-E3C153B228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217A6C-9234-45EB-8263-85DABBC2A3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7274AC-FAA6-4E6A-8866-79B20EEC2F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C9A649-6D28-4D0A-94D8-9D6A1FC5A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E1950B-2D78-4E60-B3B4-698E0D10A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DADAAC-F034-4728-A4C0-2C3067A3D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7D5888-75DB-4073-BB3B-5DF62EDF28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847DBC-2C96-49B0-8FBC-90322E0B7A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58D19E-433B-4DD6-AD27-2AD2A76651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77852A-7C8F-4DA5-B075-4AAD27FD0B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39C0A8-6220-4A0B-8977-5835B381A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C88F8A4-3EC2-4AB2-8763-79F4AFC62B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4681DA-6847-4C19-A2B2-21F065AA3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2B813D-44A4-4046-9195-5F4FF3A82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05B9E0-58DE-4E38-A307-598D4A3419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218DE3-7D4A-4DA0-BEC7-1ADF005943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CFA44D-E841-4A2B-B177-F955B86738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E89758-72FB-4C9B-94A8-E079B8DCB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282E7A-B997-4D16-86F6-B2F39BD8D0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437A15-9342-49DA-A987-22FBADEBA7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99E538-114C-42B7-9EA0-4C7F59920A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FDAA51-8930-4B5C-94A3-FCA7365428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016454-21CF-410B-B46F-02A285982B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C00B49-370D-4FEA-9F42-74599FC678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100AAE63-6BC3-462C-9D2D-51E383384D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BC1D37-97A4-4ED1-999F-8207D33838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85AF4E-1589-40F6-A2FA-8EE22BA1AA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9F7312-5C2B-4842-B0CD-586A50E9F9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5DC93F-1537-4DF8-BF73-19B83E116B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05F220-32D3-4A21-BBE8-9A8FE5C8B4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3526B6-64B9-47EC-A890-5FEA75EAF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6A1D06-4385-42E9-A83E-3FB6DF1527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FD740C-0286-4A80-8580-59CB3A216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D0C2ED-3E55-4863-B154-8FC6F874E6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5B7B67-5536-4C9F-8543-75CA98260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6EC10-B077-4934-8CFB-F59C1BE544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5F4D1A-7CC8-4DAF-8157-6B116E069F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1C0A75-2ECD-4488-B46C-7EBB7C380E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4C41D0-777A-4B29-B538-470A8C2FE9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F3BD8C-D452-4C77-B56F-BF74E04EF2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3EBCBE-5675-4AA0-97FF-792F8B000F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CF7A01-0E84-4694-892C-3E2A0EC9E1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531229-53AC-4A68-ACED-B32871756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B4A50F-7662-423F-AF9C-95287F6A0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C8F9A0-C350-4CC5-8A7C-40730D8570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F1D326-0282-45C5-96A7-8B2A007DE8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1E1F44-200F-498D-8B85-C703BFB0E0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79A09A-5712-4ABB-B7D9-741FEA344E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153DE2-8B30-4923-8329-AD7EC80D30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052B96-6C46-409C-8A69-5FBEEEC9D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668E35-508D-4099-919D-16E17D10C0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8207BD-2291-46BC-9D9D-39907DA98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26191F-DE06-43B3-B34F-4C76BF56DD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D82506-F33C-4A11-B570-64F8A366E6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9E9F622-A6B8-4DCE-9C23-E3C2F9FE05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FC0394-63E3-4CD7-B2E2-D1CB58A650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C7948E-DA57-4037-94F1-9AFD184297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195F6D-8CE8-4549-95CF-7A8138245C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B42E4D-AD95-40C2-AE68-4A0E09A673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701AEB-9260-4AEF-9FD2-F9D63853A0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9E9964-C45F-44BF-B9E8-993734A269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352812-FB40-47A2-8DF2-6E4EEEED62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DC1085-9269-4F41-B3FC-13F3A6B4B0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06C369-0024-4E2B-B9DE-75F781522E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FB53C6-468D-445E-96E2-8D5ADBE5F1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3A2E04-265D-4797-BED6-A93577124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D71371-0C1F-475B-86DE-80DCFD69E6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31B362-ED6D-4D3D-BAD5-E3EBFA64A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B38573-272A-4E2C-BF69-5179D40C9B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8D5CD2-C565-47A2-8736-E6BB6A42C8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9F0D0A-39FA-445D-8B1E-8CE0C7A455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458C28-4438-44B8-B660-3DC1ED5D49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77FAAD-D0D8-406F-9D40-F2C894BD13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22631D-DFB6-4567-9C1B-D4C1F2C0F6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34A038-E177-4CE6-B7BC-EC946E711A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7D21B6-F9C5-4AEF-A82F-C19BF21EC5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D806FD-79E2-4985-AED4-1592381EE8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0EDFAF-BDB2-4D1C-8676-A5AD513C5B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E0D2C4-44D1-47C5-91B2-4AFF48D01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13369E-4CAA-4D34-A5EB-858225643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F2F27F-9FDC-4744-861C-3132E5256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4C9439-7A54-4D96-9F0B-39332F621F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886C9E-72DB-48A6-98A5-818746EE42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9B1EE6-9C83-4A81-A486-3762B08892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3C32A19-BEA7-4EA0-8F1C-8E5864C9AA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875C82-DDA7-438F-B129-65C11200DE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751BB2-87FA-4660-9BE8-FFF5EAD1C7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39FAF4-9406-4F45-AFAE-AFA8F10414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80EA24-F304-44B4-A6E4-46988AFC3C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CEE11A-0679-48A5-8825-9E74B41845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E46020-E025-4C84-A03C-7069AE70A9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5F652E-4758-42E3-ADA8-F6C984698C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E3C1BC-06AB-4DC8-B7EA-62BB2AD656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DF039E-04B6-4FD7-AF47-59ABE509CD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A7D442-FA40-4884-AA57-DEB446C0EC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26C7D5-0B45-4A43-BD8E-F9E3D9439C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E93D24-8C27-4684-9B4D-465A6B2F58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L13:L15</xm:sqref>
        </x14:conditionalFormatting>
        <x14:conditionalFormatting xmlns:xm="http://schemas.microsoft.com/office/excel/2006/main">
          <x14:cfRule type="dataBar" id="{04F91E78-D3B5-4C0F-A6FC-D3D68F6194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633E3C-DEDD-479F-840C-CD476CD20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866735-5E56-4EC3-8A95-F2D9A67EB3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E3D7AE-5DA6-4706-860E-011D90516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BB7115-75C7-4AB4-8066-EF98FC94E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927251-FDE3-446A-AA90-B62A9DFB3A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3B6222-1C91-4E5D-9E51-F443878D68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0F7829-1E9D-4DD3-9B80-D427A08988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5AE6FB-2369-47D1-AAD7-EA69484AE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DEADD3-AF27-4A9B-8BFE-77AE0CEA8C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97C067-52F4-4A3F-9A61-3C75F58159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B25360-1078-419A-BED5-ED055B30AB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B5207B-9CC6-4A04-A93E-B67E8A5F46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DB8CBE-0E19-45C8-99E1-653EA4AE5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E7F2BE-E051-4A49-B92D-3A9C7B70D9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DC5A82-8AE9-4DE2-AAF1-0BB011E20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5B9C73-BC35-4EE7-AC9C-7FE0F861C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BE286C-11E5-4CB1-9417-941A13EC26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F9CCEB-4E00-45C9-B070-D9F92C087D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6FFD55-242B-4EE2-A720-DC81D31727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5E4A83-23BA-4E2B-B6C5-574E996EC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9EB82D-2861-4740-A237-9207947F90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962B54-16AF-4A1F-95C7-239E97884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30F6D1-1F03-465B-81B9-5EAB2C74A5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28CD5C-EC09-4550-AD9A-4CB850EE5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0727C4-A778-4D4F-9DCA-FDB7A070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A7A12C-6667-457A-9A1D-25CAA894A7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9E7B78-B0B2-4147-84A7-1EC59BB3AA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23504A-E060-4247-A8B4-584CEDBF7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413113-F333-4C5D-8BFC-E959DE1E9D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</xm:sqref>
        </x14:conditionalFormatting>
        <x14:conditionalFormatting xmlns:xm="http://schemas.microsoft.com/office/excel/2006/main">
          <x14:cfRule type="dataBar" id="{25CA1416-E5A1-416D-AFFF-098B74CC04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B9C7A6-E85A-4D7E-A30F-4D00281304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3C4086-B585-4E46-9A29-FFC0738F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8F28C6-D181-4F68-931A-46F282FA14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C4B18F-6C77-4442-9933-8D237F039F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38DBE3-AE4A-45A4-AEB5-8BBC960AD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DE6686-467C-4678-9370-F8E4E7504E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CA6E42-25FC-4F8A-B4C6-D0AB5F834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FD6540-572A-41A9-B135-8E73A41917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9B88C8-D828-4059-9B94-5CB08CDDD1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2BB254-9971-4B68-B7CE-30616A0AAC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8A2F19-039E-4B24-B382-3560271DEA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818426-93F7-4DED-BC16-8153FE0DA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A0BD99-B884-4420-BCB4-C5DF9FD880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52EC74-1D14-45F2-8EDB-07D9536F7D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7B685C-5E19-438D-986A-CE3F686A59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0B9031-B385-4630-ABB0-B03BAECAC5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20BABD-9836-4B37-B38B-942B39791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0CB24D-30E2-486B-BCBF-0B234DD019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15F5B7-313E-4485-BF49-F3EAB6064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2EB0A-4198-4B58-8B6B-F7A75363DB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E391D4-81D5-42BD-BC2B-456B3B9F5D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D52EC9-E960-48B0-9173-6ECE352B8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02E268-E8D6-4801-AC54-1F67064CF3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37AA62-2756-4B6C-9D47-FC3085A0C1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1F75FB-07DC-49E8-BB00-A9F0FE4DEE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5AFD5D-73E8-4E22-95DA-6A36986446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AFD930-FC9F-4C1D-B3BC-437DF7664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647A1C-51C4-445A-97DD-4AAFFBCA94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C65F29-088A-4FFD-ADEE-3888618446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070C2B5-EAEC-4BDA-B218-C91FC6D6FF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BA6711-2AFB-4856-B1D6-91A2744B91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4A6BF7-91D6-48F7-80B4-5644BCBDD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1A5378-C6A5-43B0-8268-D3D209263A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133A4F-98C6-4733-AFD7-D91FEF2CF5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1F25B9-3E8A-40BA-A8A8-AFD188FD9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757FDA-044B-45F6-B770-550D1F6F8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CF8728-1236-4AAE-A74F-77780EB0E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C06399-8D90-4C9C-BEA9-AFD1EC731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628B2E-DD4A-446C-98ED-9617D6F5AA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828ADD-A6CA-4D8F-80CE-0D08EC2A0C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75CA4E-9AD9-453C-ACAC-08122D0568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F27F9A-E96D-4DA7-88DF-BBE0FE109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1F0EFC-3994-42D5-BB26-A1753E8204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4BE5A1-A78F-455A-A94C-B937C9D89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0A2B24-8407-4357-AE93-4B2ED3840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C4E52C-D582-46BF-90B9-F6D79A3D78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AD647E-F902-4011-94B9-A80830BD6C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5FF254-F3A2-4DE0-A2F8-A141CDC17B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885453-5FF8-4453-ACCF-DFEABE302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A0C140-76EA-486E-B9DE-2ED15B1753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6A7AC5-69F9-4E54-A841-C94BE7AC1C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EAEB07-CE92-42EC-9B81-DC1B7B35E3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73B79C-C616-49B8-8BF7-9B7ADF6E78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5476FF-562C-441E-8D95-2B29E7C157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8A3C2D-7AA9-43AF-A897-3321F4CC9F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91D04B-A733-47D6-B91C-E17B889B91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BE195E-8DEF-4364-A550-E29F19A70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067070-442F-4102-A165-9556A6856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FD9066-7480-4B5F-B14B-14D990781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2A7C797-97E5-4B87-AF5E-C22EC185BB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30D477-533D-41E0-A741-88D8B3914E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4D415B-A6AF-494C-946E-C8B1EF015F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4A07C7-0CFC-4D02-95A7-74D233A3F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AFEFB1-6F51-482E-84CF-06FCB20E10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821BA0-C5AF-4BF8-BBDA-A64E886D3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594404-BD6C-4E0A-B8B6-126565BB24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5E6D7A-822E-4DFE-A95C-B487D65A8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DBE91A-2EC9-40DD-B3EB-2CA02DEE32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C287E3-0EF7-4CCB-A57D-C568834BF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CCD5C7-7892-4884-9CAC-5188B3BDE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2B36C7-7310-4AF7-951D-13C9BEB2C0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D17CCF-900C-4C6A-93D8-DD896F46F6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58A89FA-E514-4468-AD61-B88464E4BD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CF2BDF-C38C-45B3-85B4-3A3843DEC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213D62-75EA-44F1-A062-6CEF0C3F6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6F49F1-A022-4C2B-96F2-335FDD66E8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06B874-156A-4940-A5D1-6FF0B7027F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9EB4CE-E4B5-4E92-914B-0478E248ED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AF1D85-76C6-4707-8689-DA3169D300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65329B-0000-47DB-A74F-5AE2F1C8E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90F45F-3B08-462A-83F6-5E23790A6D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C4D7EB-2036-4A15-82AA-850F087582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495F66-F563-445F-8EC5-EF988EE12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377038-764C-4C5E-A784-3A3D3071D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0013F8-4923-4833-BC90-D823BEE0C5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440D33-E35E-41A7-A9BD-469D19CEF7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CB3176-2C2C-4DDC-AFAA-766DED51ED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4AA217-C1D1-4E03-BCAF-41015DFDAF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B5542D-06FB-4106-8C5B-DF53DEB9AA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L20:L27</xm:sqref>
        </x14:conditionalFormatting>
        <x14:conditionalFormatting xmlns:xm="http://schemas.microsoft.com/office/excel/2006/main">
          <x14:cfRule type="dataBar" id="{697540B6-C363-4AE8-9E72-F0FD629DA4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4C2138-783D-4200-AFCE-D0FA962644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E57B86-968D-4DD1-B67C-F7966BDAB7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97E8A4-C79A-4E16-8D35-241F7742D9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26FD1C-0101-4AFE-AE9B-AD01FA7CF0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161E4D-75B6-48D8-901D-F64572C3E5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747099-9872-4B93-A5E4-67F2A103D0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E7351F-2157-42F3-BA0F-224DA59919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4F2A91-C5FF-478E-834B-A03EC349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16AC90-A4D2-4856-BC56-615576ED1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B1BDC5-11F3-4FCA-8F14-5D1A3F4F9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EBC511-999A-44B4-9602-C1AEE38724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615F43-90BA-4E6A-B34E-A52CF7A9B6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40E1C19B-19C9-437F-8C05-7A842C37B1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53CB1B-4D0B-4694-83C1-371486C589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228547-5EA7-4BEC-AC8E-725732EDF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B39E41-5059-4940-A48B-D4D6AC0DF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5DF4A3-263B-4748-B4B3-1FB6F14690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EC9FBA-6AD6-4C68-AF24-4AFF8BBF45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00C0C6-34C5-45F3-A14A-30CE7F7893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98D222-3AE5-41D7-9EB0-9E2D509779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563BFD-0E5E-48F6-8B80-AC3BBEB0DA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C03E15-1305-41CE-B1A0-5F359CDA5E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F8118A-2AC7-40F2-8698-9F9B460E0D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C8804C-5F3F-4624-9254-2A4261B8CA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4F0DE7-03E7-4EF2-9C20-FF0A79295F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9373AE4B-D520-4223-8D06-CC737164E2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722A2A-5F6A-438D-91E0-968C8594A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6E501C-CAF2-46CB-91B9-E503B809F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B9988-60B5-4BE4-A1A8-1C7E8136C9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55E9F8-2D38-4424-97D3-1019656C0E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137CAF-BC5A-446D-B07A-A269A11DF4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A0F22E-A50A-481D-998E-EA06CFCFAD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9E20AA-6E94-4910-AB7F-F4FC0BA67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6A0E06-3D42-44CE-92D2-5A5F70082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02F6D-51C6-4182-B232-627D2518A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7E1D3C-EE53-487E-9D6D-95FD7E90EA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6DF16D-67E7-43CD-9B08-1D4BD01BD6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748828-C669-4FA3-847C-BAF430CCD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3BC292-E66B-4578-8F6A-CB17E272E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388358-2903-4BE8-8248-47203673BF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154A4F-4C46-4B8B-A32C-29F61AD5C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9FCFC9-6543-421E-A6B5-91B0C5528C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M22:N23 M21 N24:N26 K5:K26 M5:N20 M24:M28</xm:sqref>
        </x14:conditionalFormatting>
        <x14:conditionalFormatting xmlns:xm="http://schemas.microsoft.com/office/excel/2006/main">
          <x14:cfRule type="dataBar" id="{533DAD5B-341A-484E-B615-54032C8EC0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927C7D4F-70A1-4487-AB15-C5FA96CDE8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O7:O14 O5 O16:O18 O20:O22</xm:sqref>
        </x14:conditionalFormatting>
        <x14:conditionalFormatting xmlns:xm="http://schemas.microsoft.com/office/excel/2006/main">
          <x14:cfRule type="dataBar" id="{8A152A11-C51C-4E08-B834-1E0EF54E71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E7029E13-3246-44BA-B565-BD7C3779F7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0AE3068-4109-4DA8-9893-3E21B8B55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D8790B5-0D3A-4B3C-84A2-7AD93C61F9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B96D13B-2DC6-4BFD-98E1-0C5BE18AE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F6A4F46-FBBD-4F61-858F-744BDC9A6F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9A79DF2D-5C9E-40D5-9D3D-2630808829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F94AC9-4B7A-4CCC-BC18-895FBBF0B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61A6D6-C3E5-4593-ADE8-D76E7C2FE6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F094B8-14DC-4150-A1B6-A0F970894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040EE2-595A-44F3-A4AA-EF8AA3026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51C7CD-30A4-4598-AF16-F5D1B28E9D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P5:P22</xm:sqref>
        </x14:conditionalFormatting>
        <x14:conditionalFormatting xmlns:xm="http://schemas.microsoft.com/office/excel/2006/main">
          <x14:cfRule type="dataBar" id="{30770BC2-A211-4D15-8DD9-0692BEDA31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119ACB-74A9-4CCF-B565-0A8D411C29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P5:P23</xm:sqref>
        </x14:conditionalFormatting>
        <x14:conditionalFormatting xmlns:xm="http://schemas.microsoft.com/office/excel/2006/main">
          <x14:cfRule type="dataBar" id="{E85F0F2D-0A62-433E-8A2B-A9BC43D8B0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ECFE04-DA4B-47AD-B290-0C98EE6895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P5:P26</xm:sqref>
        </x14:conditionalFormatting>
        <x14:conditionalFormatting xmlns:xm="http://schemas.microsoft.com/office/excel/2006/main">
          <x14:cfRule type="dataBar" id="{01212FCD-B4D0-4758-B479-2536BF9210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75BC1B-36F0-46D0-8162-410D356914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647C9B-05B8-42CE-8607-33E2BDD3C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BA1AE2-88FB-4AB4-BDD5-9148F2FA78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810E8B-01DE-40DE-B5EA-DFCA11D501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F6F4D4-68CF-42FF-84A1-7F2D8F1E6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F6E9FC05-41D8-4B82-AB76-18A6908D9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501766-EC5C-44FA-8941-EAF6A9CDF2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B547C3-A400-477E-A184-DF5A167BC5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FC9780-70AE-488B-BF1C-9F225BE54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A659FD-AF7A-485E-A734-FCCBED2122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1F81C3-38BF-4734-957E-3AFEEAF11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EEC9C7-EDDB-453D-A944-06ADE2648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D6C2A1-BE1A-4EE9-B114-3D68BB4FC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A40E5FE9-6331-410E-A530-FD194B298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70031B-2C4A-431E-84DD-706D71BD41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B119C8-49B7-4006-B026-5BAF3BCB2C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E637F0-9CF0-435F-B810-F4BCDA0F2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F6B0B7-63CC-416A-83ED-002237BCA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27BFF7-5208-472D-BA71-3D315B6D95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8405D6-B66C-48D0-A623-A197E0856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0AF28D-3589-4AC4-A752-D76D4243FF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P25</xm:sqref>
        </x14:conditionalFormatting>
        <x14:conditionalFormatting xmlns:xm="http://schemas.microsoft.com/office/excel/2006/main">
          <x14:cfRule type="dataBar" id="{F4FDC923-EC8F-42A1-B196-E598BDD5F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6F3347-D504-4127-8483-D68C55BFA5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60A669-2FCF-4E73-9106-7D1C937112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0214AF-7598-4CE4-B13B-C8CEEF5810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DAED88-77B5-4877-AB4D-C4A79F343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21BB94-5627-41E3-B117-9C1B5FD224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4E581D-2E4B-40B8-9F14-BB40A70D5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B31B76-8258-488B-8C97-B55D953A60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P26</xm:sqref>
        </x14:conditionalFormatting>
        <x14:conditionalFormatting xmlns:xm="http://schemas.microsoft.com/office/excel/2006/main">
          <x14:cfRule type="dataBar" id="{3E633762-7C8A-49D0-9A3B-978085EC4D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F0AC20-D951-4277-BCE7-7D46FF2C4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22BE7D-76CB-4BFF-AFB3-040074E3DD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D12F9B-6839-46F5-AC98-2172CEA084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DD991D-7101-45F7-920E-2A93D362A7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932712-0D8C-42F8-A607-03900D700E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EC39BD-C3CF-4E5B-96A6-999A808601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710769-14C2-470F-9173-5790FC2FE3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A6852E-C5A1-4064-B707-96E69FACB7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1BCBF4-916B-4DF0-B7B9-67F035CD2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E6EE6F-1753-42E9-920F-12BFC835C1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930C4E-F319-4AF6-BADD-DF0BD4921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5089BA-C2F1-4D68-8DB0-3280C61A9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87CF5C-AB5F-468F-9A0B-1BBC2902A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E992FE-E7FE-4E06-84B7-E8B9607A7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6E26C2-19B5-48CE-86A7-14E73723C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7C223D-BBCC-49BD-9A68-98A21BD829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53B4F266-1E51-4BA4-83A9-DBF5656CEE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9A4F3C-DAAE-4780-9567-EC44D5FF41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AAED39-9CB7-49B2-BAF5-09A647A2B4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00E157-9D02-40AB-83A0-34E073CA8D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AD040F-BEF6-47D5-B9F7-88BD30F013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7FF36D-C215-407C-A6D1-540F8A85D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8F898C-01A2-4A7C-A991-372BCB82B5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7338BC-AEC7-47B9-9F71-7E95943E0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C89465-99E1-459E-8C51-1FFDBC197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97133B-ED1D-4B7D-A38F-873E4ACB0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0177D2-03A7-4725-914D-D24817475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A46128-D5BC-4831-8F58-C17CB7E39E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B4AFD7-D61F-4303-AE26-5497478968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10D150-1E31-4ED5-A1EB-C58B5994F4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9CC38A-CF7B-4F14-B00B-E1A229D085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EAE131-BEE1-4B75-99D2-98D1D5F6CA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59FF9F-4E15-4D6B-B4A3-E5D186F6FE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55D7D3-DE7F-4F53-B91D-51939B3AA8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1D6F68-0154-48C8-A202-D975B8B70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D135D3-3E33-467F-B709-CFCF1ABB15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DEBA1D-5B71-468E-B80F-779D5E607B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7F59D7-A057-426B-B154-CB605E10BC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6B6547-EAC8-4360-B56A-E6C1741230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8C838F-50EE-4377-831D-DD97A08AE0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134527-CEDF-4A5B-A510-FDB77385C8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9FA136-EC1F-4EBE-9CD5-4506CB3EC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48ADEE-7BDE-4BF6-A1C7-2F28A33F1F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A2F576-7616-4FC5-BCEF-FD10BFFBA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A45FDB-9FB3-4D59-998B-BB79CAC41C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D172AA-7C4E-4C9A-98E1-6974E520AC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81BB64-F159-4354-A57B-0837DECF0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67FB19-BADE-4DA5-B852-FE6317B265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4EED53-CB72-4D9E-A1A0-0879AA8D33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7E6FB0-0AF9-4B06-B5AC-E559E24D81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556570-AFC2-444F-93FA-88522D5402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D374D5-1479-4DB0-B4B7-070B10E41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50F653-83AE-4490-AFD8-6D391DCE5C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7C0B3F-1A5F-4F21-B9E1-D9439C29A6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625666-D1A5-4339-B6ED-E0D78C33CF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7D0F96-5D58-4A38-A7B4-ACB8562836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A3F020-1B9F-4184-9E24-74381D6B84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E7B259-83CE-43B5-9066-B950625BD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EFE97E-3DD1-4374-894A-DD40221C83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Q7:Q14</xm:sqref>
        </x14:conditionalFormatting>
        <x14:conditionalFormatting xmlns:xm="http://schemas.microsoft.com/office/excel/2006/main">
          <x14:cfRule type="dataBar" id="{A97E6314-E481-4526-98BB-8ACDC9EED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60A13C-C83B-4B7C-AB09-80762E0F2E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FBCC1C-DF36-42F9-BC9E-FDB59B9C8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A2114A-8549-4DEF-89DB-3981B572FC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977695-808C-4BE7-91C3-BD2649A07E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B3410E-CB9F-48C5-9910-74E2675CE1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02A9BA-F137-4018-A8D6-D11E613E23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A2E038-DA32-4AD9-A645-8D68FECF79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262B7B-89E4-4E48-AC26-717BEC050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31B02F-A98A-49E2-A202-EA22C968B2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DB4674-9638-4ED2-BEB2-5EFA6C08A9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C13E90-708E-42FA-B068-A5629C95E4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8C40A5-485F-4E7F-8AB3-32278FAE7F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4457330-5B04-4C32-A7D5-A6A4EF68F9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988AFA-7A47-41A8-BE4A-F754B06A5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24E3AF-159A-4DBC-99D2-F1F4F9167D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C6B6CD-421A-452E-8BE2-61285C8F3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19E3DC-0BF2-4629-B668-B848F30FF9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39B845-5C91-4849-8685-FA636774DD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0B7148-3530-4432-9177-277583BC01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CFCE8F-B687-4C1A-9BD0-D0F6490F29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9E1264-0B49-4A11-9113-F3479BE936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143537-55F6-4833-86CE-D6C115BB8B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F50AAD-9108-4711-A21B-BF4587C369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51FDB3-CCFF-4D24-AFBA-AB3BA2ACA8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44448A-E8FA-4D65-8F34-1EFD52C010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273F6C-0295-44E1-84EA-B9384E0807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4F39DF-D941-4BE0-9716-8DA5DE57F7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306812-0C1B-49F9-9FC9-ECCB3D9C27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80F2AD-FA5D-465D-A6A7-1E314B551F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B189DC-8601-4D34-9079-D6A274AE96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565D7F-D7ED-49C4-B7E3-65F9BB429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63B4A9-95E0-488B-BEAA-9D3E1C69C1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58D6AD-7B18-40B9-9B86-BE9C0D314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0D1A0A-60E5-438F-84FD-88F57EFD08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B45D46-A245-422B-823E-A9444AABFC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84A2B8-ADF8-4AC9-888B-D34E67240C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513443-0B23-426C-927A-182D3D00AA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9ABFFA-514F-4FCF-B2EB-E451DAD2F9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B6C4CB-586A-405D-B833-6843CE2B21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AC745F-CFA0-481A-9420-2F55A2100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D81DDC-B64E-4212-8D64-CE89CA04C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41B9CE-8B2D-4E34-B18D-AF1550EEA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Q16:Q23</xm:sqref>
        </x14:conditionalFormatting>
        <x14:conditionalFormatting xmlns:xm="http://schemas.microsoft.com/office/excel/2006/main">
          <x14:cfRule type="dataBar" id="{68330856-8A91-496E-BE4E-45888566E8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D28FA2-AF8E-4FB6-9D13-FA8DC3F817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3E1928-1D8E-4994-84A4-235923CD3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8880CB-6C4C-4B0F-A46F-11699C8AA2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5A6343-6206-48CE-9067-8413319754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5A7806-2A1E-4A7A-899A-4C7074ACF4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618EB7-D3BD-4B9D-BDDB-89C112E5F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E22020-AFC2-4FEE-B825-B184157FCD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756A3C-B0DB-46AA-A36B-BC4DF3CAEB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50BBC3-1949-4BAA-B69D-2F97589A0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196DFD-F49A-46C3-A28F-7D3D6CCF45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06CDBC-0B16-4DA5-ACAB-FA77B6EE0D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E4A093-2A55-4511-B7AC-DCEE61AB40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576DEA97-EEC0-449A-B762-5D1CC47C41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87A007-EFE0-419D-873A-BD1208D47B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727FA1-9458-44D6-95DC-3059920A2D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28079A-1908-4F95-AB51-7DFF8D098D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C16775-DD80-4DF1-BD34-18FDD45176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1A76FB-C215-4B23-A812-A3374E3CB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655BA5-E143-4112-AA92-DE11B8585E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123830-1420-470B-A3E3-1C37C3B6E4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AB3769-C5D2-4C2D-9EC8-2DC7BE661F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EE7F1E-B8D9-4B66-AC6E-2B6EAADE6A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899721-1BB3-4172-8377-542FDAA5DE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3C9027-DE16-4163-A529-35DA562BBA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F213F3-21FC-4DE8-9D7C-B8AC422C3F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D1DDC9-865C-45BB-B400-5584A41AC7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F46008-EC06-4AE1-9798-6241644F9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D1DDDF-4F61-4380-BA9C-AA452BA8AA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E67729-35BF-4148-B38F-8A797D00C3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DE4A0B-3399-4750-997A-D6345C5D3D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8D769C-0299-47BB-AED8-421D0B0D0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D50D48-35BB-4F4B-90E2-64E21095C1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398CBA-0F3A-45EC-A6AB-0C02327D8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EECF77-B09C-4131-8689-49E3EA146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A2108C-B234-4BB3-B41D-F35E77E1AD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FC92DC-75B9-43D6-8AE1-6DFCA0D38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23FD96-46C1-45C2-A188-B57D012B7F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B41E0F-1153-469A-9F8D-E1D7B129E4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CD41B4-732D-40AF-A833-CBFB687B00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240E20-11C5-451B-A9A6-416A9B96A8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70B34E-BF4C-4477-8EF9-3194F9187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A5D242-17CF-401C-B152-1F4E4CE7C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Q25:Q26</xm:sqref>
        </x14:conditionalFormatting>
        <x14:conditionalFormatting xmlns:xm="http://schemas.microsoft.com/office/excel/2006/main">
          <x14:cfRule type="dataBar" id="{52A6EFB7-6EEC-4541-91D7-9D78A70983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D5358E-E8F1-4FD4-BB99-3E674DC181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F42889-30CA-4FEE-BCBC-FED27C6EE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9E8866-59FE-4151-9742-7668455DB5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F668D8-6742-4D5A-841F-23E677A9DA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F1D074-E69F-40A8-8992-97B1C6E75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B9B0AF-E423-4689-AAEB-F1C95F9C5C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5F509E-D963-4C2A-A82B-EC29090E4C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AE1652-E58D-4503-8446-B30F0DCA99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82CD94-C200-4B5B-BF75-558593C367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B32951-A6CD-4797-9CA6-39951CED01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98D87A-2DAD-441B-91F1-FAB6FDF2E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1E4DC0-CE60-43E9-9666-8ACFE218B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F03585A2-8C6E-4B47-9C4A-9CF0A5F1A3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9676EE-30DD-47CD-965E-AD0DDEE2FE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F4916F-9F46-4EF2-A07A-3812E5888B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F4EC29-EA22-46F1-B2F5-199B5C005E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54EFC2-23AD-454A-9CB1-034817094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B900F2-8D56-468D-8C4F-5A0C7C26CF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3FC6D7-9506-429A-B66D-9208F8590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6E6E7A-F8F1-4FAB-99C2-6F89BD5D28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3DCCE-C1D3-4E69-9720-3EEE21C3B2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186644-421C-4A34-A8DD-276A6188D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7BB21D-6F96-45BC-86C8-B77DFB327E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9297EA-C613-4180-B5E7-FFD827C0D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5C2474-22DA-41B1-A0FF-FCD63E7ABD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A2291033-40F7-4448-942E-18DB280690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T12</xm:sqref>
        </x14:conditionalFormatting>
        <x14:conditionalFormatting xmlns:xm="http://schemas.microsoft.com/office/excel/2006/main">
          <x14:cfRule type="dataBar" id="{B606D11F-7374-4B87-AE4A-E5B999F7F8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T13</xm:sqref>
        </x14:conditionalFormatting>
        <x14:conditionalFormatting xmlns:xm="http://schemas.microsoft.com/office/excel/2006/main">
          <x14:cfRule type="dataBar" id="{493515CC-4019-44A6-BD7F-5910C9AC94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</xm:sqref>
        </x14:conditionalFormatting>
        <x14:conditionalFormatting xmlns:xm="http://schemas.microsoft.com/office/excel/2006/main">
          <x14:cfRule type="dataBar" id="{085CB1DE-8F05-4D4A-AD5C-DDE5DBB9B0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</xm:sqref>
        </x14:conditionalFormatting>
        <x14:conditionalFormatting xmlns:xm="http://schemas.microsoft.com/office/excel/2006/main">
          <x14:cfRule type="dataBar" id="{147B64E7-3097-4646-8662-FA9B5D7DB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7EC71BB6-0CA7-47DA-8E03-640396E51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T22</xm:sqref>
        </x14:conditionalFormatting>
        <x14:conditionalFormatting xmlns:xm="http://schemas.microsoft.com/office/excel/2006/main">
          <x14:cfRule type="dataBar" id="{827F9092-1AE7-4A19-84D8-3526A1FC52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T23</xm:sqref>
        </x14:conditionalFormatting>
        <x14:conditionalFormatting xmlns:xm="http://schemas.microsoft.com/office/excel/2006/main">
          <x14:cfRule type="dataBar" id="{8ED2E5A7-DC3D-4665-B980-ABE88898D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T24</xm:sqref>
        </x14:conditionalFormatting>
        <x14:conditionalFormatting xmlns:xm="http://schemas.microsoft.com/office/excel/2006/main">
          <x14:cfRule type="dataBar" id="{D9520E30-1FF2-495B-AACF-EB2DC2131D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T25</xm:sqref>
        </x14:conditionalFormatting>
        <x14:conditionalFormatting xmlns:xm="http://schemas.microsoft.com/office/excel/2006/main">
          <x14:cfRule type="dataBar" id="{27FDDB1D-F10F-45E1-93D3-E28991AB3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6C11D4-0D59-40BC-B21C-09E2597159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CD51C0-06F6-49ED-ADEE-1DFC87E169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492C97-292A-4F00-B9D2-382A9D148D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1B08A3-F4E0-4379-965F-356102E220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00135F-467A-48AA-A952-D8F7DFC6C7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327ADD-526A-40BE-B236-59B559938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43177B5A-7B89-4180-A91A-E6C15544FF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44A193-886F-466A-960B-ECBC683E3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U5:U26</xm:sqref>
        </x14:conditionalFormatting>
        <x14:conditionalFormatting xmlns:xm="http://schemas.microsoft.com/office/excel/2006/main">
          <x14:cfRule type="dataBar" id="{C0AB4B75-307D-4555-B347-6B63EE37C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DBFE8D-ACDA-4B4B-9272-E179BCB914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6A0FD0-D597-41AE-8A20-9B81B12A2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4EE400-5EB5-480E-9013-F93352765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B43E10-47DA-4B93-A7E0-8D92C60DED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0F8E9D-AACA-4635-A166-D9556345C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FF92AE-0849-4CFB-B822-6586061DD5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U23</xm:sqref>
        </x14:conditionalFormatting>
        <x14:conditionalFormatting xmlns:xm="http://schemas.microsoft.com/office/excel/2006/main">
          <x14:cfRule type="dataBar" id="{4009D7A9-4727-407C-8D95-6BD771E52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287CF7-92CD-4DEE-9DB6-750719DA4B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EAA475-DD63-425B-A939-3FBED32B7E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3AEFF6-8FC3-462E-AECB-CC8F87D573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6CE7D5-6799-4975-B443-C0A7705E2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B23FCF-46FF-465D-9A69-5C2C3C6FF4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BF1C54-1A8C-421C-B223-6C2E965AE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U24</xm:sqref>
        </x14:conditionalFormatting>
        <x14:conditionalFormatting xmlns:xm="http://schemas.microsoft.com/office/excel/2006/main">
          <x14:cfRule type="dataBar" id="{7A5895B9-8A14-41ED-B0EB-AACC2B0073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6B2494-B4BA-4233-AC7B-2D921395E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9E8C24-684A-4B35-9EE1-B52ED248D9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1DB457-4C60-4AF5-8F8A-3E9AAA40E8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DB06E1-F581-4BC0-A7CD-3E7CA2144E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4A84F1-1DBA-4AD3-83AA-D2AF1318DE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503462-F075-43C4-B5D6-D7306639F5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U25</xm:sqref>
        </x14:conditionalFormatting>
        <x14:conditionalFormatting xmlns:xm="http://schemas.microsoft.com/office/excel/2006/main">
          <x14:cfRule type="dataBar" id="{4AFC7C6E-0906-4890-9086-67480E3012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5E7A89-5DF4-49D0-BF5B-C0FAA825FD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15F0F3-E6B4-4D4E-8F04-90B1CD6C8A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01E135-5BBA-4C02-9A18-6A5E7E5BD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A521F4-90C6-4BBA-A4B9-90F27B8CC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89AB9F-919D-4BFA-A8A1-C64ABCCFDD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B4A5C9-42EE-4CA6-ADDE-8B49C2EA84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U26</xm:sqref>
        </x14:conditionalFormatting>
        <x14:conditionalFormatting xmlns:xm="http://schemas.microsoft.com/office/excel/2006/main">
          <x14:cfRule type="dataBar" id="{0A3E221B-B506-43B6-8577-438D2DEA0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2FEF48-DBD5-4652-BDB1-552A4CE532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2B3279-35D1-4855-A176-F150F0AB2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013193-7C94-4945-BEE2-92969BD353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66E6ED-DC84-4B3E-94AA-763DE665A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E4134E-36D2-4BBE-9B75-9C69942B9A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42A600-B582-4114-AD1E-F61E6BA734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BC94FB-2A65-4885-B30D-5397D767EC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255BE9-8FD0-41C6-B402-8AD6C80B64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4F47A1-3714-458C-A42B-2C07CF58DF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6C35FA-3B41-4ED0-96AE-0340E73F57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B54220-B995-4266-9EF9-19CD6C1B3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FEC8F3-7C97-4FEB-9835-BC120876E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F06BAC-5EEC-40DB-B42A-4C87628F68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6EC366-6251-48A2-9DC0-334EFC1FCD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5A9403-5629-4837-A792-B894682365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227287-452D-4848-8E4A-E9040D0277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354596-864C-4AA7-AE26-B11D96851D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615DCC-0EF7-4D22-A109-56AC39765D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BCAA4D-B4A9-4573-9BDF-E1A30B3019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01FDDE-7BEB-4E5E-B957-69D5359298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805978-2FE8-4019-8F81-7DDDAB2151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54522A-5031-43AD-93E5-DE17E63B2F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875545-4E95-495D-992D-6498D7EFCD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F5D084-EF9C-4F80-8CC8-84A00DB8AD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550112-3ED3-4DD1-8615-78BD0C333F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CC8AA6-1051-4A8D-BBEC-88456D4F3B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B5328F-EBC9-4258-B1F8-F46FE4BD59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EE1772-9B2E-4F18-AF2B-44E13F8D24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1829A0-DB35-4822-B98C-FE4FEBDD6B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V5:V11</xm:sqref>
        </x14:conditionalFormatting>
        <x14:conditionalFormatting xmlns:xm="http://schemas.microsoft.com/office/excel/2006/main">
          <x14:cfRule type="dataBar" id="{42E5C08B-B51B-4046-B4EA-3E60C5D4F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E2A2E5-86D7-4D24-B5D0-92A8960F5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A5EE82-1911-41F9-9FEC-12FB3F066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FBE8AF-EE0E-443D-AACE-624AECEC71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906708-5FA7-4109-99FA-E563B6B78E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AAA07-EE88-4935-ADE8-02C4FF2A57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EAD972-3BB4-4B53-ADE6-BA5EF56C5D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5A85DA-2758-4C2F-BACA-C2F2E35D14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CF5B1A-D0D1-4D84-8A6C-89B4E2CB2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9E617A-1870-462F-A43C-861B0FEDD7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0540A2-23F7-40C4-BE59-720650A1F8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D55836-B0E7-4C17-9AC0-EF48F6F282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A16A54-8A5D-4B31-868B-D59FEF5C5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V12</xm:sqref>
        </x14:conditionalFormatting>
        <x14:conditionalFormatting xmlns:xm="http://schemas.microsoft.com/office/excel/2006/main">
          <x14:cfRule type="dataBar" id="{66B0946C-A430-4F0B-9AED-9C78EF52BD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CFEFBC-8AD6-4FF4-B7AB-C89CACF9A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2976F-35E5-4EE0-BE80-8894B91A1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9E84ED-7015-4B72-90B1-4A6835CB72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C4E827-CF6B-4C7A-850E-5A7DA72D6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A71A6A-2595-406A-9551-F1BD45E7EA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2DCAC9-8009-40D7-B250-A0D819048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C44A46-1F34-41AD-8AAE-F379E37BF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2C06C6-255F-4560-B55F-0978C55BD0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F7B2C6-B45D-409E-B87C-DC47DDCCB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F32083-894C-4285-8AC0-6E6E6A3D7F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F7E3BB-B101-48B9-8E21-390D0125E1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FE9AB5-C3F6-4889-A544-A1B9F82B8B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V13</xm:sqref>
        </x14:conditionalFormatting>
        <x14:conditionalFormatting xmlns:xm="http://schemas.microsoft.com/office/excel/2006/main">
          <x14:cfRule type="dataBar" id="{77BAC14F-4C6C-488E-8761-EED3A02303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AF5E1E-600C-45A6-A051-3A37DD50D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C540F5-2FCD-409D-BEE4-BE0944C534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9E6E49-3B4A-453A-B6E5-61A021F643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CAF192-84A3-404E-8516-75FAC3491C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C9DD3C-110E-4B51-8E41-71BD9DB2B3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08DC68-8C27-4F5C-A18C-9529129475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728527-0B3B-4C6D-B323-051420AA3C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E89DC2-A21C-4889-837F-D905D15712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2849E5-FE65-4874-B0CF-A815BE14A0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0778B4-AA0D-4B30-9F60-0CCE9343B0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18807-AE2A-4966-BC51-549D99DDF0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110FD4-BEFD-46A0-80A9-09CC10CC88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9FD4BF-A6F9-4A80-89EF-8C2D43490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A0198A-3E6B-4A52-B6DC-F2DA4710C3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5B60C2-AE6E-4359-8370-0EB30B61D7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ECDAEE-601E-43A8-BC25-525B3D1D81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07010B-7995-493D-A921-326E573BE2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8E264A-D353-4D1F-A740-553C495FD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C8DE97-4A22-4EEC-A8BA-046CF10D3F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9182A7-E157-42C3-85D7-7EAAE1A4DA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2C8329-88D0-4C7C-A79E-925D1E25F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3FBCD1-C76B-4F1A-815F-4B9D475660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836C6F-F33D-4FAF-9EC8-5BBA75BD35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C9BA47-C535-4BFD-8B6B-852391FEFA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85482E-8572-423F-BDBB-CB9201E9ED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652CC2-CB98-4AE9-ADF3-0C81549524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54636-2F58-4EAD-8B77-C81FB64A8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BDBB34-F97A-444F-BD70-A00149DC2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D4CE7C-1906-4F85-A777-3C0D4CF44A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2119291A-12D7-4A5C-85F2-D23AF99E7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AB932D-F499-4407-B764-AE3F76EEB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EC31C9-A069-40D9-9D8F-DF7495DF1E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3374B6-B9C9-4759-9937-077C17A512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94543F-C196-4C91-825C-8830199B92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004CAE-1B5A-46A8-B2E8-EEC4111644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E194AD-315B-490A-8134-8B3FE2E83D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6E8352-7AA9-40F7-88D6-CD307C64AC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D9F369-B68C-4B49-997F-BE237CDB2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B2653F-0BD6-48BB-BEEC-AD56D92798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634E86-BC6D-49E7-8B62-42F061B60F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7CB5F6-D011-4082-94B6-178B0CFEF2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FE2679-84FF-4CC2-9837-5C0EEA6E4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9EDFB2-C73F-4243-B96C-87A329F697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C0FD7F-4309-41C3-806D-373C9F01A1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CB2799-A70C-4962-97A1-4F6B60F1E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63F53C-9672-4504-8C0E-DFA8D63C36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V15:V23</xm:sqref>
        </x14:conditionalFormatting>
        <x14:conditionalFormatting xmlns:xm="http://schemas.microsoft.com/office/excel/2006/main">
          <x14:cfRule type="dataBar" id="{B251968A-DF11-4E4E-AE23-728EED7F6B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3DD680-A85D-4693-B925-392EDD546A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C2DE8D-33C3-45C4-9E8B-8E81AAA490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3B07A6-4136-4303-B50A-039B7BE0C2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78C417-E4F5-4054-A9C2-372F3D8E9E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3BA97D-CA36-42D3-B044-F26953361B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5D5C94-0EFC-4206-AFF5-3E2E10622F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C746C8-E1F1-418E-8860-4A60986365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53E455-9413-4B9A-B03F-455D0A028D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9D3745-E376-47E1-B475-45282CD45F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D322D1-A192-46E4-A69A-9DC272AE07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953516-BC3E-4219-8CA2-96EE9EB4EA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62C1BD-0083-4177-9388-943BEC9C6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V24</xm:sqref>
        </x14:conditionalFormatting>
        <x14:conditionalFormatting xmlns:xm="http://schemas.microsoft.com/office/excel/2006/main">
          <x14:cfRule type="dataBar" id="{96589B7B-8B02-47B9-AA72-6E99DF1B7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41507B-5E8D-42BF-8E40-8A01C7840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D3D7BB-9D98-4EC7-A83A-93F496F9A7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A68132-28DB-4D59-A0B3-C4D490A2E6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71A6C4-2999-49F6-AF95-E3655F12D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B6C560-0428-4BA8-A6A2-508383C5C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89EA22-451D-43D8-BD31-7C02FC782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79A26F-34BD-455D-9026-EEEF1B530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2E45F1-AC8E-444F-9552-4847E766EB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702015-C2D1-428D-ADDC-E23234858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626521-F3EF-4AC3-A01E-4312EC1900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7B663E-C33C-4E6B-A7E1-75700D8E3E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6EAC9B-D852-46C1-8DAA-8CCDBEDE6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46F62D-50FB-4FD3-B3E1-D8770946DA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58302F-AA87-4E93-A9E9-0089D6A397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936D02-4CE6-41D2-BD2F-A6AED5D4F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851B77-B08A-4B44-9F34-5B89E7B647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B60E58-0B84-4E2F-88AF-68467286B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920958-BFF5-46D7-A43D-6897E619ED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4878BD-3474-4C38-B6B1-33A4207B64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BA24F5-EEE0-4A4E-BC7C-103CABC2B5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8AF0EC-417D-447E-AD97-FC32D8BB49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2AD70B-1FCE-4F13-994D-2A20A57876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E9DBCF-F7E7-488C-9B27-A35E2C505C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770427-8BB1-4B4D-B96B-F26E37C19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D0339E-5A46-484F-8140-9FF08287FE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A28F02-942F-403D-B74C-C9D47C3B4E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8842BF-0509-471F-8113-4E6743C564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319B26-5DBE-4CD4-833C-A89BBCB86A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503AEF-CC6C-42BE-88A2-06BCC11304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V25</xm:sqref>
        </x14:conditionalFormatting>
        <x14:conditionalFormatting xmlns:xm="http://schemas.microsoft.com/office/excel/2006/main">
          <x14:cfRule type="dataBar" id="{DFDE866D-ABE3-4644-9218-184A976434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042CC1-F9FA-46FC-A23B-A04ECEA705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CF6095-1F21-4075-A0E1-F18DC26F0E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8006DB-2119-4C4C-990E-9BDAEBEF63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962387-A28D-4D11-B226-A7A3CE284A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1DE667-5CB3-458C-9381-81DD7CABB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B7B8AD-1BD0-4530-9362-BF3D4CAF1C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EB71AF-CCA8-404F-A71A-62AE768130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9E8323-F77B-47E3-A3C9-D5F86D4F2C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46244B-28B2-4C8E-892A-9F371205FF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51E547-CE5C-4BC0-8D64-F0BBDB9AE5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B90582-0CEC-43EF-93D4-44A7BB49A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193203-4630-481D-A2A1-07CD6AD89A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V26</xm:sqref>
        </x14:conditionalFormatting>
        <x14:conditionalFormatting xmlns:xm="http://schemas.microsoft.com/office/excel/2006/main">
          <x14:cfRule type="dataBar" id="{7B5C91D1-3FF5-4C9B-8B72-9526F08329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Y33</xm:sqref>
        </x14:conditionalFormatting>
        <x14:conditionalFormatting xmlns:xm="http://schemas.microsoft.com/office/excel/2006/main">
          <x14:cfRule type="dataBar" id="{2A8AC319-E56B-4079-9C98-7B4D6E139B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Y34</xm:sqref>
        </x14:conditionalFormatting>
        <x14:conditionalFormatting xmlns:xm="http://schemas.microsoft.com/office/excel/2006/main">
          <x14:cfRule type="dataBar" id="{65C16CAD-2029-4370-9E2C-9E160975F6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Y35:Y36</xm:sqref>
        </x14:conditionalFormatting>
        <x14:conditionalFormatting xmlns:xm="http://schemas.microsoft.com/office/excel/2006/main">
          <x14:cfRule type="dataBar" id="{94265FAF-CDB6-45E0-9ED6-7796D2E036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55F6FE-4728-43C0-B35A-372F60648A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CAC3B0-FB23-4AE1-9D21-E16F0560E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567D80-00B5-4C8B-875E-D1041DBA11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AA62EF-199C-4402-BA01-B1AE49E5DE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64CB2F-9505-4D90-B6AE-27BCC2F0C4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72972E-8CEA-4820-80F2-39D8C0ADB6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C76ABA-2215-4AD4-A5A3-BE11EFA6FB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Z5:Z36</xm:sqref>
        </x14:conditionalFormatting>
        <x14:conditionalFormatting xmlns:xm="http://schemas.microsoft.com/office/excel/2006/main">
          <x14:cfRule type="dataBar" id="{FD0FD6BA-D31A-4B73-A990-7BD1C71BC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D7FF6A-B948-4E0F-991C-BEC5D065A7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Z5:Z37</xm:sqref>
        </x14:conditionalFormatting>
        <x14:conditionalFormatting xmlns:xm="http://schemas.microsoft.com/office/excel/2006/main">
          <x14:cfRule type="dataBar" id="{85522EC4-6633-4CE3-823C-007755046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B90880-0F07-4C06-BFC4-9462F7F45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9A375B-B3F9-4FE8-9477-559BB7FEB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E08D90-FDC5-494B-9A29-771431B8C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10DEE3-5004-4D09-97A7-E40A4F9F3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BDFBC0-B4BB-40CA-8F1B-BCB072A32C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DBCB0F-2628-406A-8E39-8DB28B34A6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686462-FC05-415C-A211-F98F0946BF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Z37</xm:sqref>
        </x14:conditionalFormatting>
        <x14:conditionalFormatting xmlns:xm="http://schemas.microsoft.com/office/excel/2006/main">
          <x14:cfRule type="dataBar" id="{6636BA38-9A02-4BED-AE8C-672CD22D1C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374BD5-5DFF-42F4-843B-F454F0389A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12C0A1-C58C-4C09-92D6-1D5FCC43C1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658682-4902-4EAD-900D-10E1D56D1D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216FE9-6027-4B0E-817C-7919DFC378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EF268B-9155-43AA-884A-0DF2597BA0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9AED6E-F800-4ACA-9FE9-F9849EAA5B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9F58D9-4D8F-46E6-BB0B-87BFBE5389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9E9C8F-2017-43E1-AEAD-9C65065F52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048D1F-CF0D-42F8-9CAF-75F1B8F512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8E37BA-DBE3-417F-ABD0-B8801E1C6B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64A7E8-71F7-4404-8F0B-69F390C7D7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A4FEF-6D4D-420F-B35E-9618F55B48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E6F0C7-C69D-42D0-B543-2576C4025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F31924-6A5B-409A-B171-D77BB1E5E0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2EA002-CFE7-4A6B-B8F8-8A0B04F2E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4DA3BA-B889-466F-8A80-03ADFC46F9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874742-FFE0-4293-9D82-CE6446F306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5FC18C-DFA0-4965-B079-6EBC705033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55F729-9296-475B-AA7D-20FAF70471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02CBDC-3306-4656-B219-CF97590A55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E8478F-52A0-4239-AE76-2E6329E0C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92129C-E4D1-4982-9076-3BC5B8E4E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20F128-3D7F-4CDF-A466-E4B2C809EE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573622-2975-4711-A473-E3E7DE841C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EB2183-2D02-4D3C-847C-6CC177483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98208D-27B5-4F81-A23E-C56EF726F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98CF48-AA29-4AD0-BCEA-0AE0002BEF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EC79D3-8160-4188-B96E-E58274A748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D30252-2B50-4AD1-AE67-A9372C039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</xm:sqref>
        </x14:conditionalFormatting>
        <x14:conditionalFormatting xmlns:xm="http://schemas.microsoft.com/office/excel/2006/main">
          <x14:cfRule type="dataBar" id="{41641722-5DDB-4DBC-A921-64C3AA99C3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019D3B-F731-47E8-A2A9-6C39E4196F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FF1726-2785-47E7-9DEC-2CFFB3F9AC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BE62E2-D62A-426A-A6FB-E3C147D64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D7067B-1FAF-4C29-846B-151CAEA13B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E45A35-826F-4C39-A21B-324CFBB446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6982E8-3759-479D-8BFC-CAA51C835E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A38F0E-164E-4EE2-99D2-7053E28FFC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EDBD8E-0218-4DDA-838E-3A89EE42E6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8C6D90-77D6-4A87-9F55-DA36295424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79906E-31C7-476B-8D97-824270F342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7370E5-3205-4B41-B277-AC4798AED0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D3732B-45D6-4912-97F9-397E69015B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AA6</xm:sqref>
        </x14:conditionalFormatting>
        <x14:conditionalFormatting xmlns:xm="http://schemas.microsoft.com/office/excel/2006/main">
          <x14:cfRule type="dataBar" id="{4567F10E-8944-45E1-B71C-55938FDF4F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6B792-D302-463B-B656-8ECC5585D9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ED62BE-5C1D-4B24-94D2-D48E1A12F3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28B7C7-69BD-4698-B2BA-95031A659E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416318-146D-4643-92FC-C9669922B3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3E3F86-4545-4830-A76B-0FDDDFF0DE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3DC43A-485B-4049-82AE-EFB00B7F39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DD432F-9ED9-4EC5-8DB7-6F1A46DF1F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161BBD-7590-4A44-A98D-D43D20736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FDEF60-2CE4-407E-ACB1-865EF2578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2BF974-A5FF-44A4-B54D-10FF7911D3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4B32F9-1E01-4371-B4CC-35CA7FDE85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E8DF01-488B-4885-93CA-6FFA0B175F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180EB2-15FB-4979-93A4-F168AF35B0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CA5935-8396-4052-8ADF-450F1150D7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FAC227-FA11-4D54-A9CC-F9292E7C34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20A989-B9C0-4622-8CC8-0F9B9441CA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283D0A-B900-4178-8261-FFDB5818B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E95091-5AF0-4349-A503-3F204003B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C43E12-4134-4017-8451-5C1C66874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F8284D-C284-44AF-B82B-504D761C80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61D281-036D-462C-9945-05E4777FDA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96A611-EF55-4FE4-922C-3F45ABCAEC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C87079-3F95-452B-B11B-6F7BDDA5B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6A2A29-2317-46F0-988F-8CC18D93C7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99038D-D3DA-4402-9DA2-311D24FCD3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3AB222-C14E-4CB2-AE09-0DE064638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8343A1-7596-43D0-8E92-65904AD835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C3A3A7-D381-4B7B-97F7-A956224B2D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DFD07E-2AE7-4D54-8A2A-CB0C4B08FB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</xm:sqref>
        </x14:conditionalFormatting>
        <x14:conditionalFormatting xmlns:xm="http://schemas.microsoft.com/office/excel/2006/main">
          <x14:cfRule type="dataBar" id="{D51C7962-C33B-44B6-A77B-5E3CF9B61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7F253C-54D2-4766-A688-D7D07768C6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332C3B-2B28-4EE1-BAA0-03129BF8A9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7F848B-FBA8-49A8-8372-E6DE352627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6CF2A6-8FC0-48CE-82BF-CBA70D42A9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B79928-1E1F-4D99-8F61-1EB4CCC57C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1CCA76-3A4B-431B-8843-B450978095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451277-CBC7-4730-B72A-1FD0344D67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2F0F7B-34A1-440F-8208-E248FDC6F5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AF93A3-C45B-449B-BAC1-BB9B732796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1B8A93-9BF9-48C2-967C-2D809C55F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CAEFD-B675-4FC0-A391-E6754E0776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8FF0F1-6659-4FFE-8B5D-C087D0EBB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4CDB2C-98BB-4719-AFC9-BDF09489C2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CEB6CF-4475-4480-B5FF-45DE1F8999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67CFF3-93F3-45BB-8209-46ADBE290F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68E20D-EAF6-4BC2-9F9E-C89253AC5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</xm:sqref>
        </x14:conditionalFormatting>
        <x14:conditionalFormatting xmlns:xm="http://schemas.microsoft.com/office/excel/2006/main">
          <x14:cfRule type="dataBar" id="{156D08F8-4E95-42A1-BCBC-658935471C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DD962C-8F5A-48B4-8296-82B1643ACF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02EAE4-64CE-4608-95E1-11AAAF23D5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F1B762-02D8-4755-8F04-BBDAC23F1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E895F3-5364-4091-AC29-71BFB0A289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446A87-7EB5-4D0F-A9C4-25D6A6A467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FF1840-B988-479D-A7BA-DA339B96BA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BF07BC-469C-433F-AFE4-9F5A2E2911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CF3DA7-6658-4C02-B3B9-64FECA88D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E8F6C3-DB3F-431C-BF6C-BF587A58A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022DD8-FE6D-4DC2-B8CD-29C2CDEE3A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0F27FE-06BA-4FFA-BCC8-E3915716D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68F613-F0AC-4538-BFA4-53C20D1EA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AA9</xm:sqref>
        </x14:conditionalFormatting>
        <x14:conditionalFormatting xmlns:xm="http://schemas.microsoft.com/office/excel/2006/main">
          <x14:cfRule type="dataBar" id="{3D1A035E-76DA-404D-B0EC-8B722AF76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728E20-C45B-4C45-8933-E5C6AAE6BF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14648D-8E97-43B2-8A71-0C0605289E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B27335-0E73-4FE2-B220-307AEF828E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8FF10C-D166-44A5-A836-2D5AC506AA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3ADBCD-F089-4738-84D3-16A8694200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AD6635-F37C-4499-901F-4609779741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EE54DF-AFEE-45FC-89CD-EAAAFCC3D4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DA3CDF-EDF5-4D52-8B20-B83D75DC5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5C613B-9319-4387-9410-313DD83C16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40823C-A8EC-498B-B5C6-110AAD6EE7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218FB8-FCD1-4CBE-86FA-BED7D0454B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151E7D-1E1C-49A4-9FCB-F1E334803D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61A2CF-6599-4D0D-A0D0-CC8F19C539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017724-19FA-460C-A89D-0958CD734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6777FB-0A49-4EFD-9E7C-A9C7D12C89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A745B0-7246-4476-83FF-B05D5D742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8F98DC-DE53-437A-8B62-6E5214AFA4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5F30C5-37E3-425D-9DFF-2C51ED23C6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C0D2BD-5493-4D4B-8089-2CA339A77A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26C05E-5D77-448C-A118-92FD86AD03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271CA1-A789-41D0-BE95-F065D3957A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97E5FD-CFB7-4C59-86BD-71F3C2CF35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B9A6DF-79DC-429D-9CAA-530CBF3AA3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879D34-2CC0-466E-9502-BAE956870A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C2E817-D1D3-48D4-A68D-E89B71FB0C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7AD555-EF19-4798-9B1A-5E38776FB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846F81-3D73-48FC-8E32-EAA28B512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EC730E-66A8-47B5-A9AD-F6AEFBC692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90E21E-7ADD-4F21-A4D1-62D37FE56B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AA10</xm:sqref>
        </x14:conditionalFormatting>
        <x14:conditionalFormatting xmlns:xm="http://schemas.microsoft.com/office/excel/2006/main">
          <x14:cfRule type="dataBar" id="{A77677F1-E999-40FE-A03F-CBB7A2ED94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0C97FA-7D1A-4F6D-A58E-C048E76489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1EFF5B-5644-42C1-A1F3-6E5D15E27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685793-03E9-4A02-959C-25ED8ABBE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3EB3BC-0851-4A98-868C-8B4E78352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849B06-99C6-44AD-8E49-5143615721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BB4656-6259-41DB-AA8D-483D2CB70F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C5332E-205E-4E6D-BDCA-DB8C5279DA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07840C-771D-4C5E-B68E-313B5A6E39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809972-BD3A-4362-9375-0F9C7BCF83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66474F-9CED-4693-980E-F190D0B1AC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DC2ABC-9B2A-44F4-9EFB-0D828DBCE9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6AA406-FC4C-4A14-87CA-1B5762870A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AA11</xm:sqref>
        </x14:conditionalFormatting>
        <x14:conditionalFormatting xmlns:xm="http://schemas.microsoft.com/office/excel/2006/main">
          <x14:cfRule type="dataBar" id="{CA8901F8-84AD-437D-9193-64E1FD95F2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F372A-4D05-4CB0-875A-B4C8DB1F72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F86F42-B89D-4C50-B7F8-7A400D6F0F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E162B8-B3DF-47CC-A2C6-96A9E1999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78666F-299D-4B2E-B2F3-10CA4E0A34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DBDC2E-2BD4-4EEA-B39F-1FCCDE66AA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C148D7-D5AB-4AA3-A41A-246A2E5E1B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6D1AD8-79DC-4E3B-8724-D5B9D4E18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F3AE5F-6664-458E-B810-674496FA02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973561-D2AB-439B-AD53-A3D941E8E2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18FE28-E426-47DC-B5B1-1626551E5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EC9870-0A92-4577-8D10-158DE08EA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AEC8C4-3620-434B-B905-8F0901E7D3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AF4505-38E1-4A6A-8297-45678156E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AA4A63-EE08-42A3-985D-757A563BC3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38B9A6-19C4-4C03-851F-D8DA9FF4D8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3FB410-B3EC-4659-BB1A-FC41CFA6A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42BA35-3D2B-4AD0-AE6C-AB36B6E791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5A26B0-2542-4D4B-AA7E-A1885D3870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585613-3516-406E-918B-17544BA625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E4B0B7-0134-4156-AE98-5188D6222E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174750-363B-48CB-87EE-F134761D16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5010F8-7B70-4347-AF3E-3C14EAC3DD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82F457-6526-434F-983E-CFA31F389A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5FEF1-B688-4CDB-BAA3-55A9C77A9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E65840-FB82-469E-981A-86D888626B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E598F6-FA29-4DA0-B4D1-6B83FF2160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898815-F811-4F1D-809C-E24E855E75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9BC806-0519-4E34-ADE8-47F353BD3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D19EF0-3FB4-4A9E-AD2B-97036D2845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AA12:AA16</xm:sqref>
        </x14:conditionalFormatting>
        <x14:conditionalFormatting xmlns:xm="http://schemas.microsoft.com/office/excel/2006/main">
          <x14:cfRule type="dataBar" id="{C3C2A309-5CFA-4ACA-9980-FE9A14A85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131C71-AA0A-42C0-968F-8241CA91CE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65D20F-E9EB-4D3F-9154-A5B5CEEC02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A7C8D9-52D6-4038-8749-861B3F242C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134A62-64B8-4CF0-A38A-D64366589E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37D2BF-1E02-4283-9056-4AD63C280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FB569E-1454-4A65-B0EE-3E360B9442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9AA9F9-C71E-48BD-94A5-FB9866D497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163CAB-EB13-44EE-B53B-4827C2FA32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24A41D-0E73-45C7-8269-F0F606E6F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D43E60-CFC0-46A8-93CB-79EC0AAAB0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DA4F4C-626B-4247-9C06-38FFCD815C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A72725-74A6-4CDA-B576-6BCAA622A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AA17:AA18</xm:sqref>
        </x14:conditionalFormatting>
        <x14:conditionalFormatting xmlns:xm="http://schemas.microsoft.com/office/excel/2006/main">
          <x14:cfRule type="dataBar" id="{D88B2B2E-81B1-4E39-8DFC-C61B3DEDB4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802A74-9F54-43E6-A8FB-FD0BB3846B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198DB8-0629-4221-94F5-C5118BF76F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D6E160-29E6-497C-B085-6EA136FC35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330674-DB79-4D26-8E4E-08182B2CD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92E41C-266C-489D-8B65-92900122C6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4A9F2F-69CE-42C9-8AFC-3739C975FC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AD2173-A4FC-4CE1-ADA2-064B345988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8C962C-EEFC-4D5D-A4E7-8047C0931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D49A9-B3A6-40CD-9057-B369B31DA8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3CAB27-8712-4758-A16D-ABC29F50B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17E4CC-10A2-4B5B-93AB-04D17B988B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2E05E0-3A9C-4D3A-80F1-0E94C95DF7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B5329D-8A97-4C05-89A4-BC626DC9BB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F67929-8C99-4300-937D-45D3C8915B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0B8DA0-45E6-4240-B14B-05E0D4FFA9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8D1002-8A7A-4F43-B2F1-E11D609A0D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AA19:AA22</xm:sqref>
        </x14:conditionalFormatting>
        <x14:conditionalFormatting xmlns:xm="http://schemas.microsoft.com/office/excel/2006/main">
          <x14:cfRule type="dataBar" id="{85961C65-735E-4AE9-8FDB-1D0B1A74CB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0B0E7F-8561-4964-9C49-CE3FA5F25C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68ADB4-52DA-481C-AD53-68866E39F1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635AE8-4CD5-43D0-B328-3C1BDBB07F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BE4173-3FA1-4924-A8F0-34F4BEAA35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AF1D74-411A-455F-862F-91D95BF977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93588-B049-423D-AFC1-4C836913FD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8AA166-4A79-419C-9CFB-EA07BAD8E8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06FA05-4724-4CDF-A10F-EA9F490456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39FCB7-ECBA-422F-BD1D-6E4D4BBF5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92C530-BA5E-4DCE-8626-DB8370B0D2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0C05E6-B7A5-43FA-9908-BFCCC34E2F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CE17B5-4DA6-41D8-B6AC-01F272D530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AA23</xm:sqref>
        </x14:conditionalFormatting>
        <x14:conditionalFormatting xmlns:xm="http://schemas.microsoft.com/office/excel/2006/main">
          <x14:cfRule type="dataBar" id="{6F0FABCC-9EEE-4E8E-BFE6-4EC5317561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9AC347-28DE-4636-A32A-317C1F30F3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907F5B-0BDA-4260-8F98-ABA8725B5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C78434-23B2-45A7-A07C-63F81BE2F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E0FC0E-FFF7-44F2-B5C3-A8415C5DAC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2F84A4-F1D8-4379-8493-F2EB9BA8AD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BC8263-5291-48E3-B812-81FC2AE924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7C8039-9E5D-4FC2-897A-AD4C8D3BCC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57F4C8-BF12-4EB9-9B5E-CAA48B83FB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5B2940-097F-4C63-85EE-677D2D416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E0A77F-CE1B-4B0E-A1F1-0958E1D12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03DF63-CC18-411C-B5A4-E495DAA290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CE2B12-3C2E-4F54-BEE7-1B46D08607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ED9E62-E6A3-43FE-9532-85480D8915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B336C9-ECD4-4732-8C31-7D2206C8A6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B75A9A-7672-4D00-94C6-610DB77C60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5FB741-5785-45F7-B85E-27C842E03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C4E622-347A-4270-9F71-2F555E8306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549EBC-26B8-413B-92D7-F20140DEE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4BA436-F51B-420F-A92A-40ACFCD04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2C2466-2902-43F8-8BA0-71D9547563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D44884-4965-4F45-B431-1F4A70E78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9F7C8D-F811-4D3C-8B1A-CEFA19592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0048BC-3BD0-46F4-B6D2-F13D56E77C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FB78AF-F016-4B30-B092-53107E773E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4A47F7-18C8-480B-93EC-7DB21B014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36FC0F-B15D-4DC7-8D92-E765FE5BE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3A42E6-A71C-4E1B-9516-174C2A13E3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1B8DDA-DA9A-4A96-904D-2AED9037AF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76055B-1C6D-4AC8-80D9-A34273195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AA24:AA36</xm:sqref>
        </x14:conditionalFormatting>
        <x14:conditionalFormatting xmlns:xm="http://schemas.microsoft.com/office/excel/2006/main">
          <x14:cfRule type="dataBar" id="{1A0F2946-3AB1-4090-9391-9FFAA017C1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710CB7-E9F5-4DD9-A2F6-69BF281E9E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2E9171-7E09-4718-997C-A703E6695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8A55F7-BA87-4350-A320-00EB096E8B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66CE7B-FF63-4AD5-849D-44F116CD7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FFA4AA-1631-46EF-A524-64FAC5228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253E3C-61F1-48A2-89AB-D063291E9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A33211-6696-43FF-9A24-E23D82D5C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31BDDA-A4ED-4B1C-B2C5-D508284A59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5CDFCD-6FFD-4D4A-B7BA-F6646C8D6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7E10F5-DFB1-4D18-8F8A-2E1202DB55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12E586-C991-4742-B169-B5FFB140DD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A97A6B-D23A-4D50-9DFA-29A8CCC2A8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AA37</xm:sqref>
        </x14:conditionalFormatting>
        <x14:conditionalFormatting xmlns:xm="http://schemas.microsoft.com/office/excel/2006/main">
          <x14:cfRule type="dataBar" id="{3660E0A1-5C0C-4E51-92EA-7D6C0EEBC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9307CC-9295-4598-B8EB-C90A4C1880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AB5:AB35</xm:sqref>
        </x14:conditionalFormatting>
        <x14:conditionalFormatting xmlns:xm="http://schemas.microsoft.com/office/excel/2006/main">
          <x14:cfRule type="dataBar" id="{EDC38E61-C832-4D10-BC5A-B4B84D3E30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09B033-A5C2-4103-B417-7AB40AA8B7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2D9AF4-1E89-43EE-897E-956ADD8C2F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AB9:AB10</xm:sqref>
        </x14:conditionalFormatting>
        <x14:conditionalFormatting xmlns:xm="http://schemas.microsoft.com/office/excel/2006/main">
          <x14:cfRule type="dataBar" id="{AC26F678-CA6A-43AF-B6F8-6C9F6AA6A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EAD525-B865-4C9E-B039-325E1D4DB5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E88570-4AFC-4688-9D67-DCF792773A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AB11:AB33 AB5:AB8</xm:sqref>
        </x14:conditionalFormatting>
        <x14:conditionalFormatting xmlns:xm="http://schemas.microsoft.com/office/excel/2006/main">
          <x14:cfRule type="dataBar" id="{EFE33C16-7BF1-4C2F-A4AE-8D88AE2E32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587F6D-D6F0-485A-8E3E-62FAF37BB9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74C558-8F57-486B-B6A4-BF2950C57A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AB34:AB35</xm:sqref>
        </x14:conditionalFormatting>
        <x14:conditionalFormatting xmlns:xm="http://schemas.microsoft.com/office/excel/2006/main">
          <x14:cfRule type="dataBar" id="{E1D12A76-17AD-4C77-9474-6874F611C2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AD32</xm:sqref>
        </x14:conditionalFormatting>
        <x14:conditionalFormatting xmlns:xm="http://schemas.microsoft.com/office/excel/2006/main">
          <x14:cfRule type="dataBar" id="{EFAA8E3B-D2E6-42E7-A794-398E060846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AD33</xm:sqref>
        </x14:conditionalFormatting>
        <x14:conditionalFormatting xmlns:xm="http://schemas.microsoft.com/office/excel/2006/main">
          <x14:cfRule type="dataBar" id="{1319E549-4644-4779-8640-BCB32E7AE5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AD34:AD35</xm:sqref>
        </x14:conditionalFormatting>
        <x14:conditionalFormatting xmlns:xm="http://schemas.microsoft.com/office/excel/2006/main">
          <x14:cfRule type="dataBar" id="{F9DA71DD-91D5-4D50-8A2B-12B462269E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A08717-3C73-4CD4-BD09-D3FF322553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AE5:AE30 AG5:AG34</xm:sqref>
        </x14:conditionalFormatting>
        <x14:conditionalFormatting xmlns:xm="http://schemas.microsoft.com/office/excel/2006/main">
          <x14:cfRule type="dataBar" id="{F09223C1-CADC-4A7D-8392-ECFE19B4AB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AE5:AE31</xm:sqref>
        </x14:conditionalFormatting>
        <x14:conditionalFormatting xmlns:xm="http://schemas.microsoft.com/office/excel/2006/main">
          <x14:cfRule type="dataBar" id="{1231BF4E-273B-409B-ABF1-904B0DE3C1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AE5:AE35</xm:sqref>
        </x14:conditionalFormatting>
        <x14:conditionalFormatting xmlns:xm="http://schemas.microsoft.com/office/excel/2006/main">
          <x14:cfRule type="dataBar" id="{92F8FC88-2057-474B-A0BD-18B09D3EDA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5E98DE-BA6E-4FC4-A27E-E1F08A39FA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24E2A7-4063-4983-A345-E4C45EC905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EF9E24-6E8E-4692-8E07-15BF42A4A0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AE5:AE36</xm:sqref>
        </x14:conditionalFormatting>
        <x14:conditionalFormatting xmlns:xm="http://schemas.microsoft.com/office/excel/2006/main">
          <x14:cfRule type="dataBar" id="{826D488A-BF3B-4EAC-821E-9481402536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9518F9-24B8-468B-955F-8780E6E5E0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782F92-5BA5-4EFF-83F0-776AC6D3D7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AE18 AG20</xm:sqref>
        </x14:conditionalFormatting>
        <x14:conditionalFormatting xmlns:xm="http://schemas.microsoft.com/office/excel/2006/main">
          <x14:cfRule type="dataBar" id="{3430C5CF-A9FD-4577-BA9B-F7C3B1FD82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0F4309-6055-4211-868D-3A9876CF98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E2D583-22DA-4943-A06B-A3541A17B1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AE19:AE26 AE28 AE5:AE17 AG21:AG30 AG32 AG5:AG19</xm:sqref>
        </x14:conditionalFormatting>
        <x14:conditionalFormatting xmlns:xm="http://schemas.microsoft.com/office/excel/2006/main">
          <x14:cfRule type="dataBar" id="{D42565DD-8AA0-4F73-B20D-214634A86D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613396-179E-42D5-A5E9-BDABD91F2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F4F6A1-3D08-4AFF-968B-F1D6446A3B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67856A-B1BB-4573-B5FC-8C4A576029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AE27 AG31</xm:sqref>
        </x14:conditionalFormatting>
        <x14:conditionalFormatting xmlns:xm="http://schemas.microsoft.com/office/excel/2006/main">
          <x14:cfRule type="dataBar" id="{80BC4F1C-9132-49E6-9241-B76FDBB3B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AE28:AE30 AE5:AE26 AG32:AG34 AG5:AG30</xm:sqref>
        </x14:conditionalFormatting>
        <x14:conditionalFormatting xmlns:xm="http://schemas.microsoft.com/office/excel/2006/main">
          <x14:cfRule type="dataBar" id="{4145C06A-8253-4E8B-81DC-0BCDA610C1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0ECE42-A427-4CEF-BCB0-5311A879B8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C9C3A8-81F2-4B00-9C05-E7A4C1999D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AE29:AE30 AG33:AG34</xm:sqref>
        </x14:conditionalFormatting>
        <x14:conditionalFormatting xmlns:xm="http://schemas.microsoft.com/office/excel/2006/main">
          <x14:cfRule type="dataBar" id="{C8F85DFB-BAF2-4732-9E21-E42DD8B840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F2FB75-9A3E-4C48-BAB6-8AA0E86BF2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4421AA-3E2B-4CEF-9C13-F50ADB196B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EDA169-AECA-4703-B4AB-BD694FDBA1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90B772-0510-41F3-9FFD-E9C1EE2C8F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BD72F9-FEB1-46CD-9485-45B3F8008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AE31</xm:sqref>
        </x14:conditionalFormatting>
        <x14:conditionalFormatting xmlns:xm="http://schemas.microsoft.com/office/excel/2006/main">
          <x14:cfRule type="dataBar" id="{ACA6BD4F-B250-4B66-B3D9-DDFBA7D29B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2DE2E3-240B-443E-AC81-F71D47C9DA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717AA1-EDBD-4143-BC86-518A353A83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9ECF00-C3E4-448A-A5DA-3BE6CE24D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9AD8B3-9211-4701-9A4E-860E4FDE4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225EAD-E223-457D-A1AC-E635A40A1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0F2054-5C1B-4DD9-87BF-70E28B0A10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AE32</xm:sqref>
        </x14:conditionalFormatting>
        <x14:conditionalFormatting xmlns:xm="http://schemas.microsoft.com/office/excel/2006/main">
          <x14:cfRule type="dataBar" id="{DD8743FE-A8E9-48B2-895B-3F29482DFC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7742E5-2CB9-42E2-B23F-244F398087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5106E1-9F29-4985-A96C-39F406F59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FF57AE-2656-44AB-AD4C-9AD9CE1DF2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B5A79F-995C-41B8-87C6-DB3CE6481A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84EF82-018A-4F10-9F5F-63970F646B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1BE32B-981F-47AE-863B-D8C366D8B3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AE33</xm:sqref>
        </x14:conditionalFormatting>
        <x14:conditionalFormatting xmlns:xm="http://schemas.microsoft.com/office/excel/2006/main">
          <x14:cfRule type="dataBar" id="{4D2EE5FF-62FF-44AE-BC5F-D603EF612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F24209-D028-4566-9B4E-24B9944D4B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51F261-B2E9-4D30-8A2E-2D9259A30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85604E-63D8-4BA1-ADA1-FC2B54B11E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CB2B0A-715B-47B1-BE8C-EF3FEC22F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182BBC-A16C-4A88-9C07-25AB7C3E7B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639094-234A-4781-A104-A5405B1E49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AE34:AE36</xm:sqref>
        </x14:conditionalFormatting>
        <x14:conditionalFormatting xmlns:xm="http://schemas.microsoft.com/office/excel/2006/main">
          <x14:cfRule type="dataBar" id="{5D6E0E03-8D3B-4CE2-9602-18E3B72051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DACD0A-233A-44D6-8A43-AC8AC094C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18D012-6E3B-477A-9183-EE1BEC034D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E8EFBA-FFA2-4D32-A182-BFDDF95526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B0C8C0-BB5E-46AC-A359-7C7043E10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692661-4DE8-49F7-BC1C-2130BF1444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6107ED-58D4-44F4-95F9-E6083C71C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AE37</xm:sqref>
        </x14:conditionalFormatting>
        <x14:conditionalFormatting xmlns:xm="http://schemas.microsoft.com/office/excel/2006/main">
          <x14:cfRule type="dataBar" id="{9A6EFBED-4AD7-436A-AF0E-80076301B7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A9227E-03DC-4C47-B621-E2E5A8F4A3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7EE72B-74B7-43DA-9D97-2CCEF779A3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C0B70A-7DEB-47C8-8D6B-B92649F694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AB7569-719B-495D-BDF2-C120DD242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073662-D301-4C38-AAED-1EB25230A8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252272-8297-4C53-A161-400117C6A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66E011-0CEE-442A-BB0B-F03C65F5B9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1C9BCD-757D-4E39-9AFA-1661116011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6BCD3C-FA59-40E3-9367-8261FFE0B2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7F34E2-21FA-4B1C-B170-272B21F7FC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FE1C0-2C3D-45EF-B9A9-A82433E805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867A72-6540-42F0-BFFB-2EFB15D19F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6302C4-917C-40BA-9C8C-8DA9EDB56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3046C8-21E4-4031-9E39-6B6AF952E2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3EF287-3651-44A1-A9ED-018A2384B0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D4B0C8-7CA1-47F9-92DB-6866171134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D1A72C-6E34-4407-AC06-DEE40639D6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DE2A88-437B-461F-B47D-A4FC6D852E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1CB0B-1A7E-46E6-9AB1-1B3A9F03F1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204CA4-81F5-447D-8598-3BF944FF7E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C120C5-05F7-4552-A955-B6F00793C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BA68BF-B0C1-4A50-B4A6-CEB6C7B2B2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B77B00-2C18-467B-BEFC-3DE5BC3A68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58376-302B-4D6C-865A-BF0AFD896E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7EFF48-66B5-43AF-86B7-2D51CF6753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5FFD3E-4049-4A4C-9C62-0060DDE73D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C3BC81-D424-4DAA-90EA-6A19410914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2D5FDF-E269-4CF0-A94A-6139FCF31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912C92-DE91-401B-B482-C819CB8573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AF7</xm:sqref>
        </x14:conditionalFormatting>
        <x14:conditionalFormatting xmlns:xm="http://schemas.microsoft.com/office/excel/2006/main">
          <x14:cfRule type="dataBar" id="{2CAB6DEA-682F-466C-AAC7-A98DFEF3F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2694F1-4133-4547-B709-6D6F49E65F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C79E34-EFF8-4BAD-A2E4-D984937CD4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BA92EF-0B71-4D28-860B-55735DC35E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AA721-4AFF-41F8-9321-0D266B5EE7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FD244A-9DC1-4012-B6A1-912E1061E3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270290-F159-4C08-B526-1C092C2DF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B98E2A-23F9-45CB-85DA-674D218DDB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3A0BED-7363-42CE-B5C1-85D3F230CE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4280D3-6E89-4C31-BD12-475BD1497D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6DAFF3-7A1B-42CE-9E83-2AAAF21B28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1F3A6D-A3CE-4415-999D-E0CEB46815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8F79AD-3315-40A5-8987-E53532D4D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A262B3-46CF-4FE8-B5DF-DE5378B08A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EF850F-B3B2-48F2-8708-0DF06A6F06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1E802B-E741-43DD-A439-9E539A8DA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EA9E39-D79B-4321-9395-322FB623E0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AF8:AF26 AF5:AF6</xm:sqref>
        </x14:conditionalFormatting>
        <x14:conditionalFormatting xmlns:xm="http://schemas.microsoft.com/office/excel/2006/main">
          <x14:cfRule type="dataBar" id="{50304D68-0C70-4BFC-8BD9-996123A3A1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BBEBD7-61EE-4DF6-9140-B4EDF8E074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AFC007-0B40-4A08-B87E-88379C57CD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BD1FD5-5C60-4146-AEBA-CA5AFA4B53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5A0752-2B66-4FF9-B2CB-18A4CE1EE3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32745F-5A9E-4750-B726-85EFA17911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C1B7A5-7AF9-421C-8E0A-02B9C6F627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08A159-0F9B-4556-B3CC-D5995060FB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131BAF-5579-485C-98C8-44464B06C0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93A014-CC61-4009-95EF-427C45F3B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4EC658-E695-4C16-A23C-4A6C41F625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EBE0B2-5D56-4263-ADB9-802163091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A7C53B-7990-4700-8548-468BE9F91B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9F94FC-706F-4DF0-8A1B-92F73F5988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1C768E-7C23-4EC4-A222-D0FD449796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20C62B-34D7-4744-9F55-FB02C82E0D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411C47-A9EE-4249-BCA4-EBB45ED411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AF27</xm:sqref>
        </x14:conditionalFormatting>
        <x14:conditionalFormatting xmlns:xm="http://schemas.microsoft.com/office/excel/2006/main">
          <x14:cfRule type="dataBar" id="{B2A5EB82-E22D-44DC-A7C2-DD3FFF68E7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36D8B9-2002-4B26-A1C0-F49516AF4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CBF547-7EF7-4F7B-848E-141242C44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E46B4C-0DAF-4B4A-9EC4-123282695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68A2C2-94FD-43F9-8C37-2887622E9F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8F5A81-F89B-4371-87BC-8669159F03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E73340-38E1-4BF8-8467-386C74BF6E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C26D6F-E26D-4470-AC51-C95D466E3F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D657AB-7B8F-4B90-9A33-1A35BD55D5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7BBC68-D732-4CA1-A995-F3321C0CE6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FDF6AE-0CA4-4986-8512-16FD95AA10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0BA1AF-9ADC-422E-ADFF-9099E5836A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66C4DF-E3A4-4B3D-A960-4C697F880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353C2-F4E5-41ED-8409-7857539AB8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7D6655-A0EE-411C-ACE1-3E14CE2E79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75903E-424F-49CF-833A-4416D3940A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B5B18D-5A51-4AE1-BB76-31DD087F5A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AF28</xm:sqref>
        </x14:conditionalFormatting>
        <x14:conditionalFormatting xmlns:xm="http://schemas.microsoft.com/office/excel/2006/main">
          <x14:cfRule type="dataBar" id="{A8D8784E-9BAF-4B67-B282-0216553B1F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9AB8A4-0511-4354-9EC5-6B79FF3078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F80607-781A-4EFA-9199-AC7513985A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D00DDD-3F22-4C27-AC53-0985A995E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B42BD3-3A37-464B-A5A9-8CDFE7110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7B9D34-0306-4453-A029-2F66B03494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C30DDF-BCD7-44AE-84BA-8BB19A4CC1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FA19CF-77F7-4FA2-B9BB-81299C48A8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65220E-2376-4335-AEFA-83488AB967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83E8A8-4BD5-4D90-8D2F-64138B449E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05A2BA-B40C-46B5-9C0F-EF2D2E7AD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DF4342-54A2-43A3-8B68-A2C4EDD033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283888-1410-4CFD-AB1D-4364C4306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2A596E-375C-43A7-A140-BE4AE7DFD5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2B813D-15A8-4DA2-AD59-248016BA3B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913280-44CE-4935-BFD7-40734CA227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CCD7FA-0F55-462B-9FBB-CA38A2461A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AF29</xm:sqref>
        </x14:conditionalFormatting>
        <x14:conditionalFormatting xmlns:xm="http://schemas.microsoft.com/office/excel/2006/main">
          <x14:cfRule type="dataBar" id="{40C14DF0-41F3-4C6A-8C29-7F65AC034F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BDDD5E-6908-42D3-87E6-4116B2D12E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036229-0C87-4FB1-B911-3B6EF351B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A95FC1-8FC9-418A-8634-10569C28BB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DC0DD5-8A81-4918-822B-C8D4B81283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9C78C8-D5F9-4E26-A9E6-BE5563AB11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730EC3-CF75-42BF-9CDF-579057910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F1B4BE-E797-48FD-A261-5E47774751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92678C-FAD0-4AB1-B073-CBF8BE1981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9E8775-294B-4D90-B2E5-0EE9B9FE8C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0930A0-03D5-41EF-AE3C-0B6A6C92C8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CBCEE5-D28C-42BE-B36F-0AA9572FD2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8D4525-8F76-486D-BD56-7A7A14F1E5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BEA1F4-8CB6-4547-A1AE-7710F89A21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3460C4-628A-44D7-AEFD-311A8D3229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ADD881-E27B-4EFA-9FAD-AEE0470D5D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A6B86C-E2FC-475D-936D-B91004E52A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AF30</xm:sqref>
        </x14:conditionalFormatting>
        <x14:conditionalFormatting xmlns:xm="http://schemas.microsoft.com/office/excel/2006/main">
          <x14:cfRule type="dataBar" id="{13BD66D5-C099-4A92-8551-312F1B81AB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3D6C5E-3F03-4A67-9FB1-23221E1966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39A731-AAB6-47DE-98DB-75D1620839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F6FCC6-190B-46BF-860C-E2686B5AD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07C01E-E053-4C83-8B2A-2EE4EB06D4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BE2E1A-F105-4A50-BDEB-00BC5C1652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7BAE97-6C9C-45E5-84A1-7A9C5FD517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28E49A-67DA-4E28-99E3-6A77B5CA6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514DCA-D287-4849-8A4C-DECC3035D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C5756F-2B77-4D52-9235-6B2DA739D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CA028B-9FB2-4595-AC4A-3F81ECB874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3AC6D3-4E28-490E-A7F4-652EE54096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999CA6-B797-4742-BC88-4ADE1A4F07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62D8B6-7ACF-42FB-B439-BE3BFFAF50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EFB6CB-4FBF-4A17-B346-A07950B96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EF1DFD-C4F0-4E19-BD6F-B799329E92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D3AA06-9619-4EF9-B890-A9D180D40E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AF31</xm:sqref>
        </x14:conditionalFormatting>
        <x14:conditionalFormatting xmlns:xm="http://schemas.microsoft.com/office/excel/2006/main">
          <x14:cfRule type="dataBar" id="{2A100FE2-D90F-40E2-856C-052498FCB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452359-487B-42FC-9F61-061B63FC52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2A5D71-7345-4A2B-8BE9-18C600D211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CE3384-0F25-427B-8BD6-B842F4C092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1A6A44-91C8-42F7-B43F-215ADEAD40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736363-A6EA-43BA-9927-9DF859ABE6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C7CFBB-18E1-4F96-A3F1-E1E0FD8DB6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B0C36F-1CFB-4FF3-B8A1-7F6E1C990D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638BCB-A5F3-4C3F-92A8-800134F33D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0B9CE6-4CF8-49AB-871D-722950C9FA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79B74B-5764-4BCE-95AC-0929146859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472EDF-5CAC-4F88-9207-46353EB9F9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0D276E-3059-4C28-BB91-3986AF939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A93BFF-0B6F-48C6-B220-4DB84B24F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8702D5-46B1-46B5-AD27-BA9A0AC60B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B5D8DB-B884-4A89-98CE-9D6F35DB5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57A480-41CA-44B2-A3FF-420552F25D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AF32</xm:sqref>
        </x14:conditionalFormatting>
        <x14:conditionalFormatting xmlns:xm="http://schemas.microsoft.com/office/excel/2006/main">
          <x14:cfRule type="dataBar" id="{D36D4663-C095-4521-BDC9-251113965F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72CA1C-D79B-4CFB-8F22-D0740AC11A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A43BFF-3F41-48D8-8624-B0A0F4631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A94738-68AA-4DBD-9E54-33F6C8CEF3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19599F-8671-41CA-9B73-B4A000A5D1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43B012-A280-4185-B841-2B82E0D6D2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E8A6DA-496C-436B-BB4A-F44AE3E5F5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89B484-5FA8-48A3-B02A-8D6EEA05FF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1F4FE3-121B-48B0-8632-C94A49790F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30DC98-ED6A-4122-8B25-9504E569AB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79E86F-7F43-4123-AB62-1829B88CC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E9523D-9C2E-44EC-88DC-2D166A63AD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8FB512-A23D-47BC-89E1-568E42BABE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D74416-5BF1-48CC-8646-36D166A879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C6EF21-ED57-4341-A503-638B040BD3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1965-1D5E-4ED5-BB2E-77A7D69E77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4B50C3-1410-4326-B20E-37B7A4C677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AF33</xm:sqref>
        </x14:conditionalFormatting>
        <x14:conditionalFormatting xmlns:xm="http://schemas.microsoft.com/office/excel/2006/main">
          <x14:cfRule type="dataBar" id="{DDE37E3D-B5FA-4A56-B03A-9DE607713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805058-12E5-405D-8ED4-8AB963B5D7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E0BF79-78E5-4B61-95DC-C690E2C6E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C806E4-1539-4912-9A9A-9738CD8A6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4441D7-43AD-43D2-A70A-D1525FB0DA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0934C0-092B-4334-92B2-100239EE4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663364-9EC6-40C6-AB5F-481DAEC5B9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9F2419-E2F1-4B6B-8908-6632F82530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D2EF28-DC2D-4ED6-A46E-69786F33D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81A2DA-B49E-489D-843F-62AE4DD041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39A945-1EF3-49D2-8066-25ADB534AF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CCDABD-E8C7-4855-A738-C2A83F5D65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3D44E0-39D1-4247-A1E7-6E4AC29971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8249F6-DCCE-4B46-918E-F0C55B517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B2385D-2F51-4B4F-A60F-78D8B638C8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7B9A02-BD30-406A-87AD-8F7FD8BE2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79FB39-394A-4348-BEA8-51B6D208A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AF34</xm:sqref>
        </x14:conditionalFormatting>
        <x14:conditionalFormatting xmlns:xm="http://schemas.microsoft.com/office/excel/2006/main">
          <x14:cfRule type="dataBar" id="{831DA418-E783-4C5D-969E-71DA0F1DF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504D0A-BC3F-4D06-B4BB-F9BA727D8A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982F13-835E-4FA9-B0C4-40FB2ED0DA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61D37D-0D76-4012-8FCF-6F59AD383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FABAC3-1E0C-4D8E-B7E1-2223C1232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DEFD99-3E2A-4A37-BD18-11086E16EF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BCC325-4D1B-4801-A6AF-E4FEF038C7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C28B66-BED0-474E-90B6-95A0A8B1E1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13EDAB-2129-4DD8-9991-C45282853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825A31-5F95-4A91-98F6-D73DD80A65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558421-9B19-44FA-834F-60D657934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BBD8EA-57BC-428C-A506-25C9A1387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B61AE5-275B-47C2-BF61-FBEAFC20B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F64B3D-6013-4054-B182-2D2F34E016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CA6BAF-63D5-49AB-ACEF-1C2684110E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38600C-BA5C-4F37-A53D-C9A7D817DC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211B31-B0D0-4D76-A5E2-887E59E9A1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AF35</xm:sqref>
        </x14:conditionalFormatting>
        <x14:conditionalFormatting xmlns:xm="http://schemas.microsoft.com/office/excel/2006/main">
          <x14:cfRule type="dataBar" id="{3EC516C2-BA3A-4A0A-AAE1-3B100D215D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0E2530-3429-4306-9024-218425FC75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6F2D6D-9698-485C-9D85-F99625C71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D5C245-742E-454D-A553-23161090BF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E44ACC-6906-47EE-8CB6-C6CD6CB002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DC76B7-3AC4-4F58-BFA4-BC52CF4199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851375-A10A-4143-BD1D-C33B941F70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EBE9B1-22D9-435D-8396-B72B18213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868CA3-33F0-4D44-9D6D-9255F8050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7E9B56-2A99-436A-A592-20BF25A69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4F7C9A-401D-494E-826A-C84FEF9ED1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5BE552-ED3A-423D-A87F-C66CB0C76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AF2C17-F130-485F-991A-C2D9E6719B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AF36</xm:sqref>
        </x14:conditionalFormatting>
        <x14:conditionalFormatting xmlns:xm="http://schemas.microsoft.com/office/excel/2006/main">
          <x14:cfRule type="dataBar" id="{7CB8BC77-669B-43B5-B1A5-8CECAAB334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C795EE08-5AC0-40CD-B806-EB3878A608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AI18</xm:sqref>
        </x14:conditionalFormatting>
        <x14:conditionalFormatting xmlns:xm="http://schemas.microsoft.com/office/excel/2006/main">
          <x14:cfRule type="dataBar" id="{9B4D9FF7-E211-4D6D-8DB2-AC229CD974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AI20</xm:sqref>
        </x14:conditionalFormatting>
        <x14:conditionalFormatting xmlns:xm="http://schemas.microsoft.com/office/excel/2006/main">
          <x14:cfRule type="dataBar" id="{40362E4E-209B-4B55-A78C-675AACD7AB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AI22</xm:sqref>
        </x14:conditionalFormatting>
        <x14:conditionalFormatting xmlns:xm="http://schemas.microsoft.com/office/excel/2006/main">
          <x14:cfRule type="dataBar" id="{F772D2FE-3F9D-4087-9562-9D93C7A0AB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AI23</xm:sqref>
        </x14:conditionalFormatting>
        <x14:conditionalFormatting xmlns:xm="http://schemas.microsoft.com/office/excel/2006/main">
          <x14:cfRule type="dataBar" id="{B75F67AC-97A8-44B7-B927-24D5E6DD43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AI26</xm:sqref>
        </x14:conditionalFormatting>
        <x14:conditionalFormatting xmlns:xm="http://schemas.microsoft.com/office/excel/2006/main">
          <x14:cfRule type="dataBar" id="{7EDE4032-9CF3-483C-A81B-B598231B5A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AI28</xm:sqref>
        </x14:conditionalFormatting>
        <x14:conditionalFormatting xmlns:xm="http://schemas.microsoft.com/office/excel/2006/main">
          <x14:cfRule type="dataBar" id="{ED90600A-6A7B-48A1-AA4D-C69AB6BDB5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AI31</xm:sqref>
        </x14:conditionalFormatting>
        <x14:conditionalFormatting xmlns:xm="http://schemas.microsoft.com/office/excel/2006/main">
          <x14:cfRule type="dataBar" id="{7B2CC634-7AD7-44D4-A83C-255EA8E949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AI32</xm:sqref>
        </x14:conditionalFormatting>
        <x14:conditionalFormatting xmlns:xm="http://schemas.microsoft.com/office/excel/2006/main">
          <x14:cfRule type="dataBar" id="{2077ADCE-6D0F-492D-BC8D-EE17E13060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AI33</xm:sqref>
        </x14:conditionalFormatting>
        <x14:conditionalFormatting xmlns:xm="http://schemas.microsoft.com/office/excel/2006/main">
          <x14:cfRule type="dataBar" id="{8182A5D6-29E8-4184-9FB6-B5D51151BB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AI34</xm:sqref>
        </x14:conditionalFormatting>
        <x14:conditionalFormatting xmlns:xm="http://schemas.microsoft.com/office/excel/2006/main">
          <x14:cfRule type="dataBar" id="{926C9FE6-38A4-4A91-AC2B-C0D80EEC40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654BA7-BCDC-4873-ACED-CDC9F8C79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28453C-6622-40AE-BE9D-0D3C113C93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AK5:AK34</xm:sqref>
        </x14:conditionalFormatting>
        <x14:conditionalFormatting xmlns:xm="http://schemas.microsoft.com/office/excel/2006/main">
          <x14:cfRule type="dataBar" id="{C17E6D5D-EBEE-428E-B6C9-652CFE197D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43E5F4-8A80-4950-BA0F-1AD2455BA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02A632-0D13-40A0-B3AA-73A86EAC5D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342FD1-572E-4C5F-8EA4-98AEB1EDE5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8E5E60-3A77-45DF-ACB5-9DDF1B82B1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7359E7-8B3D-46FE-8F20-FCDBF1D938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F98D33-36B2-4FFF-BD58-3E9748CE1D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15A37D-F1A9-48C9-9C0A-3E3252B51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5E5D5A-204D-440A-9101-5B95AD4D15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78842E-BBCB-4349-A9F9-0B6112178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83D5C8-8B82-4D79-AE50-9A9F18F57E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D87D96-4DEC-456C-A9FA-79608B320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9B2644-3D01-481B-B733-94823495BE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68F6C9-E191-4890-8943-F7ACFB8219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A038B1-C133-49A6-B68C-A3A53040C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0BA077-8694-46EE-9939-38B3626BA5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8C5CA1-7B9F-4A78-B884-DF6AA98D6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FAC821-E2CE-4DA5-9105-E70D4CC05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530FF4-ED39-486B-814A-AA6C4C6664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B48A86-5667-496B-9924-9E271EF867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868F3D-C5AE-494F-95BF-14D59B4D83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077FFE-011D-4BCD-9005-85A781EA98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CAC5F6-9B13-4798-A53C-BB02CC17E7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FE1175-DCD8-4A1E-8298-53617A8366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4D9EBE-7706-4DE5-85B6-3F13BCD6F6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AE44C-FC0E-4157-A727-E91DE82A0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90B8A7-7C25-4EAA-90CE-ADEC399746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4134CC-76F8-481A-909C-788237EE05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0ED61D-C5D2-4ED7-B5E1-C86D4778E7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09979F-F678-4D15-9E7F-3B07D5268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AL5:AL11</xm:sqref>
        </x14:conditionalFormatting>
        <x14:conditionalFormatting xmlns:xm="http://schemas.microsoft.com/office/excel/2006/main">
          <x14:cfRule type="dataBar" id="{DE818741-4CF6-4BDC-A61E-E7DCE0B63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979947-648C-4A8D-9104-4DDE52E856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DB4840-D12C-4B6A-B837-80AF3AAC7D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21F160-E197-42ED-81C4-7CE6732087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7AEB8E-D23E-48FE-BED4-77A73F2AE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023B6F-213E-4D25-AA77-16A0A2EDA3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568EFA-D6BA-4890-A50A-6C925D87DC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67A2B5-75EB-46F1-8D4D-0303CC0AD7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30C737-618E-47B5-AA04-D712B6F26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C89C4E-809B-4B53-BE40-9BBC670AF4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DBE5A6-8EDB-4D8E-AF02-ADAB6F7D9E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FAA9F9-7CAC-488B-81E6-4561D788E6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97BD6A-68E7-4827-94E7-E491C2A0EA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8B9B2F-7C46-4996-9F96-F980DFA4B0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252FA8-20EC-4BEC-87B9-8CE30D97A1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BE2CB4-37A4-473B-A1DE-CED8C40CEF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D0DDAF-2FB8-4200-887C-31EFB4BA53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A70F60-5080-47FE-8720-17372FC88C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240E0E-AE9F-44E1-8B84-4F27423DD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788D51-60BA-4DFC-BC63-34EC41AACA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9D0417-0414-4584-AA50-DDBF49AB08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4B6651-2EFF-45C7-8AB3-C3298F9659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3B2196-0A3E-4923-8B80-2C27B1C527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472E46-92FE-4367-A97C-B2B0B34645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35A428-38C2-4259-8EC7-791FA9221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4236D0-B70A-4DDB-ABB2-3AD5FDA95D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EE87F7-EFAE-4586-867F-BAFFE7A618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9A691D-613F-406E-83FC-B72CCFC33D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671B2F-0D88-44DF-8840-9DED6D8B7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FCC141-E04F-49E4-9DA6-7D209D5863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AL12</xm:sqref>
        </x14:conditionalFormatting>
        <x14:conditionalFormatting xmlns:xm="http://schemas.microsoft.com/office/excel/2006/main">
          <x14:cfRule type="dataBar" id="{45834F43-7967-4A4B-8EEF-32DE5DDAE3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9C6453-B1DA-4875-BB89-0316E6563E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4881A4-1159-4BC8-86A9-4739A6D13C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9D5E9B-A906-4240-930C-90A2CF0D05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3B9E97-39AA-4A91-8D3C-8EA5F9410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2AAECC-78BF-4A2B-A644-9200CAFD0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197C13-22E2-475E-AF56-BB4CA83BC8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7CE760-7951-4E4C-BC94-6B992B2F7D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E00D70-36DB-4733-B3B5-203B72CD47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6FD3EC-EDE5-4D5D-A4C9-89B967FA21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DF4AB1-FBEE-4789-96FA-738CC2C82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56232F-F598-43EA-817A-586B696E41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003EAE-5F42-40FD-8C43-FAF6FDB2F1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AL13</xm:sqref>
        </x14:conditionalFormatting>
        <x14:conditionalFormatting xmlns:xm="http://schemas.microsoft.com/office/excel/2006/main">
          <x14:cfRule type="dataBar" id="{D6910DED-9D55-49FD-B7CD-65C597EE6C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B359BC-616F-4500-A378-EB0E071621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615162-5D4F-44A6-B519-207B04B2E0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3C6FB2-78A2-4014-B9BD-08D6FAF992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4B63A4-85B3-44F6-8FFB-AC4451F802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618DA0-8810-4D74-89D2-D5C7530E28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1B0B29-07EA-42DB-8226-0F43BD1216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C8CDB6-FC17-4AA8-ACA7-1171D8EA6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3E49B0-55AC-4469-9C93-B3319834E7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268BC6-7887-4370-BFD9-2DA18E6FC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526B6-8D3F-4A24-AA56-6AFBE7946E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6FE272-8869-437B-BB8A-C6144CF6F5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A671C5-14A8-4986-8338-826255CE07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CACB83-5115-47CA-A9D7-FA755544B1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8482D0-4730-44CE-AC93-44E63AAB78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572B3B-3920-456B-9C9B-D34D2B94D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D82833-9737-4A51-8550-43FEA136D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D4F18E-B3B0-4FC4-9D14-871BDE8F07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E31EB9-E606-4356-82BA-1E01F73B8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DFA661-5D97-4064-9F16-A54111DA15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A9659A-5D27-42F9-BF20-EAAF6936A3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96F9A9-38EF-4CB6-9ECB-C64A2C8140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92A58D-E377-4104-9374-252AA2D4B6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00876F-3C93-49D4-8062-8BF278F802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C7E599-D559-4A38-A8C5-D208452162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0FE9C2-AB47-4BB5-B7ED-274661FB19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BA943E-1C79-40B1-B759-843E863FAA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4C1209-5AEF-4213-9969-152B44BF3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6D6A37-C360-4FFB-8FA8-FEB8676C8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297C44-8FE5-4CE9-846C-454D519E6C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AL14:AL21</xm:sqref>
        </x14:conditionalFormatting>
        <x14:conditionalFormatting xmlns:xm="http://schemas.microsoft.com/office/excel/2006/main">
          <x14:cfRule type="dataBar" id="{3F7F6BC3-A4AA-48F8-9E27-70C8D78EB1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C1AC2E-9D86-4C9B-AFB9-498DB17807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FE2CA1-CA5F-43DA-AB87-74CE3C903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86AE2-168A-4872-B2B4-E08CB857D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E9972B-CD1F-42A4-B8C5-AE8AAA769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C12F54-2398-4B05-B7E0-101B91FEF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77BF31-51DC-44EC-81D6-54F76373A4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6CF46B-FC91-42C2-9034-76AF1EEDC5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4E914B-79BB-4115-8A7E-E12FACC56C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8DA534-F0A8-49D9-A41C-58F7AB9AB5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13F3B0-E0B1-4062-943F-A91BD0F386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4E707D-5CF1-4C7E-9774-3477BAFB5D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41CF02-DE50-4098-9D73-6C79A7E934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673FEB-DEE5-4643-81FB-9AC2007D4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483AAA-43AD-4821-B8FD-A0B099D15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F921A9-ADDE-46C7-A6C3-CF47864741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D89857-0825-4AFB-8BBB-1168CFB10D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AL22</xm:sqref>
        </x14:conditionalFormatting>
        <x14:conditionalFormatting xmlns:xm="http://schemas.microsoft.com/office/excel/2006/main">
          <x14:cfRule type="dataBar" id="{902A735E-7A8E-4C3B-9572-283189A77D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1FD188-C088-4306-96D1-0117063744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EB1E31-E94E-405C-9A73-617E2DD321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7691FB-2B3E-4B98-AB9D-2EB2162C59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E11572-9965-4ABC-93F5-952E47F220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8945BA-76B3-4BC6-B4D6-BD5B47193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2F722F-C604-4DE1-9F09-47FB48CD7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7122C9-DC37-48FF-8148-F09AE98F0D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92CEDF-1B5D-4FEA-ADD5-9F89261CB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7F94B3-C2B4-4A89-AA65-782AC70F44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F3E90E-2247-47AA-9863-1567533D8D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0CA10C-7BE9-4295-BDC2-E1CB56BBE6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4CB9B1-9788-4DF1-A2F8-6C18AFFEEB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4354CB-808A-4014-B5B5-F864EA5BE8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D5E926-EFC8-4F90-BE59-8F0DA2A5A9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2525F5-E9E3-4A6C-BE28-F4056F5693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6408AF-AF34-4FEC-BE2C-228AD71ECF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AFD2E2-6ACF-44DB-976E-34D791CDD2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9EAD05-4FC9-4403-96E0-72BAB0FEB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AE3D05-50F9-412B-BD69-CBD8CB3E0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EC59C6-0E7A-4CC4-B69E-26B2F13FF8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DAC96E-4060-4A8C-B70E-BCE441E94E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59951A-EE2D-4761-8176-5EF64BC9D1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4EE8B8-E49F-418E-9D06-394D8DCDDF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808A3A-EEC5-4E47-B5DB-21EACFD085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238617-92D4-481C-A584-E5F84ECD2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3177B8-ABE2-4E15-9BFA-BED6243195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2E57BE-E7F4-49AE-9D71-449A0830E8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4C449A-0351-45EF-A0DE-510AF9F38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8AC5E8-1DD0-492A-93D7-D3F4B9EE18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AL23:AL24</xm:sqref>
        </x14:conditionalFormatting>
        <x14:conditionalFormatting xmlns:xm="http://schemas.microsoft.com/office/excel/2006/main">
          <x14:cfRule type="dataBar" id="{5C8699B5-E3B5-4A2B-8D51-C3940028D6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A77811-77E9-4D33-BC18-DCB21C3CC4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22507B-DA97-448D-9C74-291430575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376F45-09AD-4702-BFA8-5CA0411AD6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C113D0-D772-46E8-AAC3-1A5F93867D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00F8F7-69B5-443D-AE45-686BC61C0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1D97F9-80CA-453A-81AC-49B42D28C3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97AE9F-E26A-445D-8470-70D087E5A7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FCD59D-A6BB-43EE-B1B2-F937C0007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D8BC49-D000-44F2-A8CC-4D1890189C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427778-D268-4D2A-B2BB-94C1F4D5AA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10AF63-4F00-4A4C-AD9F-E3897BD308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8C6A93-5816-4592-97F2-7BC0D57351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0FD02B-61A3-4A2F-BA48-C9AA55337E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E38C22-CF2F-492C-A762-1AD5A0450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EBEF6C-A8EE-442C-A920-4C170A6B49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437F16-25F5-49E0-97B2-B309ACD0D8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C18B4B-C718-4927-A01D-464994300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A91C9A-5727-4872-A5F3-01C91B9D50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AEDE20-5B3F-436D-B01D-E7353EBCC3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70F5-6E13-4455-996A-625CBA01C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F4B2A5-89FB-4520-9639-A7B8646AF8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5057B-892D-4D0A-857B-8DC0D02583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8FD837-C171-4589-8B43-E55A4CD91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94580C-D62D-4C81-83AA-382D12AF56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5BC320-AD34-45F1-9332-0195699B4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F9DADB-7075-4073-806B-779EA8846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B7311F-8851-45AE-A25E-2B2F430602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1F4039-C00B-45B4-93C7-CE2FB139FD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6CCBE2-38C8-464B-9C6D-594E064C2B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AL25:AL27</xm:sqref>
        </x14:conditionalFormatting>
        <x14:conditionalFormatting xmlns:xm="http://schemas.microsoft.com/office/excel/2006/main">
          <x14:cfRule type="dataBar" id="{6EFD94B4-6257-4EA4-9B78-6ECB8C68E6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C6AD11-C4A6-44A6-B15C-176BFBE63A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EF1A58-411F-437E-9D33-7A5C7D7B0A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F43AC5-2C9A-4D36-877F-F44CC68E17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101833-BFFF-4835-B1AC-0F3B9EC7C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D8890E-2604-40C9-B678-9E20B5A3BF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305178-CC23-42B5-8B40-2FA5F67C67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9780E1-6E8F-4844-AE05-113A5D5251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40A5EE-7E1A-4588-B59E-0C03DF5075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1441BC-4104-4DA3-A18A-B4D3A476C1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5D8D19-B6B1-42F3-82AF-035CF26862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B249F1-86EF-49C2-8D7F-4F4ED68DB3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7414F4-2530-4684-BF2A-15A62D01F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1A8B37-2FE3-47B0-B91E-8EA95F83B1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613B18-D400-4036-8AE2-1620F636E3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685920-8CFA-4055-8807-325111454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A042BD-F99B-48EB-AACF-DC4B229A9A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AL28</xm:sqref>
        </x14:conditionalFormatting>
        <x14:conditionalFormatting xmlns:xm="http://schemas.microsoft.com/office/excel/2006/main">
          <x14:cfRule type="dataBar" id="{C65CC5D6-401B-4B4C-80B4-FFF4E0A7A3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89B6AD-2BC3-4C8F-BB7C-1A45C7634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CC878E-8469-434B-9F5A-6B932DFCE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C149C9-9156-45DB-AC56-9BA9E37B7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73173D-0F60-45B1-8E86-801A42350C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AC5CFA-F179-4FB0-BA09-4E7BB512E4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A568BF-EC9D-47CB-A657-3F1CAC5BA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AFB055-9D88-4C2C-87AF-BAB2BD41A0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FCBB41-CD01-4BA8-BA0C-CD3836E5E1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32E6E2-E8BE-45BB-BA09-7B212AB636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523F7F-D006-48D4-9D23-7AB6C109DC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12EE96-2F30-4379-A648-A1ACB5B656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8D379D-B53E-4162-AF99-B37A8F06F4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FB2676-56EE-41F2-936C-FCB022FEF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1CC3FE-76D4-4189-9D8D-43C969CE5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32DA84-13E3-4AE6-A688-C17043B567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B728C7-9261-4BF5-BDA5-270F9D323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9605DB-1902-4595-BC1E-0EACBB8D7A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CFD4C7-D0BC-470D-A441-1E86547639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9B6BB5-06C2-4B26-9325-AECDE8A5E0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0AAE91-A2F8-411C-ACC9-8BAF0C0B8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DA1717-6C93-46C8-8806-276B9B9166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CBA444-A2ED-495B-83F5-C1B37692C9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918F08-5A64-4ADE-A366-1E6086C8E0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6E2BE1-3ED9-4458-A907-851196242D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CD6C5E-E532-46B4-8CDF-65BFA9117A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8D6B58-24E6-4D3C-8A68-973FB5D1BD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F728D0-90AC-4552-AE54-473FC446A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CE1545-9F87-47C0-BD7A-D2AC4C5BEE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04C36F-EF37-4C3E-BC66-1FCF1B4023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AL29</xm:sqref>
        </x14:conditionalFormatting>
        <x14:conditionalFormatting xmlns:xm="http://schemas.microsoft.com/office/excel/2006/main">
          <x14:cfRule type="dataBar" id="{0CBE9B90-329E-4A95-8A2F-412FFD0BA8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34C0F5-D8A9-4120-88D8-1861A162F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CE14DA-4C02-4111-9835-17AEF13ACB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0556AD-05F2-45B2-AC2D-03D25859D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D0663F-313F-4A91-BB39-8B18A5601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CD8C2A-C858-4331-987C-FA17D9B91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BE0EE6-8BDE-4C3F-8BEF-7F341E0BF6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469447-3530-44B5-B856-38527AF78C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777C37-DA27-4920-9614-340217276E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F187EF-E544-414B-AFAA-0E6D63D39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F7C5A3-DD11-43C8-91A1-76DAC43AAF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F606F0-9CF0-44F2-9B4D-59875C3F62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57884B-167A-462E-B13C-CB4B8B4C8C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268776-6B77-4142-AFA9-DA9FF85313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33EDBE-47BB-49B0-B934-37F25900F4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4CF40D-44DA-4E2D-BB12-2363B3BB73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1696FA-05FA-4EB2-89A7-5F6684C492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AL30</xm:sqref>
        </x14:conditionalFormatting>
        <x14:conditionalFormatting xmlns:xm="http://schemas.microsoft.com/office/excel/2006/main">
          <x14:cfRule type="dataBar" id="{3FD6466E-98D3-4AED-BEF1-A915E40A4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8C6DD1-710E-4F66-9AD9-40F45C469C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45C5A8-5D94-4F89-BA38-8CEA2D8B55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55E578-C7C2-4AAB-AE4A-3A8DE03A0E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424510-24A1-460B-BC60-2758442F27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613D79-B708-43AF-921C-2BC8D36574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859624-5106-456A-83E1-21BEBE1145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AC59D4-B3F3-4245-BAA7-8444951FD1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994A11-28AE-46CF-8BE1-7714B241D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BD5443-4F95-4616-BFA2-C2115AE2B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D46B2C-E75B-43A3-A59D-849F2EDA46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8EC684-D015-4555-B7CE-BDD5824168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66FEF2-C986-40F3-BB4C-704AE4FA5E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A26ACE-E747-4D1F-90C1-A24F11FA05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AF15D6-17CC-4AD8-875B-FE49676D86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205076-FB10-4ED2-85E2-32C4EDFD3F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D13E1E-0B03-495B-941B-F2C974C74F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AL31</xm:sqref>
        </x14:conditionalFormatting>
        <x14:conditionalFormatting xmlns:xm="http://schemas.microsoft.com/office/excel/2006/main">
          <x14:cfRule type="dataBar" id="{0F9C2E4E-EC5E-4A7D-B382-9EA537C5DA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792AF4-7C51-436B-B786-6DBE442F59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55064D-48A7-4D5E-8B3D-825933D74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FB216A-0AC4-4915-9E22-5A47312662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4576EE-2B65-4927-AC69-4E38E2FD1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BF2F80-6FAA-456C-831D-FFE6511DB7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C686F0-85F3-41F0-8710-E9F5D2E260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128BE5-241C-4DC4-BDD6-1FC9D98F8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823FB1-6D7A-4A2F-A67D-DE79F79212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589019-8D02-4C09-A044-3BFB4BB7A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76E763-FE50-498A-B9F4-06CCBEDF5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92AE00-ABA1-4F6D-9CED-A52C810BB6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5B57C1-4C01-4E99-931C-B18ADB8636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23B6B1-9E5C-43A1-BEEB-B5CDC3216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D35B53-D2BA-4010-9768-07CDF62891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443FDA-322E-404E-A04F-B0D9DDF1E3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BB1FC7-F80C-4A4F-9E25-36B63D5EF9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AL32</xm:sqref>
        </x14:conditionalFormatting>
        <x14:conditionalFormatting xmlns:xm="http://schemas.microsoft.com/office/excel/2006/main">
          <x14:cfRule type="dataBar" id="{0DD95D1D-3EA4-4285-8FEC-360B2BD07E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8F279-DD64-48EC-A86E-045F874EE6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8C1572-D298-4A44-929E-7098B926FE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D46F40-3382-485E-8F5A-4479B2B4F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469567-31B9-4ED9-98F5-06953E92F4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0F987E-3279-4E7B-92D6-080B483D7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9593CE-F439-4845-A13E-85F06C2E95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EAD5B8-0B35-4C90-99FA-F7AC900ECD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77B646-7E88-4C23-AA31-02F7DCDD08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8C537C-601D-4149-BBAB-E50837DA45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B94721-12F8-41F6-ACD1-9800F954D7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5A2F43-96B6-4CE3-AA75-C7C5FF4D31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E4BD93-2347-4ADF-B15E-3C68BB315B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AL33:AL34</xm:sqref>
        </x14:conditionalFormatting>
        <x14:conditionalFormatting xmlns:xm="http://schemas.microsoft.com/office/excel/2006/main">
          <x14:cfRule type="dataBar" id="{19544DCD-28D6-468A-AB67-9C92542D6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F9C2A1-3B83-47E7-BCE2-618E421C8E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7AB92D-2FEC-4454-9E13-893243DEDB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AM5:AM28 AM30 AK5:AK34</xm:sqref>
        </x14:conditionalFormatting>
        <x14:conditionalFormatting xmlns:xm="http://schemas.microsoft.com/office/excel/2006/main">
          <x14:cfRule type="dataBar" id="{87896B91-DB39-4390-B14E-6CEE1F8789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BD1EAC-7310-4DAE-8D97-213D53494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AM5:AM32 AK5:AK34</xm:sqref>
        </x14:conditionalFormatting>
        <x14:conditionalFormatting xmlns:xm="http://schemas.microsoft.com/office/excel/2006/main">
          <x14:cfRule type="dataBar" id="{13661AEB-CB57-4F47-B4FC-CDD98AB5B9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1DDD6A-7FEF-4FBB-83D4-114B9B5E53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78821C-198D-4249-BB61-2A8CFCB41A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2D351CA-3517-4176-8725-F415DB77BB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8484E3-8A59-4C89-BD98-0D96E16F10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314D62-AE2D-4ADE-9FD0-538EF8D05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AM31</xm:sqref>
        </x14:conditionalFormatting>
        <x14:conditionalFormatting xmlns:xm="http://schemas.microsoft.com/office/excel/2006/main">
          <x14:cfRule type="dataBar" id="{D6C94D11-3928-47CA-9093-F3BD13EDEB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6217A0-2535-48BA-B54C-D4514DF1BC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C7B4C1-74C0-4E10-BFC9-C09B7D8280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AM32</xm:sqref>
        </x14:conditionalFormatting>
        <x14:conditionalFormatting xmlns:xm="http://schemas.microsoft.com/office/excel/2006/main">
          <x14:cfRule type="dataBar" id="{850280BE-D3B2-4DDC-9C98-45E93D2436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AO6</xm:sqref>
        </x14:conditionalFormatting>
        <x14:conditionalFormatting xmlns:xm="http://schemas.microsoft.com/office/excel/2006/main">
          <x14:cfRule type="dataBar" id="{C155C3D7-B533-41B0-94AC-35053C372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AO7</xm:sqref>
        </x14:conditionalFormatting>
        <x14:conditionalFormatting xmlns:xm="http://schemas.microsoft.com/office/excel/2006/main">
          <x14:cfRule type="dataBar" id="{014DD265-45AA-4ED7-92CF-6BE1806BA7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AO8</xm:sqref>
        </x14:conditionalFormatting>
        <x14:conditionalFormatting xmlns:xm="http://schemas.microsoft.com/office/excel/2006/main">
          <x14:cfRule type="dataBar" id="{6F7A7E69-E02B-426C-9D76-E34CF742D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AO22</xm:sqref>
        </x14:conditionalFormatting>
        <x14:conditionalFormatting xmlns:xm="http://schemas.microsoft.com/office/excel/2006/main">
          <x14:cfRule type="dataBar" id="{87D5C4E9-4594-4D2C-BB13-6448FBE48A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AO26</xm:sqref>
        </x14:conditionalFormatting>
        <x14:conditionalFormatting xmlns:xm="http://schemas.microsoft.com/office/excel/2006/main">
          <x14:cfRule type="dataBar" id="{07DDF803-C37D-4DED-A035-2A608B695D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AO31</xm:sqref>
        </x14:conditionalFormatting>
        <x14:conditionalFormatting xmlns:xm="http://schemas.microsoft.com/office/excel/2006/main">
          <x14:cfRule type="dataBar" id="{11A10B4C-DA89-45D0-B57E-D0F8F0B2E5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AO32</xm:sqref>
        </x14:conditionalFormatting>
        <x14:conditionalFormatting xmlns:xm="http://schemas.microsoft.com/office/excel/2006/main">
          <x14:cfRule type="dataBar" id="{76DD741D-B83B-4763-B637-0EEDA5EB32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AO33:AO34</xm:sqref>
        </x14:conditionalFormatting>
        <x14:conditionalFormatting xmlns:xm="http://schemas.microsoft.com/office/excel/2006/main">
          <x14:cfRule type="dataBar" id="{CC6A33A3-64FD-43D4-B5CD-189A4BE96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4D3189-9CEA-42B8-8D59-95D74A921F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AP5:AP29 AR5:AR33</xm:sqref>
        </x14:conditionalFormatting>
        <x14:conditionalFormatting xmlns:xm="http://schemas.microsoft.com/office/excel/2006/main">
          <x14:cfRule type="dataBar" id="{3F74576A-834E-46C5-8456-E4C2FA9238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A9D834-6543-490C-B911-8F622A2EBE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AP5:AP30</xm:sqref>
        </x14:conditionalFormatting>
        <x14:conditionalFormatting xmlns:xm="http://schemas.microsoft.com/office/excel/2006/main">
          <x14:cfRule type="dataBar" id="{8C4AC404-9429-42A9-813D-2DC2A5DDE7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AP5:AP34</xm:sqref>
        </x14:conditionalFormatting>
        <x14:conditionalFormatting xmlns:xm="http://schemas.microsoft.com/office/excel/2006/main">
          <x14:cfRule type="dataBar" id="{90A39A70-36CA-4F48-8083-94DF77BDC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795767-C001-444F-BA68-F7851539E9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6F86E1-5684-47B4-98FB-93D380C9BF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AP5:AP35</xm:sqref>
        </x14:conditionalFormatting>
        <x14:conditionalFormatting xmlns:xm="http://schemas.microsoft.com/office/excel/2006/main">
          <x14:cfRule type="dataBar" id="{4341A0A2-693B-458E-B48D-82F74267AD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971151-B26B-4B63-9BFF-7A061F2C62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EF20EF-3805-42A3-8855-7D528EEF81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AP14 AR15</xm:sqref>
        </x14:conditionalFormatting>
        <x14:conditionalFormatting xmlns:xm="http://schemas.microsoft.com/office/excel/2006/main">
          <x14:cfRule type="dataBar" id="{4F281731-D6A7-42D2-9DAB-7572E995D9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9E92C7-97B9-47A6-8CFE-5112809E13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BC039E-88D3-4E1F-9347-EB269099D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9B7C84-8E55-4167-981B-08FEF0D2D6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AP15 AR16</xm:sqref>
        </x14:conditionalFormatting>
        <x14:conditionalFormatting xmlns:xm="http://schemas.microsoft.com/office/excel/2006/main">
          <x14:cfRule type="dataBar" id="{93FC764C-9A1C-4EE2-B6AC-32FA05C8C8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FE916A-A2C9-4BF3-8DDC-4D0EE19E27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7845EC-587B-4B17-8297-E719B7679C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AP16:AP27 AP5:AP13 AR5:AR14 AR17:AR31</xm:sqref>
        </x14:conditionalFormatting>
        <x14:conditionalFormatting xmlns:xm="http://schemas.microsoft.com/office/excel/2006/main">
          <x14:cfRule type="dataBar" id="{6ADF02E9-4004-4C40-BEC7-2FCF9F8E79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AP16:AP29 AP5:AP14 AR17:AR33 AR5:AR15</xm:sqref>
        </x14:conditionalFormatting>
        <x14:conditionalFormatting xmlns:xm="http://schemas.microsoft.com/office/excel/2006/main">
          <x14:cfRule type="dataBar" id="{9C1F8672-947A-4FBD-B6B9-3055FD61B5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FF2480-F00C-4A20-AD1E-2F808FBF27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F57E95-73DB-4457-8F44-C683AEEA2B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AP28 AR32</xm:sqref>
        </x14:conditionalFormatting>
        <x14:conditionalFormatting xmlns:xm="http://schemas.microsoft.com/office/excel/2006/main">
          <x14:cfRule type="dataBar" id="{7A3CED18-3241-497A-9392-9E431A2783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432240-D3B2-43C1-9545-647BD664DC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76BC82-5F9D-4205-B8C7-F6F436642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AP29 AR33</xm:sqref>
        </x14:conditionalFormatting>
        <x14:conditionalFormatting xmlns:xm="http://schemas.microsoft.com/office/excel/2006/main">
          <x14:cfRule type="dataBar" id="{9632A22A-BC37-45FC-AD37-9AEA76F996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42184A-4483-4980-8860-AB9618EFA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6153B2-46A2-423D-B789-C5F79C44C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4864B-9787-4E7C-A22C-B63FE11D74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CAC3AA-4CBC-4469-B344-D0DDB678DB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A65A6B-0BCF-496A-9B9E-2E2BF1BC9D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AP30</xm:sqref>
        </x14:conditionalFormatting>
        <x14:conditionalFormatting xmlns:xm="http://schemas.microsoft.com/office/excel/2006/main">
          <x14:cfRule type="dataBar" id="{F2AC049A-649E-4875-AB3F-CA3E8A9E4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406AD6-9E13-4512-91DD-BF217CA64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179D45-48D2-4C2C-A28E-4BF4EE32CB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A7A989-B1CF-4F67-BDC0-3689047BA2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EB77CE-3CA8-4B13-8108-9995C46012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89CEB8-F6AC-4F0E-8B93-D6D2842572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81DF55-7F15-4430-8627-036CB186BA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5CD577-1902-43F0-9F34-2CB1483557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AP31</xm:sqref>
        </x14:conditionalFormatting>
        <x14:conditionalFormatting xmlns:xm="http://schemas.microsoft.com/office/excel/2006/main">
          <x14:cfRule type="dataBar" id="{9E87C767-AF71-48B0-B598-6A1FE8C22B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89F7EF-EB7E-4ECD-A8C1-200D086F90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A0C71A-76F4-4C17-A031-AC16D3968F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E88EC3-D477-4649-A92D-BBEDC39322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103620-4442-4FA4-AC46-C139CA8AB0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489C55-2304-40D5-926A-596AAB9CE4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207323-A954-49CB-A0D5-64A6D6B58E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15862-9E58-4575-B1FF-B1CC18B30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AP32</xm:sqref>
        </x14:conditionalFormatting>
        <x14:conditionalFormatting xmlns:xm="http://schemas.microsoft.com/office/excel/2006/main">
          <x14:cfRule type="dataBar" id="{0EDCF787-A376-4D07-B733-16719A9822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16F3B4-1718-4F94-932D-7C76AB2FA8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E41748-EC9B-48D8-9E94-3BBC78F3E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D79554-1863-4574-87A4-C8607FE97A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3CDF05-CE73-4A10-A689-B0A94C3D89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EEC9CD-D3B1-4E54-AA93-A092C16CAE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26C149-132C-430F-A981-EE787943B1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6A47C6-460A-47DF-9361-0498E7F584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AP33:AP34</xm:sqref>
        </x14:conditionalFormatting>
        <x14:conditionalFormatting xmlns:xm="http://schemas.microsoft.com/office/excel/2006/main">
          <x14:cfRule type="dataBar" id="{9C772704-7613-4178-B85A-B6C16E87E6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AF7B20-208A-4067-9375-93D66CBC87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FFCE07-7E7E-4453-934B-394046651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F72011-D0DB-47CF-8994-968B9CB80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29FEC4-657A-42CA-9B20-746924D34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DC8F27-BD6C-450A-A66C-E13F6A8560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8E6C28-A37F-453D-835A-4173186A31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6A46B0-0999-4AB3-A558-10B32668B2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6C2432-7500-442A-BE58-F5C2329B5E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AP35</xm:sqref>
        </x14:conditionalFormatting>
        <x14:conditionalFormatting xmlns:xm="http://schemas.microsoft.com/office/excel/2006/main">
          <x14:cfRule type="dataBar" id="{771B7168-F334-4194-868C-7DB705A5F1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E8C7E1-C40A-40F7-A299-878B26E984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EF4042-D579-49B4-8775-EA7CF1118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7A0AF3-9DAA-42B4-8834-7BEBE320B9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D9BBB3-3767-4E11-BA51-E6DE472A8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42C215-58DF-46D6-9AA0-81269B2FE6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40BE98-40DF-4688-95C3-5AF262E4A3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ABBA3B-066A-4E02-A0E9-7EAE0E9990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C14152-91B4-4ACA-9527-D4CDD79380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BC27AC-6DA2-4B1A-9184-6F7B4DADC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4DEBBC-5300-45A5-BCEB-8DE2053EA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57B68B-F369-460C-8A85-AECF3D5B94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516AD3-FD07-4566-8F54-9EEBD13611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3B4389-A62D-49FA-B092-905E8344F2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E501A6-CCA7-4F73-A59A-BBBA3542AE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202A90-123C-4C7E-8FE8-84900C39FF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4729E1-45D3-45E8-861E-549C58CBFC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0E44A6-ED92-4523-B7C8-EB856F188A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2E69FA-1267-4883-B992-A6DD06B7CE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00CA1D-B56C-4915-B6EF-DCA0B000A7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338691-CD8C-4EA8-8497-9162411D11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3C899B-16CA-455C-9031-024CB4FF9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1EC8AE-3FB0-4111-80FC-7B1D0A11F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0264F0-AE72-4DD7-9D69-6871BAF7DC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04872C-6A50-4E72-8052-9406868B85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195806-C812-4C3C-BA2A-39389D6A7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19CEFA-357D-4DB1-8C17-CF196F3456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96A983-970F-4D75-B025-7B94702810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3A351C-249E-42D6-9371-B681E4607B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6ED821-6DA0-4FD7-9DE9-5993A4136C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AQ5</xm:sqref>
        </x14:conditionalFormatting>
        <x14:conditionalFormatting xmlns:xm="http://schemas.microsoft.com/office/excel/2006/main">
          <x14:cfRule type="dataBar" id="{A62D1018-A8BE-4478-B78C-14BF4BE703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86756B-A714-453C-8A25-E46D25F766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92ED9F-A1DB-4DF0-8BD0-6C2342A474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448BB5-9BBD-4015-8363-8B0EC8F3B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C2C3DE-D50B-4CD9-9440-09FE81A983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7BE1A3-B091-4324-8E65-68C03407E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8B6637-9C94-4445-98E0-4E6C11735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C1910D-BAE2-43B4-8327-7A4562C25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3308EB-65E9-4487-9151-D57DAC96D2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5F727C-42FB-424E-B417-E8027D2CF4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4AD91E-E300-47B7-A122-E3EC42D6B2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89F49F-348F-4F9E-A813-4A7C273D2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A9CD74-08CE-4123-8D34-DA9FC581F6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240325-DE74-42C7-B048-6EC4A4814A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67D681-4762-4701-B5C4-0D94FEBE37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DC5112-A73D-4F20-85CA-AF7AA3636C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62EBFF-3AD2-4C73-AC96-196330FC83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86C591-F522-4A32-A237-A34C638EAE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318EF2-A105-4F58-9D77-FBD8A1B65A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CF7DC3-D9A9-401A-A1C7-033E5B3112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7A7271-B950-45EE-A1E0-C315B56E41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DF9B6B-1B87-4921-9316-1673C6CADB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4C74BC-1AC9-4559-8C41-189E60E0FB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23F15A-1B1D-4BE0-8FB4-9ECE86EB61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AA8DA9-07C8-4BB5-853E-9C4DBBD7FE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E1B58D-9CE8-4A9F-BE78-83FB46502A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77A37D-F8B3-422A-84B6-CD214657BD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7F2726-910C-4D0B-8A2A-441AE5456B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25E03A-1FF7-4A0C-AB79-495D9E4A6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765797-1EEF-4236-9B53-484918CBA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AQ6:AQ7</xm:sqref>
        </x14:conditionalFormatting>
        <x14:conditionalFormatting xmlns:xm="http://schemas.microsoft.com/office/excel/2006/main">
          <x14:cfRule type="dataBar" id="{0845383C-572C-4DB4-97F7-40077DCC73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1C0CB2-0CF5-4856-A244-F616B91645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18FCFF-A659-4510-8F46-4F00936404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9EE64C-CF4C-41D1-B086-AB2B765536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F42570-95AD-4057-83A4-3564885EA4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D22223-F961-4498-A502-0758B81504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4FE620-0B86-4624-9515-4712ADC8A7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02F592-E562-41DC-B215-0E84AB1551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7EAC89-1215-4F23-A6E2-DAC70DB359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D62CBD-4060-4B83-9B65-03A5DF5BC7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AF22B4-F644-4BF1-95D5-FFE5140AA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08B2F0-65B7-47D0-B40F-577C3BAF8D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56D400-9BFC-428E-BFB7-34540E8221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AQ8</xm:sqref>
        </x14:conditionalFormatting>
        <x14:conditionalFormatting xmlns:xm="http://schemas.microsoft.com/office/excel/2006/main">
          <x14:cfRule type="dataBar" id="{6EDBF96D-2637-47B9-BD03-490DD4B701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C74170-C356-4C4E-9E46-024B5BFC02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C11E7B-02D0-4C27-852A-7E40478FBD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FF539-6A7F-4199-AC43-E19C59A676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A3A317-9C1C-4440-9A11-A11CCBAECA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F8EAF0-802B-4B35-9CC8-B7802B22DA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CA00F7-31BA-43E6-AD8F-A59437B56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36FAEA-522F-4889-B53B-9ACBA5C1B5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8E6394-EA1C-41CA-9B8F-F94547E7EB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1E0A85-715C-4B01-A429-8D85131123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8F601B-0F0E-4CB5-9073-FACE1131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FE6A0B-D9CB-4840-B403-791DFB2F8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8758DE-FF98-42D4-8817-7CFBCA8CF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5BFBE4-4E2A-4BCA-A7CD-AC8769C002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FE89B1-49F1-4ED7-8872-EB6E861EBC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E31583-46BB-46C3-94E7-00868E4D30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DAF5C4-06A7-426E-B6E1-9E1F16C2A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60B87A-A317-4559-A2EF-1082E5E562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67E117-EBB1-42F1-94B0-8A1A7327DD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283BF1-15A7-4174-890C-3266D4BC9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467F56-2BF8-42B5-9E65-A7F4511751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62E7C6-A67B-4749-A70A-EE4ADD8B6B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7A0C41-AB3F-4069-A3D4-19102A69D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75FC91-C6B4-4A3A-B319-3D9E22D78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930A17-80B1-4587-AF9C-409C9987C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28EDC6-9041-4590-BAF8-8ABC78A255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E840D2-5ACF-4CCF-A767-F48DF4FD00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2B9925-D79A-4D56-B8A5-EC68D0811E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B0A99D-00C4-4C8C-95AB-069D17D7C2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30784E-99F4-4CDC-9DF9-43EBE3ED5D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AQ9:AQ10</xm:sqref>
        </x14:conditionalFormatting>
        <x14:conditionalFormatting xmlns:xm="http://schemas.microsoft.com/office/excel/2006/main">
          <x14:cfRule type="dataBar" id="{08661F76-59DB-4374-9AEE-36DC52DDF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CD7DC4-AF30-49C9-A45A-C199F50A21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A5CDAB-0B0C-45B6-B6DB-914300FC5E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5EE216-2A35-4A78-AF91-D5B559B19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E2CD0C-F930-410E-BC6C-BCB82D425C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FE78EC-A11F-4764-82FB-243277B16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55CCCD-99F2-4095-ADE2-5C8671823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64D3E7-4D3F-4A36-BAF3-4C28DBFF7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878101-AACD-4175-96A4-BC85FEDEEA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0C8C75-E38B-4A0D-A35D-FC175DC54A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AB63DD-1DC5-4711-A3C7-265AC20209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8C9ED5-A35C-4B2B-8602-EA5B6A12D1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D14F1E-5220-4725-839F-6DC3717DC3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1F9CC2-B9CF-4FAE-ABF7-9A8CAE8222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20ADDA-143E-4332-810E-509583DF8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CB0B10-E902-499C-AA83-DEE577D7FE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A45E5A-34BB-4601-8550-DB37D6F4B7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60D894-B270-4241-80D8-846F24B8D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F4FA20-6B2D-47F2-94B7-916407055E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0295A9-CF1A-4A6A-BF7D-CF0D729A69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E1AADC-3651-4732-9094-90C1D19032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61274E-DA99-48BB-9618-EB33DE880E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1E73CB-4770-424B-92E3-6460F7F232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9459AD-B5A2-4226-8C41-5D98C02504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C0EB4E-41CC-4E2B-BD02-AF4DE7535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1DE6C7-869F-4D3E-8095-402FC4575E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6EA078-71C3-422C-ABE5-6F91DF182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EEF669-D209-4D6D-AA92-33E7411179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61283B-FD16-45AE-B1B1-355DCF5E71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C96E8C-FA11-4012-9CA8-5F3D2D9D47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AQ11</xm:sqref>
        </x14:conditionalFormatting>
        <x14:conditionalFormatting xmlns:xm="http://schemas.microsoft.com/office/excel/2006/main">
          <x14:cfRule type="dataBar" id="{51112EB9-58AA-4AB2-9FAD-95BAE4D408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2AF69F-DC80-4D5A-9E31-87AB246C9E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C3E18F-5602-498E-B023-A3B9B0BD80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421010-A1DB-4C05-BDAC-CFFD51E420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CC7A19-1A1A-4278-9F3F-F4504671B3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D56B8D-167A-448F-A442-7F3EA2B1DB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766988-48A0-4537-9993-6F5C9B5E17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F1A90E-B9B4-4A41-A591-42C6B5305D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36308-D6C3-4826-9D66-457A6EDD8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535100-78CB-4B36-BBB0-28D09423C4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B1C847-5B1C-40C7-AF49-42DBFAD77B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E8F115-DB73-4F10-849B-FD9F25DEFF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33D1A1-158C-42AD-A736-6FFD9D279F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AQ12:AQ13</xm:sqref>
        </x14:conditionalFormatting>
        <x14:conditionalFormatting xmlns:xm="http://schemas.microsoft.com/office/excel/2006/main">
          <x14:cfRule type="dataBar" id="{36C51E94-8F33-46D8-ACC5-06FEC2AAC2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A2C9DB-25BC-4C50-B8E5-3C699A6A5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93A306-04BC-4105-A1D5-C41CBD9D41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D7B4CB-DE03-48A1-BFE7-0028645422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A15D29-1EE4-4301-A763-ADFB12E9B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183EB4-AE33-408F-A03B-D1173C59E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9EFCF4-4EE5-4091-86B2-EEB95F7009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CD3D4A-86C0-447E-BEC6-18E0758C00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7DCA1A-851F-4A86-A502-8F7E4B5BD1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53A37E-BC72-4923-BE14-0E76B31451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481E24-2D66-47CF-B3EF-059360BBD9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7C13-9A53-4F6A-B1FD-5F606C4784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84AF9F-43BD-44DE-9A9B-F2D7FCE750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F5FF15-8D24-4F82-9371-CF6C4D5722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84BAC7-9762-48A2-99E2-C1A11C8519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69C91F-5878-464E-90C9-FFC72DFF15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554031-9D33-4DD5-871C-A9E3A11B13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8E5F8D-1A3F-4729-B214-1E431C3D71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C5BDDF-6CFB-4851-AF9E-2A463E0EE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9FA993-CCCC-44F7-BCB2-2234151EAA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7F4E45-3CF2-4717-94B5-2C424BE738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1C6CF2-4182-4B78-8857-16E9666C6C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41F604-55B8-4885-AFBE-9651BE8282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19EE5C-2D6B-4CBB-9F04-D5A87D0D3E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A5B0E6-D32F-4D97-A2A9-E1DAB4A15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FEFEFA-0943-4144-AE34-48F7669F0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2D690C-75FD-4DE9-B4DF-B31AECF6A4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42CC2D-50EB-4A72-A59B-B277523245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D2794A-D6B5-4339-8713-A4F0B872F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384FE2-F548-498E-ADF3-E0EBEE9E8F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AQ14:AQ19</xm:sqref>
        </x14:conditionalFormatting>
        <x14:conditionalFormatting xmlns:xm="http://schemas.microsoft.com/office/excel/2006/main">
          <x14:cfRule type="dataBar" id="{906284A3-E3D7-400C-B241-5D55BBFF4A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5C8783-4979-4FC1-B222-82F58CF84D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3872DC-2095-4ABC-81A5-4D20C53F25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8E389C-32DE-4C02-BA08-BA98BBC416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EC55B5-8DDC-413E-97CF-493D873A1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FF7BFF-C1EE-4A97-A41A-80C33E7322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3EDC13-E7F6-47B6-BE18-C6DFF3B73C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981CA0-7891-4CFE-9BA1-08D7AF86BB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D60C36-9741-487C-9DEB-EE0899699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A90518-D993-4565-94AB-9C88F06680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BF093A-BAFF-4EF0-802B-1C60199C56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63F080-78FA-45A5-BE24-73B3680B0A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2C192E-BFDA-4650-BEED-13430F95E9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AQ20</xm:sqref>
        </x14:conditionalFormatting>
        <x14:conditionalFormatting xmlns:xm="http://schemas.microsoft.com/office/excel/2006/main">
          <x14:cfRule type="dataBar" id="{916EE880-7CC4-4C80-A799-2BA16D159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71D58C-C237-456B-9AE7-0DF09F7CED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E1C489-C699-4B70-A0F3-5E0AD036C1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FBA7E0-938B-4E0B-AD1D-38BB47F785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83E1B2-6E54-4668-8166-E2C2539D93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3B2CFB-0B62-42B7-B5BE-0CD79AE55F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E29040-6FFC-49CB-8863-347BA5490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36EEA1-8EB5-4BD4-A0AB-C85D659CD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943710-CBC2-4473-AD48-3A35168040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7EE13E-02E1-4603-8582-7B09EBE0A2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C5DC36-F55E-48A5-A195-C09ADAF0E5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59CEDD-268D-428D-A1ED-FEF8D90D9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4FC2D8-E549-4B7F-A511-239BE8482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5AE71E-DBC0-4F27-8F43-4C1EC1C131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D5CB7D-C3D1-4F81-A9C7-6E4E45F670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81EA75-534E-4031-B672-D05F4400E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5D31AA-EDDB-4BCB-982D-18BD58F91F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AQ21:AQ24</xm:sqref>
        </x14:conditionalFormatting>
        <x14:conditionalFormatting xmlns:xm="http://schemas.microsoft.com/office/excel/2006/main">
          <x14:cfRule type="dataBar" id="{D066A279-3C7E-4E53-830E-E7228B6EFF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F28ADB-E7CD-494C-8D04-C724A6A83A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0FB51A-5977-4AD2-8658-5D35ED823C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90A57A-7E1B-4FF8-A880-BCB117FC2D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FC42D6-3903-4403-B34C-B3517B0A40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FEC053-3B25-4277-BF51-61312F89BF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BD8991-F884-41A1-93C4-1D541EC7FA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F84EA5-E464-4BE4-9647-FA71FF499A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09D224-233E-4CD6-B797-7F933752A9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683EC2-5F9C-498A-B78E-0AC757ADF6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75105C-DA16-4550-9114-565E500F7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9D6EDF-9ADE-44F1-AB8F-55678CB21E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27F78D-E9F5-4454-B8B6-64BBBEA2F9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AQ25</xm:sqref>
        </x14:conditionalFormatting>
        <x14:conditionalFormatting xmlns:xm="http://schemas.microsoft.com/office/excel/2006/main">
          <x14:cfRule type="dataBar" id="{91336053-C02B-409F-9925-24A6A2AE0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D53954-6311-4D9D-8C53-51663D7092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7F6F12-EE37-4B2D-BD44-9109BA6115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FC3132-9408-41D0-BBCB-CD94CF8984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17785E-000D-4887-8397-EA28F90C4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385491-22B6-47D2-B9F8-376BA48AA5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AFACC5-B6C7-4097-A017-67DCE0414B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B1609C-07D5-4F0E-901F-3299F9C123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055D95-1EC4-41D5-A8AD-0059E226E3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32E4DC-617E-4D4B-9CE0-FF7534FF9D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5298B2-E81E-431A-98F9-0EBDF60978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83EF21-D470-48B5-873A-456FC9592A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FCB527-77E7-4D0C-ADF2-9944F0CF7B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2F298C-2E52-4A4A-A07B-ACDDD97F90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1D34AF-A8F6-4C64-9A5E-9A479FCC1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B931D7-4802-49E8-8B95-5386CF292A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9993C3-CA5D-4966-BF7D-8AD16D1009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D398B2-2131-4F04-94B9-A8F4C3A945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69E43C-3A09-449D-A0A5-7EFD28DCA3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FD0564-F1F1-4C73-B890-82E651F50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6A319A-F9FC-4FFE-B4B3-5C9410F6C2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12915E-19D8-4096-B900-74449A40D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4286A2-A2F8-41A4-B96F-8D78E8B43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294166-398A-4AFC-B9FF-F2F9D0EFF9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31A6EF-8D1F-41B9-986B-321C61E4B2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93A51C-F586-43D6-BEA7-C94BB3553D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04AD5B-DE95-438E-954E-AB7CF9C943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FD12F2-6BCD-48D9-87C7-077F39D4C4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58FBAA-D339-4666-ABF0-3268B242B8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425A15-D7A3-4F56-A083-FD413C061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AQ26:AQ32</xm:sqref>
        </x14:conditionalFormatting>
        <x14:conditionalFormatting xmlns:xm="http://schemas.microsoft.com/office/excel/2006/main">
          <x14:cfRule type="dataBar" id="{748F6716-9EAA-4B09-BB82-F360216319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85D976-6B23-4A2E-8A15-C81EE4FCCF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486E7A-F82C-427A-91A8-CD5C7E3842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2044EA-46F7-480B-8643-A71A63C29F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A454E8-FDCA-48A4-A57B-02339EA89F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CB695E-F8AD-4920-99C1-11357879C7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F39FB0-1FFB-4CFD-ABA6-D2ABA8CC86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04B7A0-BB2D-4266-B022-01F5F95FF9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9BCAFB-2352-4936-A63C-156D990888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D1B49F-39AC-43EC-B05A-CEBD15D5E9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81DEE0-4E1F-4DD4-A579-7C0CFC5594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A0D723-112F-4C3B-A378-0CCE96C44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F153A3-BFE1-4A7D-A629-D8EA5F8C9B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AQ33</xm:sqref>
        </x14:conditionalFormatting>
        <x14:conditionalFormatting xmlns:xm="http://schemas.microsoft.com/office/excel/2006/main">
          <x14:cfRule type="dataBar" id="{F802A89A-2CB5-4149-B251-0334CA1504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9ECF4D-FF3A-4044-AE2A-0EED8801CA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4DF29F-9DD0-48E3-B18F-4766E46D31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0A3271-F416-4B3B-B583-6DD471D4B7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2B812B-FA70-4C66-9E1B-5693E74EE2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2ECE3D-1E2D-4D3F-8241-EB28C52234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A6E58F-6498-4369-9A05-E2CB017945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EB6CF2-7403-4BA2-8F3C-457F40CA1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0AA483-8703-41AD-BCA1-F9F26FDC9E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1EC53E-749E-4D1C-B397-FA464286D2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4E06C2-2746-4446-AE80-4962381120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AE13D5-0455-47C3-A717-6948A55D70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C8288B-D215-4734-B190-E0312B68C9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8FA89F-A6C2-4E5F-ADDB-B3A72E3F6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D58A49-C2CA-4E1F-B249-5346919BCE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18974C-5FA5-4846-ADBE-D4748EDE2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93FA0E-A6E0-4C93-B65D-C360D7745F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119592-2067-4BD9-8A88-F16C2A20D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D59604-EB79-4BDE-9D9F-220EB33888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6C9885-BF41-4CBF-98CD-14886B07E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878BD5-0895-4984-A3D1-58E290992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8610A6-B7EF-4DFB-BB95-78B243670F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1B50B7-A1A1-4AA3-872C-C98506F1D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8B173C-00ED-47B0-9B28-37DA0EA1E3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928E45-E0AF-4EBC-80E0-A363015CD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10C64D-E556-4F83-90E7-4C63F6FF7A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F829FD-BC18-4B37-BEDD-9C6F48EB9B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199D16-B3ED-4A61-BCCA-511DA3609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511F1F-01C5-44FF-8C33-FA6C91068C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3E9CF6-D85A-41FB-99A8-EB53DA81C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AQ34</xm:sqref>
        </x14:conditionalFormatting>
        <x14:conditionalFormatting xmlns:xm="http://schemas.microsoft.com/office/excel/2006/main">
          <x14:cfRule type="dataBar" id="{9DC4046E-C38F-466C-AA97-DC527B5BBA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0AAE81-F61E-47B0-9A45-2F91C223D5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17F8B6-BB01-4ECB-A164-8E50416953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5A633A-23DC-45F2-8E08-F255F8660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B5FE88-1581-4AD2-8F61-229922BC8A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0288C4-5223-4625-BD48-818A546944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AAFBA-8DE4-44D4-805E-0013F34BA3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84F435-253E-440A-A9E6-C5352D905F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368BCC-5E61-4A1F-B4AD-C329069B46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EE1798-FB6A-44D0-9C3E-9051739D64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8A2A5C-AABF-4F4A-A9DA-49269D6D22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D37E47-BC0E-4E00-AB50-808CB7FBD4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9F09BC-1592-4CCA-9D33-7991F51AE1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AQ35</xm:sqref>
        </x14:conditionalFormatting>
        <x14:conditionalFormatting xmlns:xm="http://schemas.microsoft.com/office/excel/2006/main">
          <x14:cfRule type="dataBar" id="{D1268C09-87DA-4F18-B565-0E5412AFF2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AT10</xm:sqref>
        </x14:conditionalFormatting>
        <x14:conditionalFormatting xmlns:xm="http://schemas.microsoft.com/office/excel/2006/main">
          <x14:cfRule type="dataBar" id="{89B91031-FF30-4814-92DA-63FD3388DB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AT11</xm:sqref>
        </x14:conditionalFormatting>
        <x14:conditionalFormatting xmlns:xm="http://schemas.microsoft.com/office/excel/2006/main">
          <x14:cfRule type="dataBar" id="{77D368C2-CFD3-4F8D-B29F-9369DAAFFD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AT12</xm:sqref>
        </x14:conditionalFormatting>
        <x14:conditionalFormatting xmlns:xm="http://schemas.microsoft.com/office/excel/2006/main">
          <x14:cfRule type="dataBar" id="{E0007410-F470-476E-902E-3815707E86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AT14</xm:sqref>
        </x14:conditionalFormatting>
        <x14:conditionalFormatting xmlns:xm="http://schemas.microsoft.com/office/excel/2006/main">
          <x14:cfRule type="dataBar" id="{1C6063BE-A758-4B00-B74F-942383E9B6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AT15</xm:sqref>
        </x14:conditionalFormatting>
        <x14:conditionalFormatting xmlns:xm="http://schemas.microsoft.com/office/excel/2006/main">
          <x14:cfRule type="dataBar" id="{6D6C3DD3-0399-49EF-9EC5-7E4BB80F19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AT18</xm:sqref>
        </x14:conditionalFormatting>
        <x14:conditionalFormatting xmlns:xm="http://schemas.microsoft.com/office/excel/2006/main">
          <x14:cfRule type="dataBar" id="{605A6033-6EF8-4411-998C-C841B0D91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AT19</xm:sqref>
        </x14:conditionalFormatting>
        <x14:conditionalFormatting xmlns:xm="http://schemas.microsoft.com/office/excel/2006/main">
          <x14:cfRule type="dataBar" id="{0ACA7EA3-6F8F-447B-9BDB-C46F181DD2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AT20</xm:sqref>
        </x14:conditionalFormatting>
        <x14:conditionalFormatting xmlns:xm="http://schemas.microsoft.com/office/excel/2006/main">
          <x14:cfRule type="dataBar" id="{14AA86D7-3444-4C77-9EBB-746CAF97C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AT24</xm:sqref>
        </x14:conditionalFormatting>
        <x14:conditionalFormatting xmlns:xm="http://schemas.microsoft.com/office/excel/2006/main">
          <x14:cfRule type="dataBar" id="{B9E47401-C967-4D9C-A03D-6D1813797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AT25:AT26</xm:sqref>
        </x14:conditionalFormatting>
        <x14:conditionalFormatting xmlns:xm="http://schemas.microsoft.com/office/excel/2006/main">
          <x14:cfRule type="dataBar" id="{FD8840F3-81AC-43B9-8EE6-4B8C1A97B1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3FDD12-65B8-4724-B3D0-74BE6100D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B6370C-7B6D-466D-8DB6-B8F9077ED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A62FA5-0D97-40BF-A7F5-181BF8252F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</xm:sqref>
        </x14:conditionalFormatting>
        <x14:conditionalFormatting xmlns:xm="http://schemas.microsoft.com/office/excel/2006/main">
          <x14:cfRule type="dataBar" id="{4E5E4876-EAEF-4A47-98A6-0F4F4B6CA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A6CD20-B146-405F-9653-2CD3BBEFB9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AU5:AU22</xm:sqref>
        </x14:conditionalFormatting>
        <x14:conditionalFormatting xmlns:xm="http://schemas.microsoft.com/office/excel/2006/main">
          <x14:cfRule type="dataBar" id="{71F4D632-A002-417E-A8BB-24C1426D02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AU5:AU26</xm:sqref>
        </x14:conditionalFormatting>
        <x14:conditionalFormatting xmlns:xm="http://schemas.microsoft.com/office/excel/2006/main">
          <x14:cfRule type="dataBar" id="{5C4ED2B2-BF7E-4015-B263-DD9DDE77B9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B63152-39C8-4562-9228-1CB5C477E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52DFC0-0C56-4828-AF53-CA045250DB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AU5:AU28</xm:sqref>
        </x14:conditionalFormatting>
        <x14:conditionalFormatting xmlns:xm="http://schemas.microsoft.com/office/excel/2006/main">
          <x14:cfRule type="dataBar" id="{2F4D8180-0C2F-4301-AC70-64DB94739E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B59A55-C8C6-4CC1-8B9F-3326742C1A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25A12E-97AE-4538-972E-55386A66F3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738541-0553-4B63-97B5-370FF52E4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D6CD89-4EF5-4921-99C9-D9EEEB0DE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A2ADE4-425D-4E1E-AA82-9540196FAE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82AD6A-720C-4811-AA00-92F448FFE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08B5EF-5004-4A9B-B750-FF6869CC7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275C6A-AD24-44A6-A36E-1694EFC76E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AU14</xm:sqref>
        </x14:conditionalFormatting>
        <x14:conditionalFormatting xmlns:xm="http://schemas.microsoft.com/office/excel/2006/main">
          <x14:cfRule type="dataBar" id="{7DA6B3B3-09AB-4D4B-83FF-485D561A5C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206CF2-3D16-4B53-8E12-ECA8BAE60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EB74BF-F3D4-482D-BDFD-51D73AAF02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DABD0F-2716-4C19-9953-1B5EE6DE3F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D5BDB4-87BE-41FA-BD27-FA7F7783E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AU15:AU16 AU5:AU13 AU18:AU22</xm:sqref>
        </x14:conditionalFormatting>
        <x14:conditionalFormatting xmlns:xm="http://schemas.microsoft.com/office/excel/2006/main">
          <x14:cfRule type="dataBar" id="{5872D7D2-1DA1-477B-A128-C5387A3B7A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4D5851-9B40-4D60-8758-1155B99DEE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5E3521-E689-4F31-BDB6-508C9D5561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DBED1D-0FD5-40D3-B0FA-47A15B7FCE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AU15:AU16 AU6:AU13 AU18:AU22</xm:sqref>
        </x14:conditionalFormatting>
        <x14:conditionalFormatting xmlns:xm="http://schemas.microsoft.com/office/excel/2006/main">
          <x14:cfRule type="dataBar" id="{9B8C19F6-0F67-4C81-ACF6-1CEB6747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D2294B-3D0E-45F2-8092-89DD32DBCE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ADB5E7-1D68-4C05-BC77-1396B68CC4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33A384-4BE2-48F3-90FE-338BF29696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323EF4-D463-4B58-839A-0D2D1100DF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3E2F96-6AF8-4094-9029-3788689A15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56CE99-030B-4197-A713-4E3F1016F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7DCF5B-5DD9-4AEF-86AC-9633D47C6C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554EDD-98CF-4D14-9AD7-D61E0B2CF8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653738-8120-4DB0-B800-0C5D3F51D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AU17</xm:sqref>
        </x14:conditionalFormatting>
        <x14:conditionalFormatting xmlns:xm="http://schemas.microsoft.com/office/excel/2006/main">
          <x14:cfRule type="dataBar" id="{14152AD7-57F5-4330-874F-966B1C8100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AU18:AU22 AU5:AU16</xm:sqref>
        </x14:conditionalFormatting>
        <x14:conditionalFormatting xmlns:xm="http://schemas.microsoft.com/office/excel/2006/main">
          <x14:cfRule type="dataBar" id="{34952268-F733-49F8-B51B-E5F28340D2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7A5EC1-172E-40FD-BCE6-729241564B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F821B0-D5BB-482D-98A0-FC50EA4686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FF45BA-B281-434C-B797-C6DFF89024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E61529-4E81-48EC-ADA5-EC2D44CBEB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906A7-ED2D-4FA4-AD9B-3E596F24BB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57C84D-DA10-4FBC-B925-2E88B0368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F0EE23-1C3F-4EE2-A0D6-F7F9065459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359124-5ED2-421E-A6DF-5F82D2B8D3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D115E5-883D-41E0-B1C0-06BB99A9C1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9A3412-276F-4701-BD5B-163AF7D89B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E3422E-8AE0-4724-B911-A47BB4D85A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AU23</xm:sqref>
        </x14:conditionalFormatting>
        <x14:conditionalFormatting xmlns:xm="http://schemas.microsoft.com/office/excel/2006/main">
          <x14:cfRule type="dataBar" id="{5CD0C071-B899-4657-9172-AB97B4FEF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DF02C3-E0B4-4953-9255-3016D8FF2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A2766D-7CA0-4234-BAFC-40270539E0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F67246-39F1-4707-AD0B-635F0E4619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C2311A-A84E-44CA-B987-FC5D90887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F7AB4E-E11D-43CE-B14E-076F9E5CB6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FA5FE3-8DEC-4783-A7AD-EFF7A6CC87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838000-1031-4178-A981-CBFDD02D0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4A5A31-B515-45B4-8D6C-E331311291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1ECCB8-7B90-45E9-9A6A-D9A5B6C864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72E7AD-91E5-463B-9CE6-1CE92EEA3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2C8401-EDBB-40B8-83F6-D37F2511E8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AU24</xm:sqref>
        </x14:conditionalFormatting>
        <x14:conditionalFormatting xmlns:xm="http://schemas.microsoft.com/office/excel/2006/main">
          <x14:cfRule type="dataBar" id="{39F53213-F227-4799-9BF4-A0F0C3C57E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EFBFF-99DD-4B5F-8F63-BB67593A70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9E71E7-D048-4A7C-AA09-AD541DD6EB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60D293-9F59-46DA-8273-90074474B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88D370-F13A-4F37-9DBE-FA2946E708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602860-183E-489D-B769-8C321D763C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5000F9-C906-4F3F-9861-D0C179DE62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69A7F8-921D-45E8-B5A8-96D859A30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3A272F-1EC8-40B4-A51F-56A88D6000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8A594E-1577-48C9-B449-A1105A3023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B49303-C15C-44D0-814F-D861A5A6D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82951A-2673-4F4C-912E-AC9E5A97C4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AU25:AU26</xm:sqref>
        </x14:conditionalFormatting>
        <x14:conditionalFormatting xmlns:xm="http://schemas.microsoft.com/office/excel/2006/main">
          <x14:cfRule type="dataBar" id="{36AEEB8D-C4EA-452E-882C-16FB4F41CE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D6252-A28F-46B6-81C2-34B74F7DA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158971-2A4C-4F9F-9E73-9C52F0606E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EC489D-6EED-4B98-ADAB-5C4EB48B57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FAECAE-D449-4533-9D92-57796867D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7045DB-FBF9-4E64-B606-48F61929EF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2E943D-28EC-4A52-9D3E-CA4E2C3BC6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83551A-3E12-46FB-92BA-FBB9316B54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03157E-C64A-46A1-B3FF-7E265D471D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19E40B-5B37-492A-975F-047AEB3787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D0D3D9-B615-48E7-8A17-2F0481DF66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BDE43A-D8F2-4846-B8CF-9277D97C27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24FF18-7A33-429C-A49F-905EAE0FC5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AU27:AU28</xm:sqref>
        </x14:conditionalFormatting>
        <x14:conditionalFormatting xmlns:xm="http://schemas.microsoft.com/office/excel/2006/main">
          <x14:cfRule type="dataBar" id="{49DF95A3-A932-447A-A8BE-478D4C072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DA5C5E-0335-4697-84A1-6D2C981E74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635F7B-68FB-4546-90BB-EF4DA6D38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914007-FF00-4698-99C1-83D8BA55C5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88EA88-C5BE-442E-9A60-98381E2FB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403E99-5462-455D-9C29-659058A09D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3BB422-4FC8-4EF7-B20D-27E199A1E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814C5A-3F8F-495C-83F5-EEC50CACD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BC7959-D987-4F65-983D-7BBF4A56A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5AF579-36BC-4B48-A6F6-E1BFC0332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6CDF81-9A8E-4F05-B0F9-FA3428AEDD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88F6D2-5CBC-4892-A41A-2F2F0F79FB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D100A4-CA76-44F0-8661-331DE9A7A2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AV5</xm:sqref>
        </x14:conditionalFormatting>
        <x14:conditionalFormatting xmlns:xm="http://schemas.microsoft.com/office/excel/2006/main">
          <x14:cfRule type="dataBar" id="{29CEEFA0-FDC5-43D0-9154-E05007B3A0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D6DEE0-7FAB-4B75-81A2-FAB4B71D2B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6444B3-2F96-4052-ABBE-BB7DFD186D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FD37A2-5AF4-479F-825F-7151C26336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1D5D93-6C28-4D21-88E2-952DF7D4D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596F5B-6E7B-416E-84A5-F02385E3F7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96CBC7-3AC2-4431-9C24-31B662817D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F60339-8752-41F6-BA50-0BC227FA5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9494A-A18E-43D7-93E4-C380AC23F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6E9523-0899-4EAB-9AA9-4C129A991F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B7B052-FF56-49E0-AD78-8326C6E63E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86B352-AC19-42B9-A6A9-65FAB1462A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8D5230-2100-4076-90DA-081CAC2CEF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FBA996-CFF1-45D4-A8F6-BCDBA83E5E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9D058A-3C2C-4BF4-8A75-A5D2BECDC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59E1BC-3A09-4963-AB62-BE293CEB67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14CEEA-69AE-4CBC-AC56-98CDDDA38D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E96DEA-8FCC-49E4-A9FF-36DC8C3FF2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B0653C-9023-4E65-A6E5-0E14B2D0E5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6017F4-A3DC-47AD-B70A-8F973E06C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E1B52B-C355-4527-8063-ECF8DC99E7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05FC2D-0D15-443A-B838-336B2E427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EC7926-B23A-48AA-9177-4917CCEB9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4F5F20-71E3-4975-A17F-F18323EC1E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0880FD-1C1E-40E7-977B-456EE61F2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78EF47-23B1-4E66-BA3C-4A61339B37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44B884-61DA-4609-84DA-E4C6F083A9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E0C518-B696-4EBF-8CC9-2A7A60CCD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E2FE62-FE4D-4C8B-8CA5-A5432B49FB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033CAC-7FE4-43D5-BDC7-AD330F24D9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AV6:AV12</xm:sqref>
        </x14:conditionalFormatting>
        <x14:conditionalFormatting xmlns:xm="http://schemas.microsoft.com/office/excel/2006/main">
          <x14:cfRule type="dataBar" id="{257E9663-36C9-4D9F-8914-CB96384B2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9020B8-0C33-4EF3-80C2-695489CFC1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62424C-3A17-4C34-869A-27F9464801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F7C8A3-95AC-4E4B-840B-508C3723D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0260AD-DD46-49F7-9999-090461736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1E9DE0-E1E6-46B3-BB97-E007827D58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709E32-4511-47B3-8628-0439D91C49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B91F4D-FB39-445B-9556-CCB083C63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EF2DAD-AB68-4126-86D4-C0D4349B9E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61E4D7-A03B-47CD-B64A-C63C0A741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A0B900-A113-4B60-96D3-769103F467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4C7EB4-092A-4AA1-A73D-3944D19F5E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DB6486-0CB7-4BB1-B317-776B1EB512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AV13</xm:sqref>
        </x14:conditionalFormatting>
        <x14:conditionalFormatting xmlns:xm="http://schemas.microsoft.com/office/excel/2006/main">
          <x14:cfRule type="dataBar" id="{46AFC93E-5374-47CB-A426-CFF11FF58B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DF71E7-65ED-4FE3-958D-7E9B2B46B7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4440B9-C85D-4663-A641-B8EA9DEF57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A1795F-51AA-4225-9CE8-BB325D222E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D3A40E-A0CE-4557-A0FD-F649D23E89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FB2930-2B57-45EC-9134-825941019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4A3D07-22B2-42BF-8A76-7975EAA1DA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6CF35F-A0D9-4914-874E-86D76DE80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9FDF4E-20FB-409B-9F75-EF50C3E818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A40794-8D68-475D-9A1C-96877B27D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058C9F-3177-4234-B6AF-403AD3060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333B37-7FDB-4E83-B984-291A3E517B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BF20D8-59BB-4769-9AA8-BE03C829B3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E684A0-9236-421F-B93A-EF38C33B7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FE9B61-EB50-419D-AD1E-FFCCF78130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D5365C-83BE-4115-A2BD-22EE640BC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CD15A1-F433-4465-AC46-33222AD3CF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932C91-2259-436C-B8F1-46CDEAAF84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97DDB5-67A0-47D5-9B82-3C0A22F871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5027D4-F9BE-4674-84EC-35573D83E1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D7F12B-6EDC-49F1-A271-F5EEAC183F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BB6D2D-70A9-4889-A11D-CBD544924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DC1193-8E3E-43F0-9FA3-28BE0ED68F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567028-D220-4530-BF78-76B54EEF2C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0572CF-B49A-4988-B306-07951434E0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582929-6A29-4B26-9372-5BA13812DA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F49AA4-67DE-495F-A1B7-8D4BA7ED9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E4DBA1-EDD3-40E7-9432-E1ABFAD2FA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535A31-4B26-4607-9EC5-802F7C31BE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A08AC0-D7E6-490F-88A1-4F9D574391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AV14:AV15</xm:sqref>
        </x14:conditionalFormatting>
        <x14:conditionalFormatting xmlns:xm="http://schemas.microsoft.com/office/excel/2006/main">
          <x14:cfRule type="dataBar" id="{6E1CD23F-EE16-4FD8-8FC6-A694CFF871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716AAF-83E6-4DB2-8D74-1C5AC1AF78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BB8476-54FD-42EF-A574-F742EF326B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D5E53F-4647-4D3D-8EDC-DEE7E280EC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2F7FAE-DA71-4127-80D9-4EBC30CE02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0A8FC7-5901-4C29-B792-019AA3C0E3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2A6F10-09A1-4B0B-883A-D09BC07B11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7E07B7-0C10-469A-8E71-8CF8AD824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7ADACB-6581-461E-A658-534B80B1B7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4B9756-236E-44B6-9EBC-27443CF83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8DD46D-CCC2-41A3-BA2D-1DC53F6FC2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E0988A-1C0C-4508-A760-0168367B2F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8D4901-8286-40C6-B87B-B45E77DE8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AV16</xm:sqref>
        </x14:conditionalFormatting>
        <x14:conditionalFormatting xmlns:xm="http://schemas.microsoft.com/office/excel/2006/main">
          <x14:cfRule type="dataBar" id="{B0E7E856-8237-4399-A48A-ABC4D0C77F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FB661F-C3C7-47C8-94FD-D2E52B306D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06AE28-1771-4E23-91F1-F8DFFE56EC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9E5B98-471E-4B0F-B396-BC93938B0A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7FB04B-DBA7-420C-8F63-2BC339DDA5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F59C69-C006-4056-AB45-BB070180B3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B4E9FE-7598-439F-A875-214FF1522C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CA0D13-1A1C-46AC-93B2-6F483CAEDB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3F8AB4-5658-41AF-A123-98D4A4BB0D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972A3D-D624-49CF-A3AC-A6F3875E7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152C47-4B81-48CC-98E8-B8473D5440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EFCC6A-180B-4C21-BAF6-ADF966F6DE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01D62E-F1A8-44C5-A4FA-E9A41934D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059C17-529D-44CD-8CF1-8AD5902C2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3C4672-59B1-47D3-B355-B64744DC6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345DA4-147F-401A-BCED-F3B455C4F8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943F00-A161-48CD-A0D3-C4CD14F318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6EB29-EB1F-4065-9DE3-EB53F682F4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C58B99-7304-46EE-95E4-4345D0DCFC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AAAABA-5903-4384-AF99-4FDE7F56D4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FB2908-7E1F-4ACF-AE31-41C719B10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694565-E6FA-4A9B-98C7-32B41AC948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3272B8-3B4E-4870-902E-01D87D6C8C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CA21D8-2406-4CFD-A77E-E941F6896D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731446-33D5-4072-B523-BF695C91B2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8239C4-81CA-4654-ACAC-2CA0D0DCCD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36EF7F-AEDF-43A7-A867-6164BA5501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1609B7-10B8-4DE7-A5FA-F96D45D791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7B8F82-F030-4F97-A636-2CEFEDDD50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688AF9-3F38-4B5B-84D8-7FF6D87086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AV17:AV19</xm:sqref>
        </x14:conditionalFormatting>
        <x14:conditionalFormatting xmlns:xm="http://schemas.microsoft.com/office/excel/2006/main">
          <x14:cfRule type="dataBar" id="{0EB699F5-9473-43FF-92AD-42FC6F5C2F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A70B04-6313-4D4D-B7FE-B09ABBEF60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BFEE06-BAF8-469A-B05D-A8DD2AED48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D523AC-E8DC-43F3-B977-970B3FF3F4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F53D45-50FD-480D-9636-B3C151CAC9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228CDC-8F1B-455F-99CA-F710F62DC4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E7C68E-21F1-4F98-8543-5BC86C85B4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9430C8-2B74-4CC4-ABEA-29148D67F7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06C24A-CA36-4243-B7F3-B4AAE74595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26F891-9203-451D-8774-D27B0A9BDF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6E7917-B65F-4EA5-B4ED-38461C8917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8B8D8B-D428-41DF-93DD-BA7090655D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3A827E-B792-498A-88CE-F030531F34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AV20</xm:sqref>
        </x14:conditionalFormatting>
        <x14:conditionalFormatting xmlns:xm="http://schemas.microsoft.com/office/excel/2006/main">
          <x14:cfRule type="dataBar" id="{35F79216-648C-4E4B-B8EF-509267A9AE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6F4AB6-7B4B-4CBA-892F-6499D0055D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4C361F-0EBD-42EE-B54C-18984B0825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7BBA7C-FCE6-46CB-B952-8C85B8363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D363A5-5EDE-4DB6-847E-6A2E1F288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B4ABED-CEBA-4A8C-A2FE-D3EDD0367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F546EF-81FF-4FEC-9DDD-B49AD47667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769451-8C1F-415F-9ACA-7FD6E29F46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095BED-2E18-425B-B257-E6A27A1068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D21747-9A88-44ED-AB91-4781CC9FD3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34F84E-556B-423B-A999-BAB6CE5FA9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5A250B-3644-4247-B3E5-D5B31D1F35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45B09F-CF6B-494F-B1AA-F44F70D811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296319-EB01-4578-B134-AC61587E10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E39E33-F80E-4661-942A-97C4A3251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8186C4-9753-4FA7-ADCF-FFB874C2BF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AF5249-CE45-4A0E-BEE6-AA4660DD3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3F4039-1783-4196-A09F-043B50E5B6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459150-14D4-41D7-9B8E-8B68B815D5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9A60C7-BB22-4019-B9F3-5826CADFA0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247BF6-5C75-44DB-A3A3-2A32A71400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73343F-5105-4ABE-86A4-719B05CE4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28B4C3-694E-41BC-99B1-B4630DD90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54CEDC-CD2D-4247-9DF0-59A465F2D8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698C3A-D9ED-45B0-8E19-35BA9ABB20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6E537F-E212-46A0-89FC-ECA4B38FA9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C27292-3AC7-4DC0-B846-5065953498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A16D08-2C55-4B09-967E-2430BD2ECD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752943-A159-4875-965D-B1CE03DD08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CDE0DA-57CC-48CD-97BE-839C77D967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AV21</xm:sqref>
        </x14:conditionalFormatting>
        <x14:conditionalFormatting xmlns:xm="http://schemas.microsoft.com/office/excel/2006/main">
          <x14:cfRule type="dataBar" id="{7ADE132A-58FF-46D5-A5DE-5A81C2408E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7EB2D3-A5EC-48F5-8165-08FC5C21AD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67FCE9-7C81-42BD-892A-F7CDA2D893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E97193-5657-44C9-A003-A824960F5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D80F0C-B6DB-4F2D-BC9C-0890F1A99E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568060-DB2C-45ED-B543-6CA94EA8D4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2678B-63CA-40D9-A420-234EE82F61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82A8AF-C460-40A6-926C-93DD193035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2D9E14-3FCC-4FAE-8995-44465796E8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7E5132-0108-414D-B4FF-E6312D91C1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8A3916-DFA9-4267-A58F-C1018C38C0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0B4AC6-6D24-4F0A-8403-24E85DFFE1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D1297D-9D0E-47E3-8C2A-494839192B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AV22</xm:sqref>
        </x14:conditionalFormatting>
        <x14:conditionalFormatting xmlns:xm="http://schemas.microsoft.com/office/excel/2006/main">
          <x14:cfRule type="dataBar" id="{3FB276E2-F405-45E3-86ED-9BE0C7A88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E0B492-73B6-4E69-9082-013FA5337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1D1059-1F3A-440F-866A-1D9E43111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4F367E-5698-4D74-A9F1-103D01F717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76D26E-B943-4B1F-8937-0CBBE8DF97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3EC49E-4971-4A37-A641-426C3F7F0C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61A846-B3CA-4007-9F47-594BF7024C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134777-0C95-435E-9B5A-0101CC272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DAC8A4-9096-4406-9B18-FAEE3ACE3B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B9AF52-4F98-4B74-A17F-4D4BBBFCD0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753C83-472A-4BBA-B545-BED3B67209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68A869-1BBB-469A-8824-E7ADA4623C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EA8ED9-ACA1-42CC-8827-54AFF2225F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D204A7-60B2-410A-8B0D-33506BE4D2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D947EB-5CA1-437A-957A-8B8D1DF15A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6877A7-3638-41E8-B122-64E0DEE898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DD0385-2BA5-49C9-B8D5-066DF8CE49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AV23:AV25</xm:sqref>
        </x14:conditionalFormatting>
        <x14:conditionalFormatting xmlns:xm="http://schemas.microsoft.com/office/excel/2006/main">
          <x14:cfRule type="dataBar" id="{282E0A5D-BB2A-4BFF-B816-5DC8AEC4D6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6EA3A4-C42E-40A8-8F00-3F2DA38FA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E033CF-08EC-49ED-8C81-145E62979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D61AB7-512C-401B-9F81-F56710F195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50EF47-9259-4E46-9DA2-684A869979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B1030A-2FAB-4681-BDD8-867F41F3AE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C90AE6-21D1-4913-A101-8EFBA88C46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2E838A-17C5-40D7-96DC-A23F4942C6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6D4A53-679E-4A23-8731-3B048BF916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7592DA-517E-4860-825F-07001E85D6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BC356E-2C16-42F7-A4B0-15EFA6C599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CCF593-EA29-442C-926F-D830F38BD2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2D83F1-CC6C-4E8C-B14B-5FBC05F1DD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D01A9-B32B-4FF1-B031-526D95CE13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20750B-61FC-4104-B85C-89586179E5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6BA632-5CCD-4B6E-9F11-934D54DF15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CE0ED8-37D0-4A5E-9F15-B6942B8591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25DE6F-1522-4170-9D06-174B3095BA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C933BA-8A9B-4B08-84F2-2846FF0A88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C04A0A-1DFF-477C-93F6-6E6B406CA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345889-DC79-47C9-8EFB-9DAADA5604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9AEF49-86F2-4930-8D76-C011C72E94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E24EA1-9E83-49B2-B3B4-ECCA720A50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2D935C-0720-4E7C-BC8C-AD3E4AC304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359FCC-161C-4638-A817-D9D96684D9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BA5671-3DCC-43B1-B73E-DF126212B6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7BD18E-66DF-4C51-971E-2DF937533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EE968C-364F-4FFD-846E-6658A65D20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30120E-BA5F-47DC-859D-28D78C0B0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06704B-92E2-49ED-B730-95D2CA5143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AV26</xm:sqref>
        </x14:conditionalFormatting>
        <x14:conditionalFormatting xmlns:xm="http://schemas.microsoft.com/office/excel/2006/main">
          <x14:cfRule type="dataBar" id="{69EF33C4-AB8F-4739-8903-539D40A150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F12816-E171-42A1-9896-3898643D2F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FE7D20-071D-4FFC-B8DC-DF8D2D770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D91D81-19A1-44CD-B916-9938E6D018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1DFF0B-9EE3-4C0D-82B1-A1B161EB2A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DED22A-83AC-439A-BAAC-9EDDE8693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B5C31B-D237-4447-968D-4D8CF34E6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DB48B5-689D-4368-B8EE-09873B476D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5239C2-7136-4153-B3A1-154E675001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CEF34A-6D97-46B5-B5A3-84CFE78E3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10F6A9-9828-4144-8573-925AFE7756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414BD-FFFB-45AB-B250-2AD236A7A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6FC945-66FA-42E8-B1DF-976AE61C4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AV27:AV28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A04A3-93FF-4507-AE81-CF716AE670FF}">
  <dimension ref="A1:AW44"/>
  <sheetViews>
    <sheetView showGridLines="0" tabSelected="1" topLeftCell="C4" zoomScale="65" zoomScaleNormal="65" workbookViewId="0">
      <selection activeCell="U14" sqref="U14"/>
    </sheetView>
  </sheetViews>
  <sheetFormatPr baseColWidth="10" defaultColWidth="28.7109375" defaultRowHeight="18"/>
  <cols>
    <col min="1" max="2" width="0" style="34" hidden="1" customWidth="1"/>
    <col min="3" max="3" width="4" style="34" customWidth="1"/>
    <col min="4" max="4" width="1.28515625" style="34" customWidth="1"/>
    <col min="5" max="5" width="26.5703125" style="34" customWidth="1"/>
    <col min="6" max="6" width="42.7109375" style="34" customWidth="1"/>
    <col min="7" max="7" width="16.140625" style="34" hidden="1" customWidth="1"/>
    <col min="8" max="8" width="4.140625" style="34" customWidth="1"/>
    <col min="9" max="9" width="2.5703125" style="34" customWidth="1"/>
    <col min="10" max="10" width="30.85546875" style="34" hidden="1" customWidth="1"/>
    <col min="11" max="11" width="27.5703125" style="34" hidden="1" customWidth="1"/>
    <col min="12" max="12" width="19" style="34" hidden="1" customWidth="1"/>
    <col min="13" max="13" width="5.42578125" style="34" hidden="1" customWidth="1"/>
    <col min="14" max="14" width="1.7109375" style="34" hidden="1" customWidth="1"/>
    <col min="15" max="15" width="31" style="34" hidden="1" customWidth="1"/>
    <col min="16" max="16" width="0" style="34" hidden="1" customWidth="1"/>
    <col min="17" max="17" width="18.7109375" style="34" hidden="1" customWidth="1"/>
    <col min="18" max="18" width="3.28515625" style="34" customWidth="1"/>
    <col min="19" max="19" width="1.140625" style="34" customWidth="1"/>
    <col min="20" max="20" width="28.140625" style="34" customWidth="1"/>
    <col min="21" max="21" width="42.7109375" style="34" customWidth="1"/>
    <col min="22" max="22" width="16.7109375" style="34" hidden="1" customWidth="1"/>
    <col min="23" max="23" width="4.42578125" style="34" customWidth="1"/>
    <col min="24" max="24" width="2.42578125" style="34" customWidth="1"/>
    <col min="25" max="25" width="27.5703125" style="34" customWidth="1"/>
    <col min="26" max="26" width="42.7109375" style="34" customWidth="1"/>
    <col min="27" max="27" width="17.85546875" style="34" hidden="1" customWidth="1"/>
    <col min="28" max="28" width="4.42578125" style="34" customWidth="1"/>
    <col min="29" max="29" width="2.5703125" style="34" customWidth="1"/>
    <col min="30" max="30" width="29.28515625" style="34" customWidth="1"/>
    <col min="31" max="31" width="7.7109375" style="34" hidden="1" customWidth="1"/>
    <col min="32" max="32" width="43.28515625" style="34" customWidth="1"/>
    <col min="33" max="33" width="16.42578125" style="34" hidden="1" customWidth="1"/>
    <col min="34" max="34" width="8.42578125" style="34" customWidth="1"/>
    <col min="35" max="35" width="29.85546875" style="34" hidden="1" customWidth="1"/>
    <col min="36" max="36" width="0" style="34" hidden="1" customWidth="1"/>
    <col min="37" max="37" width="15.7109375" style="34" hidden="1" customWidth="1"/>
    <col min="38" max="38" width="3.140625" style="34" customWidth="1"/>
    <col min="39" max="39" width="3.7109375" style="34" customWidth="1"/>
    <col min="40" max="40" width="28.42578125" style="34" customWidth="1"/>
    <col min="41" max="41" width="42.7109375" style="34" customWidth="1"/>
    <col min="42" max="42" width="16.28515625" style="34" hidden="1" customWidth="1"/>
    <col min="43" max="43" width="5.140625" style="34" customWidth="1"/>
    <col min="44" max="44" width="3.140625" style="34" customWidth="1"/>
    <col min="45" max="45" width="29.5703125" style="34" customWidth="1"/>
    <col min="46" max="46" width="42.7109375" style="34" customWidth="1"/>
    <col min="47" max="47" width="17.85546875" style="34" hidden="1" customWidth="1"/>
    <col min="48" max="48" width="6.140625" style="34" customWidth="1"/>
    <col min="49" max="49" width="2.140625" style="34" customWidth="1"/>
    <col min="50" max="50" width="3.7109375" style="34" customWidth="1"/>
    <col min="51" max="16384" width="28.7109375" style="34"/>
  </cols>
  <sheetData>
    <row r="1" spans="1:48" ht="24" customHeight="1">
      <c r="Y1" s="35"/>
    </row>
    <row r="2" spans="1:48" s="36" customFormat="1" ht="33.950000000000003" customHeight="1" thickBot="1">
      <c r="E2" s="36" t="s">
        <v>145</v>
      </c>
      <c r="H2" s="37"/>
      <c r="J2" s="36" t="s">
        <v>146</v>
      </c>
      <c r="O2" s="36" t="s">
        <v>147</v>
      </c>
      <c r="T2" s="36" t="s">
        <v>148</v>
      </c>
      <c r="Y2" s="36" t="s">
        <v>149</v>
      </c>
      <c r="AD2" s="36" t="s">
        <v>1</v>
      </c>
      <c r="AH2" s="34"/>
      <c r="AI2" s="36" t="s">
        <v>3</v>
      </c>
      <c r="AN2" s="36" t="s">
        <v>0</v>
      </c>
      <c r="AS2" s="36" t="s">
        <v>2</v>
      </c>
    </row>
    <row r="3" spans="1:48" ht="24" customHeight="1" thickTop="1" thickBot="1">
      <c r="A3" s="38" t="s">
        <v>4</v>
      </c>
      <c r="B3" s="38" t="s">
        <v>5</v>
      </c>
      <c r="E3" s="38" t="s">
        <v>4</v>
      </c>
      <c r="F3" s="38" t="s">
        <v>6</v>
      </c>
      <c r="G3" s="39" t="s">
        <v>75</v>
      </c>
      <c r="J3" s="38" t="s">
        <v>4</v>
      </c>
      <c r="K3" s="38" t="s">
        <v>6</v>
      </c>
      <c r="L3" s="39" t="s">
        <v>75</v>
      </c>
      <c r="M3" s="38"/>
      <c r="N3" s="38"/>
      <c r="O3" s="38" t="s">
        <v>10</v>
      </c>
      <c r="P3" s="38" t="s">
        <v>67</v>
      </c>
      <c r="Q3" s="39" t="s">
        <v>75</v>
      </c>
      <c r="T3" s="38" t="s">
        <v>10</v>
      </c>
      <c r="U3" s="38" t="s">
        <v>67</v>
      </c>
      <c r="V3" s="39" t="s">
        <v>75</v>
      </c>
      <c r="Y3" s="38" t="s">
        <v>7</v>
      </c>
      <c r="Z3" s="38" t="s">
        <v>8</v>
      </c>
      <c r="AA3" s="39" t="s">
        <v>75</v>
      </c>
      <c r="AB3" s="63"/>
      <c r="AD3" s="38" t="s">
        <v>10</v>
      </c>
      <c r="AE3" s="38" t="s">
        <v>11</v>
      </c>
      <c r="AF3" s="38"/>
      <c r="AG3" s="39" t="s">
        <v>75</v>
      </c>
      <c r="AI3" s="38" t="s">
        <v>4</v>
      </c>
      <c r="AJ3" s="38" t="s">
        <v>13</v>
      </c>
      <c r="AK3" s="39" t="s">
        <v>75</v>
      </c>
      <c r="AL3" s="63"/>
      <c r="AN3" s="38" t="s">
        <v>7</v>
      </c>
      <c r="AO3" s="38" t="s">
        <v>9</v>
      </c>
      <c r="AP3" s="39" t="s">
        <v>75</v>
      </c>
      <c r="AS3" s="38" t="s">
        <v>10</v>
      </c>
      <c r="AT3" s="38" t="s">
        <v>12</v>
      </c>
      <c r="AU3" s="39" t="s">
        <v>75</v>
      </c>
    </row>
    <row r="4" spans="1:48" ht="24" customHeight="1" thickTop="1">
      <c r="D4" s="77"/>
      <c r="E4" s="77" t="s">
        <v>158</v>
      </c>
      <c r="T4" s="77" t="s">
        <v>159</v>
      </c>
      <c r="Y4" s="77" t="s">
        <v>157</v>
      </c>
      <c r="AD4" s="77" t="s">
        <v>156</v>
      </c>
      <c r="AN4" s="77" t="s">
        <v>161</v>
      </c>
      <c r="AS4" s="77" t="s">
        <v>160</v>
      </c>
    </row>
    <row r="5" spans="1:48" ht="24" customHeight="1">
      <c r="A5" s="40" t="s">
        <v>14</v>
      </c>
      <c r="B5" s="41">
        <v>558.38095791136209</v>
      </c>
      <c r="C5" s="41"/>
      <c r="E5" s="78" t="s">
        <v>14</v>
      </c>
      <c r="F5" s="43">
        <v>392.05</v>
      </c>
      <c r="G5" s="44" t="s">
        <v>78</v>
      </c>
      <c r="I5" s="40"/>
      <c r="J5" s="45" t="s">
        <v>84</v>
      </c>
      <c r="K5" s="43">
        <v>524</v>
      </c>
      <c r="L5" s="44" t="s">
        <v>77</v>
      </c>
      <c r="M5" s="43"/>
      <c r="N5" s="43"/>
      <c r="O5" s="49" t="s">
        <v>73</v>
      </c>
      <c r="P5" s="47">
        <v>775</v>
      </c>
      <c r="Q5" s="48" t="s">
        <v>77</v>
      </c>
      <c r="T5" s="78" t="s">
        <v>14</v>
      </c>
      <c r="U5" s="47">
        <v>568.34</v>
      </c>
      <c r="V5" s="44" t="s">
        <v>78</v>
      </c>
      <c r="W5" s="40"/>
      <c r="X5" s="42"/>
      <c r="Y5" s="80" t="s">
        <v>150</v>
      </c>
      <c r="Z5" s="50">
        <v>0.66</v>
      </c>
      <c r="AC5" s="51"/>
      <c r="AD5" s="78" t="s">
        <v>14</v>
      </c>
      <c r="AE5" s="52">
        <v>0.46</v>
      </c>
      <c r="AF5" s="75">
        <f>57.49%+27.78%</f>
        <v>0.85270000000000001</v>
      </c>
      <c r="AG5" s="44" t="s">
        <v>78</v>
      </c>
      <c r="AI5" s="45" t="s">
        <v>84</v>
      </c>
      <c r="AJ5" s="43">
        <v>66</v>
      </c>
      <c r="AK5" s="48" t="s">
        <v>77</v>
      </c>
      <c r="AL5" s="48"/>
      <c r="AM5" s="40"/>
      <c r="AN5" s="78" t="s">
        <v>17</v>
      </c>
      <c r="AO5" s="47">
        <v>3067.86</v>
      </c>
      <c r="AP5" s="44" t="s">
        <v>78</v>
      </c>
      <c r="AQ5" s="53"/>
      <c r="AR5" s="40"/>
      <c r="AS5" s="78" t="s">
        <v>17</v>
      </c>
      <c r="AT5" s="47">
        <v>88.2</v>
      </c>
      <c r="AU5" s="44" t="s">
        <v>78</v>
      </c>
      <c r="AV5" s="53"/>
    </row>
    <row r="6" spans="1:48" ht="24" customHeight="1">
      <c r="A6" s="40" t="s">
        <v>18</v>
      </c>
      <c r="B6" s="41">
        <v>571.941080162047</v>
      </c>
      <c r="C6" s="41"/>
      <c r="E6" s="78" t="s">
        <v>20</v>
      </c>
      <c r="F6" s="43">
        <v>424.77</v>
      </c>
      <c r="G6" s="44" t="s">
        <v>78</v>
      </c>
      <c r="I6" s="40"/>
      <c r="J6" s="42" t="s">
        <v>14</v>
      </c>
      <c r="K6" s="43">
        <v>541</v>
      </c>
      <c r="L6" s="44" t="s">
        <v>78</v>
      </c>
      <c r="M6" s="43"/>
      <c r="N6" s="43"/>
      <c r="O6" s="54" t="s">
        <v>15</v>
      </c>
      <c r="P6" s="47">
        <v>783</v>
      </c>
      <c r="Q6" s="44" t="s">
        <v>77</v>
      </c>
      <c r="T6" s="78" t="s">
        <v>21</v>
      </c>
      <c r="U6" s="47">
        <v>602.12</v>
      </c>
      <c r="V6" s="44" t="s">
        <v>78</v>
      </c>
      <c r="W6" s="40"/>
      <c r="X6" s="42"/>
      <c r="Y6" s="78" t="s">
        <v>143</v>
      </c>
      <c r="Z6" s="50">
        <v>0.68320000000000003</v>
      </c>
      <c r="AA6" s="48"/>
      <c r="AC6" s="50"/>
      <c r="AD6" s="78" t="s">
        <v>21</v>
      </c>
      <c r="AE6" s="52">
        <v>0.17</v>
      </c>
      <c r="AF6" s="75">
        <f>49.1%+29.93%</f>
        <v>0.7903</v>
      </c>
      <c r="AG6" s="44" t="s">
        <v>78</v>
      </c>
      <c r="AI6" s="42" t="s">
        <v>20</v>
      </c>
      <c r="AJ6" s="43">
        <v>70</v>
      </c>
      <c r="AK6" s="44" t="s">
        <v>78</v>
      </c>
      <c r="AL6" s="44"/>
      <c r="AM6" s="40"/>
      <c r="AN6" s="78" t="s">
        <v>153</v>
      </c>
      <c r="AO6" s="47">
        <v>3351</v>
      </c>
      <c r="AP6" s="48" t="s">
        <v>77</v>
      </c>
      <c r="AQ6" s="53"/>
      <c r="AR6" s="40"/>
      <c r="AS6" s="80" t="s">
        <v>162</v>
      </c>
      <c r="AT6" s="47">
        <v>96</v>
      </c>
      <c r="AU6" s="44" t="s">
        <v>78</v>
      </c>
      <c r="AV6" s="53"/>
    </row>
    <row r="7" spans="1:48" ht="24" customHeight="1">
      <c r="A7" s="40" t="s">
        <v>20</v>
      </c>
      <c r="B7" s="41">
        <v>574.38410709625896</v>
      </c>
      <c r="C7" s="41"/>
      <c r="E7" s="78" t="s">
        <v>21</v>
      </c>
      <c r="F7" s="43">
        <v>424.77</v>
      </c>
      <c r="G7" s="44" t="s">
        <v>78</v>
      </c>
      <c r="H7" s="41"/>
      <c r="I7" s="40"/>
      <c r="J7" s="42" t="s">
        <v>18</v>
      </c>
      <c r="K7" s="43">
        <v>564</v>
      </c>
      <c r="L7" s="44" t="s">
        <v>79</v>
      </c>
      <c r="M7" s="43"/>
      <c r="N7" s="43"/>
      <c r="O7" s="42" t="s">
        <v>14</v>
      </c>
      <c r="P7" s="47">
        <v>790</v>
      </c>
      <c r="Q7" s="44" t="s">
        <v>78</v>
      </c>
      <c r="T7" s="78" t="s">
        <v>20</v>
      </c>
      <c r="U7" s="47">
        <v>640.69000000000005</v>
      </c>
      <c r="V7" s="44" t="s">
        <v>78</v>
      </c>
      <c r="W7" s="40"/>
      <c r="X7" s="42"/>
      <c r="Y7" s="78" t="s">
        <v>14</v>
      </c>
      <c r="Z7" s="50">
        <v>0.68959999999999999</v>
      </c>
      <c r="AA7" s="44"/>
      <c r="AB7" s="48"/>
      <c r="AC7" s="51"/>
      <c r="AD7" s="78" t="s">
        <v>20</v>
      </c>
      <c r="AE7" s="52">
        <v>0.31</v>
      </c>
      <c r="AF7" s="75">
        <f>50.13%+25.38%</f>
        <v>0.7551000000000001</v>
      </c>
      <c r="AG7" s="44" t="s">
        <v>78</v>
      </c>
      <c r="AI7" s="42" t="s">
        <v>21</v>
      </c>
      <c r="AJ7" s="43">
        <v>71</v>
      </c>
      <c r="AK7" s="44" t="s">
        <v>78</v>
      </c>
      <c r="AL7" s="44"/>
      <c r="AM7" s="40"/>
      <c r="AN7" s="79" t="s">
        <v>162</v>
      </c>
      <c r="AO7" s="47">
        <v>3398</v>
      </c>
      <c r="AP7" s="44" t="s">
        <v>78</v>
      </c>
      <c r="AQ7" s="53"/>
      <c r="AR7" s="40"/>
      <c r="AS7" s="79" t="s">
        <v>163</v>
      </c>
      <c r="AT7" s="47">
        <v>101</v>
      </c>
      <c r="AU7" s="44" t="s">
        <v>78</v>
      </c>
      <c r="AV7" s="53"/>
    </row>
    <row r="8" spans="1:48" ht="24" customHeight="1">
      <c r="A8" s="55" t="s">
        <v>24</v>
      </c>
      <c r="B8" s="43">
        <v>581</v>
      </c>
      <c r="C8" s="43"/>
      <c r="E8" s="81" t="s">
        <v>15</v>
      </c>
      <c r="F8" s="43">
        <v>488.1</v>
      </c>
      <c r="G8" s="44" t="s">
        <v>77</v>
      </c>
      <c r="H8" s="41"/>
      <c r="I8" s="40"/>
      <c r="J8" s="42" t="s">
        <v>17</v>
      </c>
      <c r="K8" s="43">
        <v>566</v>
      </c>
      <c r="L8" s="44" t="s">
        <v>78</v>
      </c>
      <c r="M8" s="43"/>
      <c r="N8" s="43"/>
      <c r="O8" s="42" t="s">
        <v>41</v>
      </c>
      <c r="P8" s="47">
        <v>800</v>
      </c>
      <c r="Q8" s="44" t="s">
        <v>78</v>
      </c>
      <c r="T8" s="78" t="s">
        <v>32</v>
      </c>
      <c r="U8" s="47">
        <v>700.38</v>
      </c>
      <c r="V8" s="44" t="s">
        <v>78</v>
      </c>
      <c r="W8" s="40"/>
      <c r="X8" s="40"/>
      <c r="Y8" s="78" t="s">
        <v>19</v>
      </c>
      <c r="Z8" s="50">
        <v>0.69</v>
      </c>
      <c r="AA8" s="48"/>
      <c r="AB8" s="44"/>
      <c r="AC8" s="51"/>
      <c r="AD8" s="78" t="s">
        <v>28</v>
      </c>
      <c r="AE8" s="52">
        <v>0.11799999999999999</v>
      </c>
      <c r="AF8" s="75">
        <f>30.52%+26.86%</f>
        <v>0.57379999999999998</v>
      </c>
      <c r="AG8" s="44" t="s">
        <v>78</v>
      </c>
      <c r="AI8" s="42" t="s">
        <v>28</v>
      </c>
      <c r="AJ8" s="43">
        <v>72</v>
      </c>
      <c r="AK8" s="44" t="s">
        <v>78</v>
      </c>
      <c r="AL8" s="44"/>
      <c r="AM8" s="40"/>
      <c r="AN8" s="78" t="s">
        <v>20</v>
      </c>
      <c r="AO8" s="47">
        <v>3403</v>
      </c>
      <c r="AP8" s="44" t="s">
        <v>78</v>
      </c>
      <c r="AQ8" s="53"/>
      <c r="AR8" s="40"/>
      <c r="AS8" s="80" t="s">
        <v>150</v>
      </c>
      <c r="AT8" s="47">
        <v>106</v>
      </c>
      <c r="AU8" s="44" t="s">
        <v>78</v>
      </c>
      <c r="AV8" s="53"/>
    </row>
    <row r="9" spans="1:48" ht="24" customHeight="1">
      <c r="A9" s="40" t="s">
        <v>17</v>
      </c>
      <c r="B9" s="41">
        <v>583.2733466010302</v>
      </c>
      <c r="C9" s="41"/>
      <c r="E9" s="82" t="s">
        <v>151</v>
      </c>
      <c r="F9" s="43">
        <v>498.96</v>
      </c>
      <c r="G9" s="44" t="s">
        <v>79</v>
      </c>
      <c r="H9" s="43"/>
      <c r="I9" s="40"/>
      <c r="J9" s="42" t="s">
        <v>20</v>
      </c>
      <c r="K9" s="43">
        <v>581</v>
      </c>
      <c r="L9" s="44" t="s">
        <v>78</v>
      </c>
      <c r="M9" s="43"/>
      <c r="N9" s="43"/>
      <c r="O9" s="42" t="s">
        <v>21</v>
      </c>
      <c r="P9" s="47">
        <v>806</v>
      </c>
      <c r="Q9" s="44" t="s">
        <v>78</v>
      </c>
      <c r="T9" s="78" t="s">
        <v>28</v>
      </c>
      <c r="U9" s="47">
        <v>709.93</v>
      </c>
      <c r="V9" s="44" t="s">
        <v>78</v>
      </c>
      <c r="W9" s="40"/>
      <c r="X9" s="40"/>
      <c r="Y9" s="81" t="s">
        <v>15</v>
      </c>
      <c r="Z9" s="50">
        <v>0.69499999999999995</v>
      </c>
      <c r="AA9" s="48"/>
      <c r="AB9" s="48"/>
      <c r="AC9" s="50"/>
      <c r="AD9" s="78" t="s">
        <v>32</v>
      </c>
      <c r="AE9" s="52">
        <v>0.14499999999999999</v>
      </c>
      <c r="AF9" s="75">
        <f>29.01%+26.5%</f>
        <v>0.55510000000000004</v>
      </c>
      <c r="AG9" s="44" t="s">
        <v>78</v>
      </c>
      <c r="AH9" s="44"/>
      <c r="AI9" s="42" t="s">
        <v>32</v>
      </c>
      <c r="AJ9" s="43">
        <v>75</v>
      </c>
      <c r="AK9" s="44" t="s">
        <v>78</v>
      </c>
      <c r="AL9" s="44"/>
      <c r="AM9" s="40"/>
      <c r="AN9" s="79" t="s">
        <v>155</v>
      </c>
      <c r="AO9" s="47">
        <v>3523</v>
      </c>
      <c r="AP9" s="44" t="s">
        <v>78</v>
      </c>
      <c r="AQ9" s="53">
        <v>0</v>
      </c>
      <c r="AR9" s="40"/>
      <c r="AS9" s="79" t="s">
        <v>155</v>
      </c>
      <c r="AT9" s="47">
        <v>106</v>
      </c>
      <c r="AU9" s="44" t="s">
        <v>78</v>
      </c>
      <c r="AV9" s="53"/>
    </row>
    <row r="10" spans="1:48" ht="24" customHeight="1">
      <c r="A10" s="40" t="s">
        <v>33</v>
      </c>
      <c r="B10" s="41">
        <v>587.66768676562992</v>
      </c>
      <c r="C10" s="41"/>
      <c r="E10" s="78" t="s">
        <v>32</v>
      </c>
      <c r="F10" s="43">
        <v>513.99</v>
      </c>
      <c r="G10" s="34" t="s">
        <v>77</v>
      </c>
      <c r="H10" s="41"/>
      <c r="I10" s="40"/>
      <c r="J10" s="42" t="s">
        <v>33</v>
      </c>
      <c r="K10" s="43">
        <v>597</v>
      </c>
      <c r="L10" s="44" t="s">
        <v>78</v>
      </c>
      <c r="M10" s="43"/>
      <c r="N10" s="43"/>
      <c r="O10" s="42" t="s">
        <v>39</v>
      </c>
      <c r="P10" s="47">
        <v>809</v>
      </c>
      <c r="Q10" s="44" t="s">
        <v>78</v>
      </c>
      <c r="T10" s="78" t="s">
        <v>41</v>
      </c>
      <c r="U10" s="47">
        <v>715.06</v>
      </c>
      <c r="V10" s="44" t="s">
        <v>78</v>
      </c>
      <c r="W10" s="40"/>
      <c r="X10" s="40"/>
      <c r="Y10" s="78" t="s">
        <v>152</v>
      </c>
      <c r="Z10" s="50">
        <v>0.7</v>
      </c>
      <c r="AA10" s="44"/>
      <c r="AB10" s="48"/>
      <c r="AC10" s="50"/>
      <c r="AD10" s="78" t="s">
        <v>41</v>
      </c>
      <c r="AE10" s="56">
        <v>0.14000000000000001</v>
      </c>
      <c r="AF10" s="75">
        <f>20.99%+19.33%</f>
        <v>0.40319999999999995</v>
      </c>
      <c r="AG10" s="44" t="s">
        <v>78</v>
      </c>
      <c r="AH10" s="44"/>
      <c r="AI10" s="42" t="s">
        <v>36</v>
      </c>
      <c r="AJ10" s="43">
        <v>75</v>
      </c>
      <c r="AK10" s="44" t="s">
        <v>78</v>
      </c>
      <c r="AL10" s="44"/>
      <c r="AM10" s="40"/>
      <c r="AN10" s="80" t="s">
        <v>150</v>
      </c>
      <c r="AO10" s="47">
        <v>3585</v>
      </c>
      <c r="AP10" s="44" t="s">
        <v>78</v>
      </c>
      <c r="AQ10" s="53"/>
      <c r="AR10" s="40"/>
      <c r="AS10" s="78" t="s">
        <v>153</v>
      </c>
      <c r="AT10" s="47">
        <v>108.2</v>
      </c>
      <c r="AU10" s="44" t="s">
        <v>78</v>
      </c>
      <c r="AV10" s="47"/>
    </row>
    <row r="11" spans="1:48" ht="24" customHeight="1">
      <c r="A11" s="55" t="s">
        <v>37</v>
      </c>
      <c r="B11" s="43">
        <v>609</v>
      </c>
      <c r="C11" s="43"/>
      <c r="E11" s="78" t="s">
        <v>17</v>
      </c>
      <c r="F11" s="43">
        <v>520.27</v>
      </c>
      <c r="G11" s="44" t="s">
        <v>78</v>
      </c>
      <c r="H11" s="41"/>
      <c r="I11" s="40"/>
      <c r="J11" s="42" t="s">
        <v>21</v>
      </c>
      <c r="K11" s="43">
        <v>599</v>
      </c>
      <c r="L11" s="44" t="s">
        <v>78</v>
      </c>
      <c r="M11" s="43"/>
      <c r="N11" s="43"/>
      <c r="O11" s="42" t="s">
        <v>20</v>
      </c>
      <c r="P11" s="47">
        <v>810</v>
      </c>
      <c r="Q11" s="44" t="s">
        <v>78</v>
      </c>
      <c r="T11" s="81" t="s">
        <v>15</v>
      </c>
      <c r="U11" s="47">
        <v>734.58808004856098</v>
      </c>
      <c r="V11" s="44" t="s">
        <v>78</v>
      </c>
      <c r="W11" s="40"/>
      <c r="X11" s="40"/>
      <c r="Y11" s="78" t="s">
        <v>18</v>
      </c>
      <c r="Z11" s="50">
        <v>0.70640000000000003</v>
      </c>
      <c r="AA11" s="48"/>
      <c r="AB11" s="44"/>
      <c r="AC11" s="51"/>
      <c r="AD11" s="79" t="s">
        <v>162</v>
      </c>
      <c r="AE11" s="52">
        <v>0.36</v>
      </c>
      <c r="AF11" s="75">
        <f>+AE11</f>
        <v>0.36</v>
      </c>
      <c r="AG11" s="44" t="s">
        <v>78</v>
      </c>
      <c r="AH11" s="44"/>
      <c r="AI11" s="42" t="s">
        <v>40</v>
      </c>
      <c r="AJ11" s="43">
        <v>77</v>
      </c>
      <c r="AK11" s="44" t="s">
        <v>78</v>
      </c>
      <c r="AL11" s="44"/>
      <c r="AM11" s="40"/>
      <c r="AN11" s="81" t="s">
        <v>15</v>
      </c>
      <c r="AO11" s="47">
        <v>3609.8389999999999</v>
      </c>
      <c r="AP11" s="44" t="s">
        <v>78</v>
      </c>
      <c r="AQ11" s="53"/>
      <c r="AR11" s="40"/>
      <c r="AS11" s="81" t="s">
        <v>15</v>
      </c>
      <c r="AT11" s="47">
        <v>110.5076</v>
      </c>
      <c r="AU11" s="44" t="s">
        <v>78</v>
      </c>
      <c r="AV11" s="53"/>
    </row>
    <row r="12" spans="1:48" ht="24" customHeight="1">
      <c r="A12" s="40" t="s">
        <v>21</v>
      </c>
      <c r="B12" s="41">
        <v>616.83970044851208</v>
      </c>
      <c r="C12" s="41"/>
      <c r="E12" s="78" t="s">
        <v>143</v>
      </c>
      <c r="F12" s="43">
        <v>522.87</v>
      </c>
      <c r="G12" s="44" t="s">
        <v>78</v>
      </c>
      <c r="H12" s="43"/>
      <c r="I12" s="40"/>
      <c r="J12" s="49" t="s">
        <v>86</v>
      </c>
      <c r="K12" s="43">
        <v>600</v>
      </c>
      <c r="L12" s="44" t="s">
        <v>77</v>
      </c>
      <c r="M12" s="43"/>
      <c r="N12" s="43"/>
      <c r="O12" s="42" t="s">
        <v>36</v>
      </c>
      <c r="P12" s="47">
        <v>811</v>
      </c>
      <c r="Q12" s="44" t="s">
        <v>78</v>
      </c>
      <c r="T12" s="78" t="s">
        <v>143</v>
      </c>
      <c r="U12" s="47">
        <v>757.18</v>
      </c>
      <c r="V12" s="44" t="s">
        <v>77</v>
      </c>
      <c r="W12" s="40"/>
      <c r="X12" s="40"/>
      <c r="Y12" s="82" t="s">
        <v>151</v>
      </c>
      <c r="Z12" s="50">
        <v>0.71</v>
      </c>
      <c r="AA12" s="44"/>
      <c r="AB12" s="44"/>
      <c r="AC12" s="51"/>
      <c r="AD12" s="78" t="s">
        <v>18</v>
      </c>
      <c r="AE12" s="52">
        <v>0.5</v>
      </c>
      <c r="AF12" s="75">
        <f>14.1%+16.91%</f>
        <v>0.31009999999999999</v>
      </c>
      <c r="AG12" s="44" t="s">
        <v>78</v>
      </c>
      <c r="AH12" s="44"/>
      <c r="AI12" s="42" t="s">
        <v>43</v>
      </c>
      <c r="AJ12" s="43">
        <v>77</v>
      </c>
      <c r="AK12" s="44" t="s">
        <v>78</v>
      </c>
      <c r="AL12" s="44"/>
      <c r="AM12" s="40"/>
      <c r="AN12" s="78" t="s">
        <v>21</v>
      </c>
      <c r="AO12" s="47">
        <v>3661.2</v>
      </c>
      <c r="AP12" s="48" t="s">
        <v>77</v>
      </c>
      <c r="AQ12" s="47"/>
      <c r="AR12" s="40"/>
      <c r="AS12" s="82" t="s">
        <v>151</v>
      </c>
      <c r="AT12" s="47">
        <v>110.89</v>
      </c>
      <c r="AU12" s="48" t="s">
        <v>77</v>
      </c>
      <c r="AV12" s="53"/>
    </row>
    <row r="13" spans="1:48" ht="24" customHeight="1">
      <c r="A13" s="40" t="s">
        <v>28</v>
      </c>
      <c r="B13" s="41">
        <v>617.51914924430901</v>
      </c>
      <c r="C13" s="41"/>
      <c r="E13" s="78" t="s">
        <v>28</v>
      </c>
      <c r="F13" s="43">
        <v>533.23</v>
      </c>
      <c r="G13" s="44" t="s">
        <v>78</v>
      </c>
      <c r="H13" s="43"/>
      <c r="I13" s="40"/>
      <c r="J13" s="46" t="s">
        <v>85</v>
      </c>
      <c r="K13" s="43">
        <v>603</v>
      </c>
      <c r="L13" s="44" t="s">
        <v>77</v>
      </c>
      <c r="M13" s="43"/>
      <c r="N13" s="43"/>
      <c r="O13" s="42" t="s">
        <v>32</v>
      </c>
      <c r="P13" s="47">
        <v>822</v>
      </c>
      <c r="Q13" s="44" t="s">
        <v>78</v>
      </c>
      <c r="T13" s="79" t="s">
        <v>162</v>
      </c>
      <c r="U13" s="47">
        <v>772</v>
      </c>
      <c r="V13" s="48" t="s">
        <v>77</v>
      </c>
      <c r="W13" s="40"/>
      <c r="X13" s="40"/>
      <c r="Y13" s="79" t="s">
        <v>162</v>
      </c>
      <c r="Z13" s="50">
        <v>0.71</v>
      </c>
      <c r="AA13" s="44"/>
      <c r="AB13" s="48"/>
      <c r="AC13" s="51"/>
      <c r="AD13" s="78" t="s">
        <v>143</v>
      </c>
      <c r="AE13" s="52">
        <v>0.17</v>
      </c>
      <c r="AF13" s="75">
        <f>25.89%+4.56%</f>
        <v>0.30449999999999999</v>
      </c>
      <c r="AG13" s="48" t="s">
        <v>79</v>
      </c>
      <c r="AH13" s="48"/>
      <c r="AI13" s="42" t="s">
        <v>18</v>
      </c>
      <c r="AJ13" s="43">
        <v>77</v>
      </c>
      <c r="AK13" s="44" t="s">
        <v>78</v>
      </c>
      <c r="AL13" s="44"/>
      <c r="AM13" s="40"/>
      <c r="AN13" s="78" t="s">
        <v>18</v>
      </c>
      <c r="AO13" s="47">
        <v>3675.23</v>
      </c>
      <c r="AP13" s="48" t="s">
        <v>77</v>
      </c>
      <c r="AQ13" s="53"/>
      <c r="AR13" s="42"/>
      <c r="AS13" s="78" t="s">
        <v>19</v>
      </c>
      <c r="AT13" s="47">
        <v>111</v>
      </c>
      <c r="AU13" s="48" t="s">
        <v>77</v>
      </c>
      <c r="AV13" s="47"/>
    </row>
    <row r="14" spans="1:48" ht="24" customHeight="1">
      <c r="A14" s="40" t="s">
        <v>32</v>
      </c>
      <c r="B14" s="41">
        <v>620.68939144761021</v>
      </c>
      <c r="C14" s="41"/>
      <c r="E14" s="78" t="s">
        <v>18</v>
      </c>
      <c r="F14" s="43">
        <v>548.80999999999995</v>
      </c>
      <c r="G14" s="44" t="s">
        <v>77</v>
      </c>
      <c r="H14" s="41"/>
      <c r="I14" s="40"/>
      <c r="J14" s="49" t="s">
        <v>71</v>
      </c>
      <c r="K14" s="43">
        <v>607</v>
      </c>
      <c r="L14" s="44" t="s">
        <v>77</v>
      </c>
      <c r="M14" s="43"/>
      <c r="N14" s="43"/>
      <c r="O14" s="42" t="s">
        <v>17</v>
      </c>
      <c r="P14" s="47">
        <v>827</v>
      </c>
      <c r="Q14" s="44" t="s">
        <v>78</v>
      </c>
      <c r="T14" s="78" t="s">
        <v>153</v>
      </c>
      <c r="U14" s="47">
        <v>773</v>
      </c>
      <c r="V14" s="44" t="s">
        <v>77</v>
      </c>
      <c r="W14" s="40"/>
      <c r="X14" s="40"/>
      <c r="Y14" s="78" t="s">
        <v>21</v>
      </c>
      <c r="Z14" s="50">
        <v>0.71409999999999996</v>
      </c>
      <c r="AA14" s="48"/>
      <c r="AB14" s="44"/>
      <c r="AC14" s="51"/>
      <c r="AD14" s="82" t="s">
        <v>151</v>
      </c>
      <c r="AE14" s="52">
        <v>0.43</v>
      </c>
      <c r="AF14" s="75">
        <v>0.16800000000000001</v>
      </c>
      <c r="AG14" s="44" t="s">
        <v>78</v>
      </c>
      <c r="AH14" s="44"/>
      <c r="AI14" s="42" t="s">
        <v>44</v>
      </c>
      <c r="AJ14" s="43">
        <v>79</v>
      </c>
      <c r="AK14" s="44" t="s">
        <v>78</v>
      </c>
      <c r="AL14" s="44"/>
      <c r="AM14" s="40"/>
      <c r="AN14" s="78" t="s">
        <v>41</v>
      </c>
      <c r="AO14" s="47">
        <v>3814.03</v>
      </c>
      <c r="AP14" s="48" t="s">
        <v>77</v>
      </c>
      <c r="AQ14" s="53"/>
      <c r="AR14" s="40"/>
      <c r="AS14" s="78" t="s">
        <v>18</v>
      </c>
      <c r="AT14" s="47">
        <v>112.2</v>
      </c>
      <c r="AU14" s="44" t="s">
        <v>78</v>
      </c>
      <c r="AV14" s="47"/>
    </row>
    <row r="15" spans="1:48" ht="24" customHeight="1">
      <c r="A15" s="55" t="s">
        <v>35</v>
      </c>
      <c r="B15" s="43">
        <v>621</v>
      </c>
      <c r="C15" s="43"/>
      <c r="E15" s="80" t="s">
        <v>150</v>
      </c>
      <c r="F15" s="43">
        <v>552.22</v>
      </c>
      <c r="G15" s="44" t="s">
        <v>77</v>
      </c>
      <c r="H15" s="41"/>
      <c r="I15" s="40"/>
      <c r="J15" s="49" t="s">
        <v>87</v>
      </c>
      <c r="K15" s="43">
        <v>609</v>
      </c>
      <c r="L15" s="44" t="s">
        <v>77</v>
      </c>
      <c r="M15" s="43"/>
      <c r="N15" s="43"/>
      <c r="O15" s="42" t="s">
        <v>18</v>
      </c>
      <c r="P15" s="47">
        <v>832</v>
      </c>
      <c r="Q15" s="48" t="s">
        <v>79</v>
      </c>
      <c r="T15" s="78" t="s">
        <v>17</v>
      </c>
      <c r="U15" s="43">
        <v>796.8</v>
      </c>
      <c r="V15" s="44" t="s">
        <v>77</v>
      </c>
      <c r="W15" s="40"/>
      <c r="X15" s="40"/>
      <c r="Y15" s="78" t="s">
        <v>17</v>
      </c>
      <c r="Z15" s="50">
        <v>0.7258</v>
      </c>
      <c r="AA15" s="44"/>
      <c r="AB15" s="44"/>
      <c r="AC15" s="50"/>
      <c r="AD15" s="78" t="s">
        <v>51</v>
      </c>
      <c r="AE15" s="60">
        <v>7.4999999999999997E-2</v>
      </c>
      <c r="AF15" s="75">
        <f>13.1%+3.29%</f>
        <v>0.16389999999999999</v>
      </c>
      <c r="AG15" s="44" t="s">
        <v>78</v>
      </c>
      <c r="AH15" s="44"/>
      <c r="AI15" s="70" t="s">
        <v>71</v>
      </c>
      <c r="AJ15" s="43">
        <v>79</v>
      </c>
      <c r="AK15" s="48" t="s">
        <v>77</v>
      </c>
      <c r="AL15" s="48"/>
      <c r="AM15" s="40"/>
      <c r="AN15" s="78" t="s">
        <v>32</v>
      </c>
      <c r="AO15" s="47">
        <v>3815.83</v>
      </c>
      <c r="AP15" s="44" t="s">
        <v>78</v>
      </c>
      <c r="AQ15" s="47"/>
      <c r="AR15" s="40"/>
      <c r="AS15" s="78" t="s">
        <v>143</v>
      </c>
      <c r="AT15" s="47">
        <v>113.81</v>
      </c>
      <c r="AU15" s="44" t="s">
        <v>78</v>
      </c>
      <c r="AV15" s="47"/>
    </row>
    <row r="16" spans="1:48" ht="24" customHeight="1">
      <c r="A16" s="40" t="s">
        <v>46</v>
      </c>
      <c r="B16" s="41">
        <v>652.160797392321</v>
      </c>
      <c r="C16" s="41"/>
      <c r="E16" s="79" t="s">
        <v>162</v>
      </c>
      <c r="F16" s="43">
        <v>565</v>
      </c>
      <c r="G16" s="44" t="s">
        <v>78</v>
      </c>
      <c r="H16" s="41"/>
      <c r="I16" s="40"/>
      <c r="J16" s="45" t="s">
        <v>35</v>
      </c>
      <c r="K16" s="43">
        <v>612</v>
      </c>
      <c r="L16" s="44" t="s">
        <v>78</v>
      </c>
      <c r="M16" s="43"/>
      <c r="N16" s="43"/>
      <c r="O16" s="42" t="s">
        <v>28</v>
      </c>
      <c r="P16" s="47">
        <v>832</v>
      </c>
      <c r="Q16" s="44" t="s">
        <v>78</v>
      </c>
      <c r="T16" s="79" t="s">
        <v>155</v>
      </c>
      <c r="U16" s="47">
        <v>799</v>
      </c>
      <c r="V16" s="44" t="s">
        <v>78</v>
      </c>
      <c r="W16" s="40"/>
      <c r="X16" s="40"/>
      <c r="Y16" s="78" t="s">
        <v>20</v>
      </c>
      <c r="Z16" s="50">
        <v>0.73899999999999999</v>
      </c>
      <c r="AA16" s="48"/>
      <c r="AB16" s="44"/>
      <c r="AC16" s="50"/>
      <c r="AD16" s="79" t="s">
        <v>155</v>
      </c>
      <c r="AE16" s="52">
        <v>0.147571736785402</v>
      </c>
      <c r="AF16" s="75">
        <f>+AE16</f>
        <v>0.147571736785402</v>
      </c>
      <c r="AG16" s="44" t="s">
        <v>78</v>
      </c>
      <c r="AH16" s="44"/>
      <c r="AI16" s="42" t="s">
        <v>47</v>
      </c>
      <c r="AJ16" s="43">
        <v>83</v>
      </c>
      <c r="AK16" s="44" t="s">
        <v>78</v>
      </c>
      <c r="AL16" s="44"/>
      <c r="AM16" s="40"/>
      <c r="AN16" s="78" t="s">
        <v>143</v>
      </c>
      <c r="AO16" s="47">
        <v>3837.7</v>
      </c>
      <c r="AP16" s="44" t="s">
        <v>78</v>
      </c>
      <c r="AQ16" s="53"/>
      <c r="AR16" s="40"/>
      <c r="AS16" s="78" t="s">
        <v>21</v>
      </c>
      <c r="AT16" s="47">
        <v>113.98</v>
      </c>
      <c r="AU16" s="44" t="s">
        <v>78</v>
      </c>
      <c r="AV16" s="53"/>
    </row>
    <row r="17" spans="1:49" ht="24" customHeight="1">
      <c r="A17" s="40" t="s">
        <v>23</v>
      </c>
      <c r="B17" s="41">
        <v>655.02427560847298</v>
      </c>
      <c r="C17" s="41"/>
      <c r="E17" s="78" t="s">
        <v>153</v>
      </c>
      <c r="F17" s="43">
        <v>586.66</v>
      </c>
      <c r="G17" s="44" t="s">
        <v>77</v>
      </c>
      <c r="H17" s="43"/>
      <c r="I17" s="40"/>
      <c r="J17" s="42" t="s">
        <v>32</v>
      </c>
      <c r="K17" s="43">
        <v>624</v>
      </c>
      <c r="L17" s="44" t="s">
        <v>78</v>
      </c>
      <c r="M17" s="43"/>
      <c r="N17" s="43"/>
      <c r="O17" s="57" t="s">
        <v>94</v>
      </c>
      <c r="P17" s="47">
        <v>834</v>
      </c>
      <c r="Q17" s="44" t="s">
        <v>78</v>
      </c>
      <c r="T17" s="78" t="s">
        <v>18</v>
      </c>
      <c r="U17" s="47">
        <v>801.65</v>
      </c>
      <c r="V17" s="44" t="s">
        <v>77</v>
      </c>
      <c r="W17" s="40"/>
      <c r="X17" s="40"/>
      <c r="Y17" s="78" t="s">
        <v>153</v>
      </c>
      <c r="Z17" s="50">
        <v>0.74</v>
      </c>
      <c r="AA17" s="48"/>
      <c r="AB17" s="44"/>
      <c r="AC17" s="51"/>
      <c r="AD17" s="80" t="s">
        <v>150</v>
      </c>
      <c r="AE17" s="52">
        <v>0.9</v>
      </c>
      <c r="AF17" s="75">
        <v>0.14299999999999999</v>
      </c>
      <c r="AG17" s="44" t="s">
        <v>78</v>
      </c>
      <c r="AH17" s="44"/>
      <c r="AI17" s="42" t="s">
        <v>48</v>
      </c>
      <c r="AJ17" s="43">
        <v>85</v>
      </c>
      <c r="AK17" s="44" t="s">
        <v>78</v>
      </c>
      <c r="AL17" s="44"/>
      <c r="AM17" s="40"/>
      <c r="AN17" s="78" t="s">
        <v>28</v>
      </c>
      <c r="AO17" s="47">
        <v>3852.48</v>
      </c>
      <c r="AP17" s="44" t="s">
        <v>78</v>
      </c>
      <c r="AQ17" s="53"/>
      <c r="AR17" s="40"/>
      <c r="AS17" s="78" t="s">
        <v>14</v>
      </c>
      <c r="AT17" s="47">
        <v>124.31</v>
      </c>
      <c r="AU17" s="44" t="s">
        <v>78</v>
      </c>
      <c r="AV17" s="53"/>
    </row>
    <row r="18" spans="1:49" ht="24" customHeight="1">
      <c r="A18" s="40" t="s">
        <v>31</v>
      </c>
      <c r="B18" s="41">
        <v>656.78616533699903</v>
      </c>
      <c r="C18" s="41"/>
      <c r="E18" s="78" t="s">
        <v>19</v>
      </c>
      <c r="F18" s="43">
        <v>588</v>
      </c>
      <c r="G18" s="44" t="s">
        <v>78</v>
      </c>
      <c r="H18" s="41"/>
      <c r="I18" s="40"/>
      <c r="J18" s="57" t="s">
        <v>42</v>
      </c>
      <c r="K18" s="43">
        <v>635</v>
      </c>
      <c r="L18" s="44" t="s">
        <v>78</v>
      </c>
      <c r="M18" s="43"/>
      <c r="N18" s="43"/>
      <c r="O18" s="42" t="s">
        <v>44</v>
      </c>
      <c r="P18" s="47">
        <v>836</v>
      </c>
      <c r="Q18" s="44" t="s">
        <v>78</v>
      </c>
      <c r="T18" s="78" t="s">
        <v>51</v>
      </c>
      <c r="U18" s="47">
        <v>802.09</v>
      </c>
      <c r="V18" s="44" t="s">
        <v>78</v>
      </c>
      <c r="W18" s="40"/>
      <c r="X18" s="40"/>
      <c r="Y18" s="79" t="s">
        <v>155</v>
      </c>
      <c r="Z18" s="50">
        <v>0.76</v>
      </c>
      <c r="AA18" s="44"/>
      <c r="AB18" s="44"/>
      <c r="AC18" s="51"/>
      <c r="AD18" s="78" t="s">
        <v>19</v>
      </c>
      <c r="AE18" s="72">
        <v>0.78</v>
      </c>
      <c r="AF18" s="76">
        <v>0.13</v>
      </c>
      <c r="AG18" s="44" t="s">
        <v>78</v>
      </c>
      <c r="AH18" s="44"/>
      <c r="AI18" s="57" t="s">
        <v>42</v>
      </c>
      <c r="AJ18" s="43">
        <v>85</v>
      </c>
      <c r="AK18" s="44" t="s">
        <v>78</v>
      </c>
      <c r="AL18" s="44"/>
      <c r="AM18" s="40"/>
      <c r="AN18" s="78" t="s">
        <v>14</v>
      </c>
      <c r="AO18" s="47">
        <v>3872.66</v>
      </c>
      <c r="AP18" s="44" t="s">
        <v>78</v>
      </c>
      <c r="AQ18" s="47"/>
      <c r="AR18" s="40"/>
      <c r="AS18" s="78" t="s">
        <v>20</v>
      </c>
      <c r="AT18" s="47">
        <v>125.19</v>
      </c>
      <c r="AU18" s="44" t="s">
        <v>78</v>
      </c>
      <c r="AV18" s="53"/>
    </row>
    <row r="19" spans="1:49" ht="24" customHeight="1">
      <c r="A19" s="40" t="s">
        <v>29</v>
      </c>
      <c r="B19" s="41">
        <v>697.02746782029885</v>
      </c>
      <c r="C19" s="41"/>
      <c r="E19" s="78" t="s">
        <v>41</v>
      </c>
      <c r="F19" s="43">
        <v>588.41999999999996</v>
      </c>
      <c r="G19" s="44" t="s">
        <v>77</v>
      </c>
      <c r="H19" s="41"/>
      <c r="I19" s="40"/>
      <c r="J19" s="42" t="s">
        <v>46</v>
      </c>
      <c r="K19" s="43">
        <v>637</v>
      </c>
      <c r="L19" s="44" t="s">
        <v>78</v>
      </c>
      <c r="M19" s="43"/>
      <c r="N19" s="43"/>
      <c r="O19" s="42" t="s">
        <v>33</v>
      </c>
      <c r="P19" s="47">
        <v>840</v>
      </c>
      <c r="Q19" s="44" t="s">
        <v>78</v>
      </c>
      <c r="T19" s="80" t="s">
        <v>150</v>
      </c>
      <c r="U19" s="47">
        <v>824.47</v>
      </c>
      <c r="V19" s="44" t="s">
        <v>78</v>
      </c>
      <c r="W19" s="40"/>
      <c r="X19" s="40"/>
      <c r="Y19" s="78" t="s">
        <v>32</v>
      </c>
      <c r="Z19" s="50">
        <v>0.76819999999999999</v>
      </c>
      <c r="AA19" s="44"/>
      <c r="AB19" s="48"/>
      <c r="AC19" s="51"/>
      <c r="AD19" s="81" t="s">
        <v>15</v>
      </c>
      <c r="AE19" s="52">
        <v>0.49</v>
      </c>
      <c r="AF19" s="75">
        <v>0.1084</v>
      </c>
      <c r="AG19" s="48" t="s">
        <v>77</v>
      </c>
      <c r="AH19" s="44"/>
      <c r="AI19" s="70" t="s">
        <v>120</v>
      </c>
      <c r="AJ19" s="43">
        <v>85</v>
      </c>
      <c r="AK19" s="48" t="s">
        <v>77</v>
      </c>
      <c r="AL19" s="48"/>
      <c r="AM19" s="40"/>
      <c r="AN19" s="78" t="s">
        <v>51</v>
      </c>
      <c r="AO19" s="47">
        <v>3893.22</v>
      </c>
      <c r="AP19" s="44" t="s">
        <v>78</v>
      </c>
      <c r="AQ19" s="53"/>
      <c r="AR19" s="40"/>
      <c r="AS19" s="78" t="s">
        <v>28</v>
      </c>
      <c r="AT19" s="47">
        <v>127.67</v>
      </c>
      <c r="AU19" s="48" t="s">
        <v>77</v>
      </c>
      <c r="AV19" s="53"/>
    </row>
    <row r="20" spans="1:49" ht="24" customHeight="1">
      <c r="A20" s="40" t="s">
        <v>48</v>
      </c>
      <c r="B20" s="41">
        <v>699.00974413699714</v>
      </c>
      <c r="C20" s="41"/>
      <c r="E20" s="79" t="s">
        <v>155</v>
      </c>
      <c r="F20" s="43">
        <v>608</v>
      </c>
      <c r="G20" s="34" t="s">
        <v>77</v>
      </c>
      <c r="H20" s="41"/>
      <c r="J20" s="42" t="s">
        <v>28</v>
      </c>
      <c r="K20" s="43">
        <v>641</v>
      </c>
      <c r="L20" s="44" t="s">
        <v>78</v>
      </c>
      <c r="M20" s="43"/>
      <c r="N20" s="43"/>
      <c r="O20" s="42" t="s">
        <v>29</v>
      </c>
      <c r="P20" s="47">
        <v>843</v>
      </c>
      <c r="Q20" s="44" t="s">
        <v>78</v>
      </c>
      <c r="T20" s="78" t="s">
        <v>19</v>
      </c>
      <c r="U20" s="47">
        <v>857</v>
      </c>
      <c r="V20" s="44" t="s">
        <v>78</v>
      </c>
      <c r="W20" s="40"/>
      <c r="X20" s="40"/>
      <c r="Y20" s="78" t="s">
        <v>41</v>
      </c>
      <c r="Z20" s="50">
        <v>0.78779999999999994</v>
      </c>
      <c r="AA20" s="44"/>
      <c r="AB20" s="48"/>
      <c r="AC20" s="51"/>
      <c r="AD20" s="78" t="s">
        <v>17</v>
      </c>
      <c r="AE20" s="52">
        <v>0.68</v>
      </c>
      <c r="AF20" s="75">
        <f>6.79%+2.46%</f>
        <v>9.2499999999999999E-2</v>
      </c>
      <c r="AG20" s="48" t="s">
        <v>77</v>
      </c>
      <c r="AH20" s="44"/>
      <c r="AI20" s="70" t="s">
        <v>121</v>
      </c>
      <c r="AJ20" s="43">
        <v>85</v>
      </c>
      <c r="AK20" s="48" t="s">
        <v>77</v>
      </c>
      <c r="AL20" s="48"/>
      <c r="AM20" s="40"/>
      <c r="AN20" s="78" t="s">
        <v>19</v>
      </c>
      <c r="AO20" s="47">
        <v>3907</v>
      </c>
      <c r="AP20" s="48" t="s">
        <v>79</v>
      </c>
      <c r="AQ20" s="47"/>
      <c r="AR20" s="40"/>
      <c r="AS20" s="78" t="s">
        <v>32</v>
      </c>
      <c r="AT20" s="47">
        <v>130.34</v>
      </c>
      <c r="AU20" s="48" t="s">
        <v>77</v>
      </c>
      <c r="AV20" s="53"/>
    </row>
    <row r="21" spans="1:49" ht="24" customHeight="1">
      <c r="A21" s="40" t="s">
        <v>41</v>
      </c>
      <c r="B21" s="41">
        <v>717.91559320499698</v>
      </c>
      <c r="C21" s="41"/>
      <c r="E21" s="78" t="s">
        <v>152</v>
      </c>
      <c r="F21" s="43">
        <v>618.05999999999995</v>
      </c>
      <c r="G21" s="44" t="s">
        <v>78</v>
      </c>
      <c r="H21" s="41"/>
      <c r="I21" s="40"/>
      <c r="J21" s="45" t="s">
        <v>88</v>
      </c>
      <c r="K21" s="43">
        <v>643</v>
      </c>
      <c r="L21" s="44" t="s">
        <v>77</v>
      </c>
      <c r="M21" s="43"/>
      <c r="O21" s="42" t="s">
        <v>53</v>
      </c>
      <c r="P21" s="47">
        <v>843</v>
      </c>
      <c r="Q21" s="44" t="s">
        <v>78</v>
      </c>
      <c r="T21" s="82" t="s">
        <v>151</v>
      </c>
      <c r="U21" s="47">
        <v>862.25</v>
      </c>
      <c r="V21" s="44" t="s">
        <v>78</v>
      </c>
      <c r="W21" s="40"/>
      <c r="X21" s="40"/>
      <c r="Y21" s="78" t="s">
        <v>51</v>
      </c>
      <c r="Z21" s="50">
        <v>0.85709999999999997</v>
      </c>
      <c r="AA21" s="44"/>
      <c r="AB21" s="44"/>
      <c r="AC21" s="51"/>
      <c r="AD21" s="78" t="s">
        <v>152</v>
      </c>
      <c r="AE21" s="52">
        <v>0.18</v>
      </c>
      <c r="AF21" s="75">
        <v>8.9999999999999993E-3</v>
      </c>
      <c r="AG21" s="48" t="s">
        <v>77</v>
      </c>
      <c r="AH21" s="48"/>
      <c r="AI21" s="70" t="s">
        <v>122</v>
      </c>
      <c r="AJ21" s="43">
        <v>86</v>
      </c>
      <c r="AK21" s="48" t="s">
        <v>77</v>
      </c>
      <c r="AL21" s="44"/>
      <c r="AM21" s="40"/>
      <c r="AN21" s="78" t="s">
        <v>152</v>
      </c>
      <c r="AO21" s="47">
        <v>4044</v>
      </c>
      <c r="AP21" s="48" t="s">
        <v>77</v>
      </c>
      <c r="AQ21" s="53"/>
      <c r="AR21" s="40"/>
      <c r="AS21" s="78" t="s">
        <v>51</v>
      </c>
      <c r="AT21" s="47">
        <v>132.97999999999999</v>
      </c>
      <c r="AU21" s="48" t="s">
        <v>79</v>
      </c>
      <c r="AV21" s="53"/>
    </row>
    <row r="22" spans="1:49" ht="24" customHeight="1">
      <c r="A22" s="40" t="s">
        <v>40</v>
      </c>
      <c r="B22" s="41">
        <v>725.93150893056202</v>
      </c>
      <c r="C22" s="41"/>
      <c r="E22" s="78" t="s">
        <v>51</v>
      </c>
      <c r="F22" s="43">
        <v>647.83000000000004</v>
      </c>
      <c r="G22" s="44" t="s">
        <v>78</v>
      </c>
      <c r="H22" s="41"/>
      <c r="I22" s="40"/>
      <c r="J22" s="42" t="s">
        <v>23</v>
      </c>
      <c r="K22" s="43">
        <v>649</v>
      </c>
      <c r="L22" s="44" t="s">
        <v>78</v>
      </c>
      <c r="M22" s="43"/>
      <c r="N22" s="43"/>
      <c r="O22" s="42" t="s">
        <v>23</v>
      </c>
      <c r="P22" s="47">
        <v>849</v>
      </c>
      <c r="Q22" s="44" t="s">
        <v>78</v>
      </c>
      <c r="T22" s="78" t="s">
        <v>152</v>
      </c>
      <c r="U22" s="47">
        <v>912.1</v>
      </c>
      <c r="V22" s="44" t="s">
        <v>78</v>
      </c>
      <c r="W22" s="40"/>
      <c r="X22" s="40"/>
      <c r="Y22" s="78" t="s">
        <v>28</v>
      </c>
      <c r="Z22" s="50">
        <v>0.8629</v>
      </c>
      <c r="AA22" s="44"/>
      <c r="AB22" s="44"/>
      <c r="AC22" s="51"/>
      <c r="AD22" s="78" t="s">
        <v>153</v>
      </c>
      <c r="AE22" s="52">
        <v>0.15</v>
      </c>
      <c r="AF22" s="75">
        <v>4.0000000000000001E-3</v>
      </c>
      <c r="AG22" s="48" t="s">
        <v>77</v>
      </c>
      <c r="AH22" s="44"/>
      <c r="AI22" s="49" t="s">
        <v>86</v>
      </c>
      <c r="AJ22" s="43">
        <v>87</v>
      </c>
      <c r="AK22" s="48" t="s">
        <v>77</v>
      </c>
      <c r="AL22" s="48"/>
      <c r="AM22" s="40"/>
      <c r="AN22" s="82" t="s">
        <v>151</v>
      </c>
      <c r="AO22" s="47">
        <v>4311</v>
      </c>
      <c r="AP22" s="44" t="s">
        <v>78</v>
      </c>
      <c r="AQ22" s="53"/>
      <c r="AR22" s="40"/>
      <c r="AS22" s="78" t="s">
        <v>41</v>
      </c>
      <c r="AT22" s="47">
        <v>138.94999999999999</v>
      </c>
      <c r="AU22" s="44" t="s">
        <v>78</v>
      </c>
      <c r="AV22" s="53"/>
    </row>
    <row r="23" spans="1:49" ht="24" customHeight="1">
      <c r="A23" s="40" t="s">
        <v>53</v>
      </c>
      <c r="B23" s="41">
        <v>726.09157542913113</v>
      </c>
      <c r="C23" s="41"/>
      <c r="E23" s="74" t="s">
        <v>154</v>
      </c>
      <c r="F23" s="41"/>
      <c r="G23" s="41"/>
      <c r="H23" s="41"/>
      <c r="I23" s="40"/>
      <c r="J23" s="42" t="s">
        <v>31</v>
      </c>
      <c r="K23" s="43">
        <v>656.78616533699903</v>
      </c>
      <c r="L23" s="44" t="s">
        <v>78</v>
      </c>
      <c r="M23" s="43"/>
      <c r="N23" s="43"/>
      <c r="O23" s="42" t="s">
        <v>47</v>
      </c>
      <c r="P23" s="47">
        <v>862</v>
      </c>
      <c r="Q23" s="44" t="s">
        <v>78</v>
      </c>
      <c r="T23" s="74" t="s">
        <v>154</v>
      </c>
      <c r="U23" s="40"/>
      <c r="V23" s="40"/>
      <c r="W23" s="40"/>
      <c r="X23" s="40"/>
      <c r="Y23" s="74" t="s">
        <v>154</v>
      </c>
      <c r="AB23" s="44"/>
      <c r="AC23" s="51"/>
      <c r="AD23" s="74" t="s">
        <v>154</v>
      </c>
      <c r="AE23" s="52">
        <v>0.05</v>
      </c>
      <c r="AF23" s="44"/>
      <c r="AG23" s="44"/>
      <c r="AH23" s="44"/>
      <c r="AI23" s="44"/>
      <c r="AJ23" s="44"/>
      <c r="AK23" s="44"/>
      <c r="AL23" s="44"/>
      <c r="AM23" s="40"/>
      <c r="AN23" s="74" t="s">
        <v>154</v>
      </c>
      <c r="AO23" s="53"/>
      <c r="AP23" s="53"/>
      <c r="AQ23" s="53"/>
      <c r="AR23" s="40"/>
      <c r="AS23" s="74" t="s">
        <v>154</v>
      </c>
      <c r="AT23" s="53"/>
      <c r="AU23" s="53"/>
      <c r="AV23" s="53"/>
      <c r="AW23" s="54"/>
    </row>
    <row r="24" spans="1:49" ht="24" customHeight="1">
      <c r="A24" s="40" t="s">
        <v>51</v>
      </c>
      <c r="B24" s="41">
        <v>748.98088551287719</v>
      </c>
      <c r="E24" s="41"/>
      <c r="F24" s="41"/>
      <c r="G24" s="41"/>
      <c r="H24" s="41"/>
      <c r="I24" s="40"/>
      <c r="J24" s="42" t="s">
        <v>29</v>
      </c>
      <c r="K24" s="43">
        <v>679</v>
      </c>
      <c r="L24" s="44" t="s">
        <v>78</v>
      </c>
      <c r="M24" s="43"/>
      <c r="N24" s="43"/>
      <c r="O24" s="34" t="s">
        <v>144</v>
      </c>
      <c r="P24" s="47">
        <v>864</v>
      </c>
      <c r="Q24" s="44" t="s">
        <v>77</v>
      </c>
      <c r="W24" s="40"/>
      <c r="X24" s="40"/>
      <c r="AB24" s="44"/>
      <c r="AC24" s="44"/>
      <c r="AD24" s="44"/>
      <c r="AE24" s="44"/>
      <c r="AF24" s="44"/>
      <c r="AG24" s="44"/>
      <c r="AH24" s="44"/>
      <c r="AI24" s="42" t="s">
        <v>53</v>
      </c>
      <c r="AJ24" s="43">
        <v>88</v>
      </c>
      <c r="AK24" s="44" t="s">
        <v>78</v>
      </c>
      <c r="AL24" s="44"/>
      <c r="AM24" s="40"/>
      <c r="AN24" s="40"/>
      <c r="AO24" s="40"/>
      <c r="AP24" s="40"/>
      <c r="AQ24" s="53"/>
      <c r="AR24" s="40"/>
      <c r="AS24" s="40"/>
      <c r="AT24" s="40"/>
      <c r="AU24" s="40"/>
      <c r="AV24" s="40"/>
      <c r="AW24" s="40"/>
    </row>
    <row r="25" spans="1:49" ht="24" customHeight="1">
      <c r="F25" s="40"/>
      <c r="G25" s="40"/>
      <c r="H25" s="41"/>
      <c r="I25" s="40"/>
      <c r="J25" s="42" t="s">
        <v>40</v>
      </c>
      <c r="K25" s="43">
        <v>694</v>
      </c>
      <c r="L25" s="44" t="s">
        <v>78</v>
      </c>
      <c r="M25" s="43"/>
      <c r="N25" s="43"/>
      <c r="O25" s="42" t="s">
        <v>51</v>
      </c>
      <c r="P25" s="47">
        <v>868</v>
      </c>
      <c r="Q25" s="44" t="s">
        <v>78</v>
      </c>
      <c r="W25" s="40"/>
      <c r="AB25" s="44"/>
      <c r="AC25" s="44"/>
      <c r="AD25" s="44"/>
      <c r="AE25" s="44"/>
      <c r="AF25" s="44"/>
      <c r="AG25" s="44"/>
      <c r="AH25" s="44"/>
      <c r="AI25" s="54" t="s">
        <v>85</v>
      </c>
      <c r="AJ25" s="43">
        <v>89</v>
      </c>
      <c r="AK25" s="48" t="s">
        <v>77</v>
      </c>
      <c r="AL25" s="44"/>
      <c r="AM25" s="40"/>
      <c r="AN25" s="40"/>
      <c r="AO25" s="40"/>
      <c r="AP25" s="40"/>
      <c r="AQ25" s="53"/>
      <c r="AR25" s="40"/>
      <c r="AS25" s="40"/>
      <c r="AT25" s="40"/>
      <c r="AU25" s="40"/>
      <c r="AV25" s="40"/>
      <c r="AW25" s="40"/>
    </row>
    <row r="26" spans="1:49" ht="24" customHeight="1">
      <c r="E26" s="58" t="s">
        <v>35</v>
      </c>
      <c r="F26" s="40"/>
      <c r="G26" s="40"/>
      <c r="H26" s="41"/>
      <c r="I26" s="40"/>
      <c r="J26" s="42" t="s">
        <v>41</v>
      </c>
      <c r="K26" s="43">
        <v>695</v>
      </c>
      <c r="L26" s="44" t="s">
        <v>78</v>
      </c>
      <c r="M26" s="43"/>
      <c r="N26" s="43"/>
      <c r="O26" s="73" t="s">
        <v>143</v>
      </c>
      <c r="P26" s="47">
        <v>872</v>
      </c>
      <c r="Q26" s="48" t="s">
        <v>77</v>
      </c>
      <c r="W26" s="40"/>
      <c r="AB26" s="48"/>
      <c r="AH26" s="44"/>
      <c r="AI26" s="42" t="s">
        <v>29</v>
      </c>
      <c r="AJ26" s="43">
        <v>89</v>
      </c>
      <c r="AK26" s="44" t="s">
        <v>78</v>
      </c>
      <c r="AL26" s="48"/>
      <c r="AM26" s="40"/>
      <c r="AN26" s="40"/>
      <c r="AO26" s="40"/>
      <c r="AP26" s="40"/>
      <c r="AQ26" s="53"/>
      <c r="AR26" s="40"/>
      <c r="AS26" s="40"/>
      <c r="AT26" s="40"/>
      <c r="AU26" s="40"/>
      <c r="AV26" s="40"/>
      <c r="AW26" s="40"/>
    </row>
    <row r="27" spans="1:49" ht="24" customHeight="1">
      <c r="E27" s="59" t="s">
        <v>61</v>
      </c>
      <c r="F27" s="40"/>
      <c r="G27" s="40"/>
      <c r="H27" s="40"/>
      <c r="I27" s="40"/>
      <c r="J27" s="42" t="s">
        <v>53</v>
      </c>
      <c r="K27" s="43">
        <v>731</v>
      </c>
      <c r="L27" s="44" t="s">
        <v>78</v>
      </c>
      <c r="M27" s="43"/>
      <c r="N27" s="40"/>
      <c r="O27" s="42" t="s">
        <v>55</v>
      </c>
      <c r="P27" s="47">
        <v>876</v>
      </c>
      <c r="Q27" s="44" t="s">
        <v>78</v>
      </c>
      <c r="W27" s="40"/>
      <c r="AB27" s="44"/>
      <c r="AH27" s="48"/>
      <c r="AI27" s="42" t="s">
        <v>23</v>
      </c>
      <c r="AJ27" s="43">
        <v>90</v>
      </c>
      <c r="AK27" s="44" t="s">
        <v>78</v>
      </c>
      <c r="AL27" s="44"/>
      <c r="AM27" s="40"/>
      <c r="AN27" s="40"/>
      <c r="AO27" s="40"/>
      <c r="AP27" s="40"/>
      <c r="AQ27" s="53"/>
      <c r="AR27" s="40"/>
      <c r="AS27" s="40"/>
      <c r="AT27" s="40"/>
      <c r="AU27" s="40"/>
      <c r="AV27" s="40"/>
      <c r="AW27" s="40"/>
    </row>
    <row r="28" spans="1:49" ht="24" customHeight="1">
      <c r="E28" s="59" t="s">
        <v>62</v>
      </c>
      <c r="F28" s="40"/>
      <c r="G28" s="40"/>
      <c r="H28" s="40"/>
      <c r="I28" s="40"/>
      <c r="J28" s="42" t="s">
        <v>48</v>
      </c>
      <c r="K28" s="43">
        <v>736</v>
      </c>
      <c r="L28" s="44" t="s">
        <v>78</v>
      </c>
      <c r="M28" s="43"/>
      <c r="N28" s="40"/>
      <c r="O28" s="42" t="s">
        <v>48</v>
      </c>
      <c r="P28" s="47">
        <v>879</v>
      </c>
      <c r="Q28" s="44" t="s">
        <v>78</v>
      </c>
      <c r="W28" s="40"/>
      <c r="AB28" s="44"/>
      <c r="AH28" s="44"/>
      <c r="AI28" s="42" t="s">
        <v>46</v>
      </c>
      <c r="AJ28" s="43">
        <v>91</v>
      </c>
      <c r="AK28" s="44" t="s">
        <v>78</v>
      </c>
      <c r="AL28" s="44"/>
      <c r="AM28" s="40"/>
      <c r="AN28" s="40"/>
      <c r="AO28" s="40"/>
      <c r="AP28" s="40"/>
      <c r="AQ28" s="53"/>
      <c r="AR28" s="40"/>
      <c r="AS28" s="40"/>
      <c r="AT28" s="40"/>
      <c r="AU28" s="40"/>
      <c r="AV28" s="40"/>
      <c r="AW28" s="40"/>
    </row>
    <row r="29" spans="1:49" ht="24" customHeight="1">
      <c r="E29" s="59" t="s">
        <v>63</v>
      </c>
      <c r="H29" s="40"/>
      <c r="J29" s="42" t="s">
        <v>51</v>
      </c>
      <c r="K29" s="43">
        <v>750</v>
      </c>
      <c r="L29" s="44" t="s">
        <v>78</v>
      </c>
      <c r="M29" s="40"/>
      <c r="N29" s="40"/>
      <c r="O29" s="54" t="s">
        <v>19</v>
      </c>
      <c r="P29" s="47">
        <v>883</v>
      </c>
      <c r="Q29" s="44" t="s">
        <v>77</v>
      </c>
      <c r="W29" s="40"/>
      <c r="AB29" s="44"/>
      <c r="AH29" s="48"/>
      <c r="AI29" s="54" t="s">
        <v>87</v>
      </c>
      <c r="AJ29" s="43">
        <v>92</v>
      </c>
      <c r="AK29" s="48" t="s">
        <v>77</v>
      </c>
      <c r="AM29" s="40"/>
      <c r="AN29" s="40"/>
      <c r="AO29" s="40"/>
      <c r="AP29" s="40"/>
      <c r="AQ29" s="47"/>
      <c r="AR29" s="40"/>
      <c r="AS29" s="40"/>
      <c r="AT29" s="40"/>
      <c r="AU29" s="40"/>
      <c r="AV29" s="40"/>
      <c r="AW29" s="40"/>
    </row>
    <row r="30" spans="1:49" ht="24" customHeight="1">
      <c r="E30" s="59" t="s">
        <v>64</v>
      </c>
      <c r="H30" s="40"/>
      <c r="K30" s="64">
        <f>+AVERAGE(K5:K29)</f>
        <v>630.9514466134799</v>
      </c>
      <c r="L30" s="40"/>
      <c r="M30" s="40"/>
      <c r="N30" s="40"/>
      <c r="O30" s="34" t="s">
        <v>24</v>
      </c>
      <c r="P30" s="47">
        <v>892</v>
      </c>
      <c r="Q30" s="44" t="s">
        <v>77</v>
      </c>
      <c r="W30" s="40"/>
      <c r="AB30" s="44"/>
      <c r="AH30" s="48"/>
      <c r="AI30" s="42" t="s">
        <v>31</v>
      </c>
      <c r="AJ30" s="43">
        <v>92.8</v>
      </c>
      <c r="AK30" s="44" t="s">
        <v>78</v>
      </c>
      <c r="AM30" s="40"/>
      <c r="AN30" s="40"/>
      <c r="AO30" s="40"/>
      <c r="AP30" s="40"/>
      <c r="AQ30" s="53"/>
      <c r="AR30" s="40"/>
      <c r="AS30" s="40"/>
      <c r="AT30" s="40"/>
      <c r="AU30" s="40"/>
      <c r="AV30" s="40"/>
      <c r="AW30" s="40"/>
    </row>
    <row r="31" spans="1:49" ht="24" customHeight="1">
      <c r="K31" s="40">
        <f>+(K13-K5)/K5</f>
        <v>0.15076335877862596</v>
      </c>
      <c r="L31" s="40"/>
      <c r="M31" s="40"/>
      <c r="N31" s="40"/>
      <c r="AB31" s="44"/>
      <c r="AH31" s="44"/>
      <c r="AI31" s="42" t="s">
        <v>17</v>
      </c>
      <c r="AJ31" s="43">
        <v>94</v>
      </c>
      <c r="AK31" s="44" t="s">
        <v>78</v>
      </c>
      <c r="AM31" s="40"/>
      <c r="AN31" s="40"/>
      <c r="AO31" s="40"/>
      <c r="AP31" s="40"/>
      <c r="AQ31" s="53"/>
      <c r="AR31" s="40"/>
      <c r="AS31" s="40"/>
      <c r="AT31" s="40"/>
      <c r="AU31" s="40"/>
      <c r="AV31" s="40"/>
      <c r="AW31" s="40"/>
    </row>
    <row r="32" spans="1:49" ht="24" customHeight="1">
      <c r="K32" s="40">
        <f>+(K21-K6)/K6</f>
        <v>0.18853974121996303</v>
      </c>
      <c r="L32" s="40"/>
      <c r="M32" s="40"/>
      <c r="AB32" s="44"/>
      <c r="AH32" s="48"/>
      <c r="AM32" s="40"/>
      <c r="AN32" s="40"/>
      <c r="AO32" s="40"/>
      <c r="AP32" s="40"/>
      <c r="AQ32" s="53"/>
      <c r="AR32" s="40"/>
      <c r="AS32" s="40"/>
      <c r="AT32" s="40"/>
      <c r="AU32" s="40"/>
      <c r="AV32" s="40"/>
      <c r="AW32" s="40"/>
    </row>
    <row r="33" spans="8:49" ht="24" customHeight="1">
      <c r="I33" s="40"/>
      <c r="J33" s="58" t="s">
        <v>35</v>
      </c>
      <c r="K33" s="34">
        <f>+(K29-K21)/K29</f>
        <v>0.14266666666666666</v>
      </c>
      <c r="M33" s="40"/>
      <c r="W33" s="40"/>
      <c r="AB33" s="44"/>
      <c r="AH33" s="48"/>
      <c r="AQ33" s="53"/>
      <c r="AR33" s="42"/>
      <c r="AS33" s="42"/>
      <c r="AT33" s="42"/>
      <c r="AU33" s="42"/>
      <c r="AV33" s="42"/>
      <c r="AW33" s="42"/>
    </row>
    <row r="34" spans="8:49" ht="24" customHeight="1">
      <c r="I34" s="40"/>
      <c r="J34" s="59" t="s">
        <v>61</v>
      </c>
      <c r="K34" s="34">
        <f>+(K18-K13)/K18</f>
        <v>5.0393700787401574E-2</v>
      </c>
      <c r="AB34" s="44"/>
      <c r="AH34" s="48"/>
      <c r="AM34" s="40"/>
      <c r="AN34" s="40"/>
      <c r="AO34" s="40"/>
      <c r="AP34" s="40"/>
      <c r="AR34" s="40"/>
      <c r="AS34" s="40"/>
      <c r="AT34" s="40"/>
      <c r="AU34" s="40"/>
      <c r="AV34" s="40"/>
      <c r="AW34" s="40"/>
    </row>
    <row r="35" spans="8:49" ht="24" customHeight="1">
      <c r="H35" s="40"/>
      <c r="I35" s="40"/>
      <c r="J35" s="59" t="s">
        <v>62</v>
      </c>
      <c r="K35" s="34">
        <f>+(K21-K30)/K21</f>
        <v>1.8738030150109018E-2</v>
      </c>
      <c r="AB35" s="44"/>
    </row>
    <row r="36" spans="8:49" ht="24" customHeight="1">
      <c r="H36" s="40"/>
      <c r="J36" s="59" t="s">
        <v>63</v>
      </c>
      <c r="K36" s="34">
        <v>520</v>
      </c>
      <c r="AB36" s="44"/>
    </row>
    <row r="37" spans="8:49" ht="24" customHeight="1">
      <c r="H37" s="40"/>
      <c r="J37" s="59" t="s">
        <v>64</v>
      </c>
      <c r="K37" s="34">
        <f>+(K21-K36)/K21</f>
        <v>0.19129082426127528</v>
      </c>
      <c r="AB37" s="44"/>
    </row>
    <row r="38" spans="8:49" ht="24" customHeight="1">
      <c r="H38" s="40"/>
      <c r="AB38" s="44"/>
    </row>
    <row r="39" spans="8:49" ht="24" customHeight="1">
      <c r="AB39" s="44"/>
    </row>
    <row r="40" spans="8:49" ht="24" customHeight="1"/>
    <row r="41" spans="8:49" ht="24" customHeight="1"/>
    <row r="42" spans="8:49" ht="24" customHeight="1"/>
    <row r="43" spans="8:49" ht="24" customHeight="1"/>
    <row r="44" spans="8:49" ht="24" customHeight="1"/>
  </sheetData>
  <sortState xmlns:xlrd2="http://schemas.microsoft.com/office/spreadsheetml/2017/richdata2" ref="Y5:Z22">
    <sortCondition ref="Z5:Z22"/>
  </sortState>
  <phoneticPr fontId="20" type="noConversion"/>
  <conditionalFormatting sqref="B5:C7 C8:C20 B8:B22">
    <cfRule type="dataBar" priority="23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{1157E07E-1D0D-42AB-B0F4-BB8777429242}</x14:id>
        </ext>
      </extLst>
    </cfRule>
    <cfRule type="dataBar" priority="2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{798E1DCA-E9B0-4DE8-9070-C6B52839A29E}</x14:id>
        </ext>
      </extLst>
    </cfRule>
    <cfRule type="dataBar" priority="23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{6E87357F-133A-402A-B3DE-7EEEC2C7B7BD}</x14:id>
        </ext>
      </extLst>
    </cfRule>
    <cfRule type="dataBar" priority="23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{F37DB3F1-503C-4A5A-87A8-FC81948C3AB3}</x14:id>
        </ext>
      </extLst>
    </cfRule>
  </conditionalFormatting>
  <conditionalFormatting sqref="C21:C22 B23:B24">
    <cfRule type="dataBar" priority="2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{3D256205-C8FA-4B1D-BACC-21E8FD073D7C}</x14:id>
        </ext>
      </extLst>
    </cfRule>
    <cfRule type="dataBar" priority="22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{FAAC7DFA-BBC1-4A15-B26C-F901E592CF0B}</x14:id>
        </ext>
      </extLst>
    </cfRule>
    <cfRule type="dataBar" priority="22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{A7AF3498-0DA0-4513-A98A-BB676EB5764D}</x14:id>
        </ext>
      </extLst>
    </cfRule>
    <cfRule type="dataBar" priority="22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{4421B674-503B-431D-9081-9875FEE1D569}</x14:id>
        </ext>
      </extLst>
    </cfRule>
  </conditionalFormatting>
  <conditionalFormatting sqref="E11">
    <cfRule type="dataBar" priority="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{0DC9D211-226B-4B14-8D3D-8C36DBE817F7}</x14:id>
        </ext>
      </extLst>
    </cfRule>
  </conditionalFormatting>
  <conditionalFormatting sqref="E24:G24 H7:H12 H14:H26 F23:G23">
    <cfRule type="dataBar" priority="2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{946EA90E-0FC2-4691-8C19-626BFA355704}</x14:id>
        </ext>
      </extLst>
    </cfRule>
    <cfRule type="dataBar" priority="23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{4300886E-C97D-45EE-B99E-99F833396875}</x14:id>
        </ext>
      </extLst>
    </cfRule>
    <cfRule type="dataBar" priority="23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{1CEBDEB8-6A41-49AE-B1DC-19E055527CFB}</x14:id>
        </ext>
      </extLst>
    </cfRule>
    <cfRule type="dataBar" priority="233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{220943AF-C3B8-48D9-92DE-5F731C5A2B93}</x14:id>
        </ext>
      </extLst>
    </cfRule>
    <cfRule type="dataBar" priority="233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{04C50C75-9DD6-4751-8BC1-2CE95875A946}</x14:id>
        </ext>
      </extLst>
    </cfRule>
    <cfRule type="dataBar" priority="2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{6760726F-C63E-4641-BAC0-5A2D1038FD01}</x14:id>
        </ext>
      </extLst>
    </cfRule>
    <cfRule type="dataBar" priority="233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{B4F17549-9C0D-425B-93B8-3C9A72E188C3}</x14:id>
        </ext>
      </extLst>
    </cfRule>
    <cfRule type="dataBar" priority="233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{43E9F1EB-264F-4178-85FD-217D54A9E927}</x14:id>
        </ext>
      </extLst>
    </cfRule>
    <cfRule type="dataBar" priority="233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{0D622835-5302-42D6-B4CA-B0C47742EE69}</x14:id>
        </ext>
      </extLst>
    </cfRule>
    <cfRule type="dataBar" priority="2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{797F2B88-AB64-406F-AE42-4330C959C6A0}</x14:id>
        </ext>
      </extLst>
    </cfRule>
    <cfRule type="dataBar" priority="23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{3857A504-0E9B-42AC-9195-C9E80F5248AF}</x14:id>
        </ext>
      </extLst>
    </cfRule>
    <cfRule type="dataBar" priority="2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{1FF88DEC-AC70-4F89-822E-CEB55E32408D}</x14:id>
        </ext>
      </extLst>
    </cfRule>
  </conditionalFormatting>
  <conditionalFormatting sqref="E24:G24 H7:H26 F23:G23">
    <cfRule type="dataBar" priority="710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{A00FB474-3CF8-4FD6-82B3-3BF89CB5FAE3}</x14:id>
        </ext>
      </extLst>
    </cfRule>
  </conditionalFormatting>
  <conditionalFormatting sqref="F5:F20">
    <cfRule type="dataBar" priority="112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{FE2A2331-2E19-4C71-A155-1640556CFA65}</x14:id>
        </ext>
      </extLst>
    </cfRule>
    <cfRule type="dataBar" priority="11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{50B26C66-861B-4074-80C7-96676452528E}</x14:id>
        </ext>
      </extLst>
    </cfRule>
    <cfRule type="dataBar" priority="112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{FDB73170-2F24-480A-ABB6-8DAA2A5DF4F6}</x14:id>
        </ext>
      </extLst>
    </cfRule>
    <cfRule type="dataBar" priority="112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{51D771CB-C54B-4FAE-80F2-E6BAE6374406}</x14:id>
        </ext>
      </extLst>
    </cfRule>
    <cfRule type="dataBar" priority="1128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{5E6ACF41-F336-4F1F-959D-2F11D7A0ADC5}</x14:id>
        </ext>
      </extLst>
    </cfRule>
    <cfRule type="dataBar" priority="1128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{BE449AB2-573C-4BB9-8178-FB3E1B1C67F0}</x14:id>
        </ext>
      </extLst>
    </cfRule>
    <cfRule type="dataBar" priority="1128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{809204B1-082D-4C77-BCEE-59EBCD320DA7}</x14:id>
        </ext>
      </extLst>
    </cfRule>
    <cfRule type="dataBar" priority="1128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{2A5EA425-5E2F-4A5D-8EB7-9DA03AF2250B}</x14:id>
        </ext>
      </extLst>
    </cfRule>
    <cfRule type="dataBar" priority="11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{4BC8E74A-7111-4A13-AA42-83DACDE8C194}</x14:id>
        </ext>
      </extLst>
    </cfRule>
    <cfRule type="dataBar" priority="112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{99B5B84B-6040-4DE0-B3D4-C84E1AB0AFF3}</x14:id>
        </ext>
      </extLst>
    </cfRule>
    <cfRule type="dataBar" priority="1128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{9D4926DE-337F-4D10-AF1D-D53B39600329}</x14:id>
        </ext>
      </extLst>
    </cfRule>
    <cfRule type="dataBar" priority="1128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{731B4A4E-A752-4A7A-854B-9F7306299A19}</x14:id>
        </ext>
      </extLst>
    </cfRule>
    <cfRule type="dataBar" priority="112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{9DFFC953-F185-4776-87CE-15A6358DA520}</x14:id>
        </ext>
      </extLst>
    </cfRule>
    <cfRule type="dataBar" priority="1129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{70BBB7CF-ECD4-43FE-A69B-6B27364FE12F}</x14:id>
        </ext>
      </extLst>
    </cfRule>
    <cfRule type="dataBar" priority="1128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{08470A8D-DAF9-42D3-B156-1719F6EAAC6A}</x14:id>
        </ext>
      </extLst>
    </cfRule>
    <cfRule type="dataBar" priority="1129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{0B3580BB-766B-45F0-984C-D94D2EA55C87}</x14:id>
        </ext>
      </extLst>
    </cfRule>
    <cfRule type="dataBar" priority="1129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{DD833481-A3B2-4620-A4B0-BF5A5CCD34A3}</x14:id>
        </ext>
      </extLst>
    </cfRule>
    <cfRule type="dataBar" priority="11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{FE6E781B-8AB5-46FF-B30E-DC20A77911FE}</x14:id>
        </ext>
      </extLst>
    </cfRule>
  </conditionalFormatting>
  <conditionalFormatting sqref="F5:F21">
    <cfRule type="dataBar" priority="113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{0617067E-06A6-4B60-B670-9967D7D65F7A}</x14:id>
        </ext>
      </extLst>
    </cfRule>
    <cfRule type="dataBar" priority="113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{E35CE75D-F30B-4524-8E35-C31C0D16C436}</x14:id>
        </ext>
      </extLst>
    </cfRule>
  </conditionalFormatting>
  <conditionalFormatting sqref="F5:F22">
    <cfRule type="dataBar" priority="113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{AD4E9719-3C12-402C-8E8D-5838D80F6398}</x14:id>
        </ext>
      </extLst>
    </cfRule>
    <cfRule type="dataBar" priority="6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{CA32260E-FF36-44F1-88DF-2AEFB0E43957}</x14:id>
        </ext>
      </extLst>
    </cfRule>
    <cfRule type="dataBar" priority="113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{6BA0295D-3BE7-4A15-ADFF-CAF181883119}</x14:id>
        </ext>
      </extLst>
    </cfRule>
    <cfRule type="dataBar" priority="1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{2B39F765-170D-4C1A-A32B-D4894691A6D3}</x14:id>
        </ext>
      </extLst>
    </cfRule>
    <cfRule type="dataBar" priority="113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{0B9623CB-2F4A-4C0B-90F1-8756878C5608}</x14:id>
        </ext>
      </extLst>
    </cfRule>
  </conditionalFormatting>
  <conditionalFormatting sqref="F21">
    <cfRule type="dataBar" priority="693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{C83F522B-7219-4F0A-8424-AA3CEB4ADEF8}</x14:id>
        </ext>
      </extLst>
    </cfRule>
    <cfRule type="dataBar" priority="69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{064DBA0F-1609-42EC-A57E-03FC8B0D4436}</x14:id>
        </ext>
      </extLst>
    </cfRule>
    <cfRule type="dataBar" priority="6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{9BAEC06C-8D3E-4083-9623-FEAE85FE03D8}</x14:id>
        </ext>
      </extLst>
    </cfRule>
    <cfRule type="dataBar" priority="693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{270D52F3-8806-41E5-BE58-4C34DDEC388F}</x14:id>
        </ext>
      </extLst>
    </cfRule>
    <cfRule type="dataBar" priority="693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{575EF5EC-83D7-4B15-AA38-6E98F435269D}</x14:id>
        </ext>
      </extLst>
    </cfRule>
    <cfRule type="dataBar" priority="69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{A40A4C2A-67E6-4092-BFE9-8D35DCBBBFC4}</x14:id>
        </ext>
      </extLst>
    </cfRule>
    <cfRule type="dataBar" priority="693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{52249FFB-7AA8-4E13-B473-6E5A2C831BA2}</x14:id>
        </ext>
      </extLst>
    </cfRule>
    <cfRule type="dataBar" priority="69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{6F5E619E-1F53-4876-983E-94F09876C4E1}</x14:id>
        </ext>
      </extLst>
    </cfRule>
    <cfRule type="dataBar" priority="693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{6DFF2402-A50D-478F-967D-20420933C9A6}</x14:id>
        </ext>
      </extLst>
    </cfRule>
    <cfRule type="dataBar" priority="6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{FD31926E-33C4-4B78-837A-61CE1E345C6B}</x14:id>
        </ext>
      </extLst>
    </cfRule>
    <cfRule type="dataBar" priority="694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{2942FD98-76B1-418E-B2CF-E95A1CF7EC11}</x14:id>
        </ext>
      </extLst>
    </cfRule>
    <cfRule type="dataBar" priority="69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{D22245A1-ED9B-49FD-AD95-5239B0951BDB}</x14:id>
        </ext>
      </extLst>
    </cfRule>
    <cfRule type="dataBar" priority="694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{C7179D7D-DA8A-4A32-A0BC-FED9421D4EBE}</x14:id>
        </ext>
      </extLst>
    </cfRule>
    <cfRule type="dataBar" priority="69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{ED945137-380A-4912-A3D9-05F2F604664C}</x14:id>
        </ext>
      </extLst>
    </cfRule>
    <cfRule type="dataBar" priority="69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{F12C4C44-04EB-4583-9014-50CD03880A32}</x14:id>
        </ext>
      </extLst>
    </cfRule>
    <cfRule type="dataBar" priority="6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{B4DBDA5A-22E0-4313-9267-612781973306}</x14:id>
        </ext>
      </extLst>
    </cfRule>
    <cfRule type="dataBar" priority="693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{F052ECFD-86DB-4ED0-BE12-5445922B3CBA}</x14:id>
        </ext>
      </extLst>
    </cfRule>
  </conditionalFormatting>
  <conditionalFormatting sqref="F22">
    <cfRule type="dataBar" priority="1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{59C31F20-ED48-46E6-9BCC-3F1CB2582BBB}</x14:id>
        </ext>
      </extLst>
    </cfRule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{EB789892-0EDA-4A24-A50B-13B0C4C92D33}</x14:id>
        </ext>
      </extLst>
    </cfRule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{0DBF6997-24F4-46A0-A6E1-CBD25734CB25}</x14:id>
        </ext>
      </extLst>
    </cfRule>
    <cfRule type="dataBar" priority="1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{682DA9E1-1766-420F-88D0-3FD9DD787E0B}</x14:id>
        </ext>
      </extLst>
    </cfRule>
    <cfRule type="dataBar" priority="18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{57D28720-87CF-4750-84FC-7D3966AC193D}</x14:id>
        </ext>
      </extLst>
    </cfRule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{86BB748D-9440-4159-9531-F022E8CDE01A}</x14:id>
        </ext>
      </extLst>
    </cfRule>
    <cfRule type="dataBar" priority="1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{7C85A24C-9E30-41CE-9E55-97BA627C4679}</x14:id>
        </ext>
      </extLst>
    </cfRule>
    <cfRule type="dataBar" priority="1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{CC78C300-F45A-4567-8823-47CD0412C5A2}</x14:id>
        </ext>
      </extLst>
    </cfRule>
    <cfRule type="dataBar" priority="18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{843F55FA-D4B1-4525-9738-73170FA10146}</x14:id>
        </ext>
      </extLst>
    </cfRule>
    <cfRule type="dataBar" priority="1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{DDCEBBEC-AF87-4E00-9392-307DBAA0B464}</x14:id>
        </ext>
      </extLst>
    </cfRule>
    <cfRule type="dataBar" priority="16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{DBB54B93-80A6-44C7-95F6-D6E328603A59}</x14:id>
        </ext>
      </extLst>
    </cfRule>
    <cfRule type="dataBar" priority="16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{27A782C8-0298-4932-94F5-57402064304C}</x14:id>
        </ext>
      </extLst>
    </cfRule>
    <cfRule type="dataBar" priority="16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{E6BE12AA-0294-492E-A3D2-2E17930C9DA7}</x14:id>
        </ext>
      </extLst>
    </cfRule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{E7B6AD6D-9B6F-42B7-9ED7-03D73129410B}</x14:id>
        </ext>
      </extLst>
    </cfRule>
    <cfRule type="dataBar" priority="16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{9140913B-D1DD-4F21-8128-5CDC410F40E4}</x14:id>
        </ext>
      </extLst>
    </cfRule>
    <cfRule type="dataBar" priority="17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{FD2E4480-3335-481A-8461-9C116B35952E}</x14:id>
        </ext>
      </extLst>
    </cfRule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{9A43ED86-B939-47CA-8975-97757195298D}</x14:id>
        </ext>
      </extLst>
    </cfRule>
    <cfRule type="dataBar" priority="1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{00C14533-A513-40AB-ABD7-C1230B8D1C28}</x14:id>
        </ext>
      </extLst>
    </cfRule>
    <cfRule type="dataBar" priority="17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{6E0FE576-0675-47DB-BB95-AAC3D5B6BA52}</x14:id>
        </ext>
      </extLst>
    </cfRule>
  </conditionalFormatting>
  <conditionalFormatting sqref="G5">
    <cfRule type="dataBar" priority="199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{8A9DD67A-0B82-4D7A-B72C-55D334D5AA0B}</x14:id>
        </ext>
      </extLst>
    </cfRule>
    <cfRule type="dataBar" priority="19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{BCCD82F8-EC53-47D8-B5D4-F56D4D79BACF}</x14:id>
        </ext>
      </extLst>
    </cfRule>
    <cfRule type="dataBar" priority="199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{B0C79161-3BBA-4713-B28F-E9528B42F03B}</x14:id>
        </ext>
      </extLst>
    </cfRule>
    <cfRule type="dataBar" priority="1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{B2CFE87F-C904-448D-9C57-016722594E2D}</x14:id>
        </ext>
      </extLst>
    </cfRule>
    <cfRule type="dataBar" priority="19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{EC71CD58-7115-49E5-BBF3-D59E00E277BD}</x14:id>
        </ext>
      </extLst>
    </cfRule>
    <cfRule type="dataBar" priority="198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{D4AB034F-CA89-413C-A0E6-CE1A35B7779B}</x14:id>
        </ext>
      </extLst>
    </cfRule>
    <cfRule type="dataBar" priority="196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{D17C16EB-C1F3-4E6A-B7A1-9FF969178F5B}</x14:id>
        </ext>
      </extLst>
    </cfRule>
    <cfRule type="dataBar" priority="19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{579D2AEE-245A-47F2-83E3-173C3F96DE30}</x14:id>
        </ext>
      </extLst>
    </cfRule>
  </conditionalFormatting>
  <conditionalFormatting sqref="G5:G14">
    <cfRule type="dataBar" priority="113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{C977C15D-3EAE-49EC-8025-4AE20BA84B6E}</x14:id>
        </ext>
      </extLst>
    </cfRule>
  </conditionalFormatting>
  <conditionalFormatting sqref="G6">
    <cfRule type="dataBar" priority="1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{7E0B829C-1740-4350-9BC2-BBE290374AF6}</x14:id>
        </ext>
      </extLst>
    </cfRule>
    <cfRule type="dataBar" priority="19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{E6B6E917-C89B-4FD3-97DF-9DE98D4F6FD3}</x14:id>
        </ext>
      </extLst>
    </cfRule>
    <cfRule type="dataBar" priority="19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{DDCC9984-40E3-420F-B62A-B4E90E87C11F}</x14:id>
        </ext>
      </extLst>
    </cfRule>
    <cfRule type="dataBar" priority="19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{86D3C90C-4B33-4371-B965-F704BE70094D}</x14:id>
        </ext>
      </extLst>
    </cfRule>
    <cfRule type="dataBar" priority="19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{A19BD152-E719-44A5-978C-2C96E531B8CC}</x14:id>
        </ext>
      </extLst>
    </cfRule>
    <cfRule type="dataBar" priority="19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{349F4F06-517B-431F-8447-BF959F9D874F}</x14:id>
        </ext>
      </extLst>
    </cfRule>
    <cfRule type="dataBar" priority="19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{F22D828F-0702-4346-8F3D-832F3A24A594}</x14:id>
        </ext>
      </extLst>
    </cfRule>
    <cfRule type="dataBar" priority="193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{8643E651-964D-4FFD-97CE-9E7D497F050B}</x14:id>
        </ext>
      </extLst>
    </cfRule>
  </conditionalFormatting>
  <conditionalFormatting sqref="G7">
    <cfRule type="dataBar" priority="1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{D18C617D-C231-4546-B148-11412216907C}</x14:id>
        </ext>
      </extLst>
    </cfRule>
    <cfRule type="dataBar" priority="19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{0BD1A28E-7C9A-4C97-A83E-552DF0668705}</x14:id>
        </ext>
      </extLst>
    </cfRule>
    <cfRule type="dataBar" priority="19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{6F94FB5A-7141-41D7-8459-21D9C6B0E06B}</x14:id>
        </ext>
      </extLst>
    </cfRule>
    <cfRule type="dataBar" priority="19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{5A975864-B98E-4ACB-9DB7-8CD16362D191}</x14:id>
        </ext>
      </extLst>
    </cfRule>
    <cfRule type="dataBar" priority="19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{464BDC83-1625-4D75-A9B9-76BA85FCB993}</x14:id>
        </ext>
      </extLst>
    </cfRule>
    <cfRule type="dataBar" priority="19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{78B1DB8C-C34D-40D4-B4A5-41B71D87A230}</x14:id>
        </ext>
      </extLst>
    </cfRule>
    <cfRule type="dataBar" priority="19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{7DAE4741-60A6-48A6-AF50-423FA8369A64}</x14:id>
        </ext>
      </extLst>
    </cfRule>
    <cfRule type="dataBar" priority="19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{62B364F4-C148-43F4-BFE6-C1FC413DE3BE}</x14:id>
        </ext>
      </extLst>
    </cfRule>
  </conditionalFormatting>
  <conditionalFormatting sqref="G9">
    <cfRule type="dataBar" priority="191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{5E89B3B7-26F3-4B3A-B016-769D0EE55031}</x14:id>
        </ext>
      </extLst>
    </cfRule>
    <cfRule type="dataBar" priority="1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{553B16FA-B8E3-4207-8102-B59D77E0194E}</x14:id>
        </ext>
      </extLst>
    </cfRule>
    <cfRule type="dataBar" priority="19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{768D32B6-3D4A-475F-AD84-7E74D29C73BF}</x14:id>
        </ext>
      </extLst>
    </cfRule>
    <cfRule type="dataBar" priority="19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{DC149B7D-6B79-45E8-AA4C-EE7526616A80}</x14:id>
        </ext>
      </extLst>
    </cfRule>
    <cfRule type="dataBar" priority="19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{A0AD0F2E-64C1-416D-BA7A-F57315D7DF12}</x14:id>
        </ext>
      </extLst>
    </cfRule>
    <cfRule type="dataBar" priority="19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{0D23CC4F-DF38-43F7-B72B-8B10B1CB64B4}</x14:id>
        </ext>
      </extLst>
    </cfRule>
    <cfRule type="dataBar" priority="19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{3B5D8757-42F5-4780-B499-950735034B4F}</x14:id>
        </ext>
      </extLst>
    </cfRule>
    <cfRule type="dataBar" priority="191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{A7BE18FB-7B5E-42A5-994A-C04AD8FB9329}</x14:id>
        </ext>
      </extLst>
    </cfRule>
  </conditionalFormatting>
  <conditionalFormatting sqref="G10">
    <cfRule type="dataBar" priority="1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{8D76AD1B-2E51-4777-8855-BDE2928CF2E2}</x14:id>
        </ext>
      </extLst>
    </cfRule>
    <cfRule type="dataBar" priority="19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{4F521064-9F51-450A-AFAC-3EEDFBDA5C14}</x14:id>
        </ext>
      </extLst>
    </cfRule>
    <cfRule type="dataBar" priority="19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{55852CAC-D3EB-4A6E-B0FC-161967F5AB6F}</x14:id>
        </ext>
      </extLst>
    </cfRule>
    <cfRule type="dataBar" priority="19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{CD52896D-E963-4A3E-BB53-5A649D1D88CE}</x14:id>
        </ext>
      </extLst>
    </cfRule>
    <cfRule type="dataBar" priority="1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{238737BF-D832-4D65-8C04-AFF1D3CDA834}</x14:id>
        </ext>
      </extLst>
    </cfRule>
    <cfRule type="dataBar" priority="191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{4FBCFD07-34BB-4481-93FA-083B412B8777}</x14:id>
        </ext>
      </extLst>
    </cfRule>
    <cfRule type="dataBar" priority="19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{C4B7980F-3E4F-427A-9798-4052503D7D62}</x14:id>
        </ext>
      </extLst>
    </cfRule>
    <cfRule type="dataBar" priority="19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{EEAA0438-170C-40B3-A483-D73978AEF007}</x14:id>
        </ext>
      </extLst>
    </cfRule>
  </conditionalFormatting>
  <conditionalFormatting sqref="G11">
    <cfRule type="dataBar" priority="197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{A045535E-17AD-43DF-AFBE-FCF19CC25204}</x14:id>
        </ext>
      </extLst>
    </cfRule>
    <cfRule type="dataBar" priority="197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{4A8242E6-A003-42AE-B6AC-9BA8EF08DEF6}</x14:id>
        </ext>
      </extLst>
    </cfRule>
    <cfRule type="dataBar" priority="19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{9DAC9660-6913-4124-B7E7-965307D4B5A8}</x14:id>
        </ext>
      </extLst>
    </cfRule>
    <cfRule type="dataBar" priority="190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{0AE9AE39-94DA-4803-A4D2-03A64DDBC6D1}</x14:id>
        </ext>
      </extLst>
    </cfRule>
    <cfRule type="dataBar" priority="197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{A2A8D621-5677-4904-A0CD-35E5BD50C91D}</x14:id>
        </ext>
      </extLst>
    </cfRule>
    <cfRule type="dataBar" priority="197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{59CCF0F1-8CD6-4118-A4C5-EED3FC29563B}</x14:id>
        </ext>
      </extLst>
    </cfRule>
    <cfRule type="dataBar" priority="197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{91063824-3AEA-417B-B6A6-6DC7C925F1F7}</x14:id>
        </ext>
      </extLst>
    </cfRule>
    <cfRule type="dataBar" priority="197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{9803359B-AB1D-404B-AD26-19EDAB0695CF}</x14:id>
        </ext>
      </extLst>
    </cfRule>
    <cfRule type="dataBar" priority="197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{4423F9EE-ED47-4540-ABB1-3C0DEF0BC11B}</x14:id>
        </ext>
      </extLst>
    </cfRule>
    <cfRule type="dataBar" priority="1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{37AD79F9-B9BB-443A-94EB-0A876C9173A7}</x14:id>
        </ext>
      </extLst>
    </cfRule>
    <cfRule type="dataBar" priority="19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{F1B6ED27-0936-4DE4-8EF9-211F22E5604C}</x14:id>
        </ext>
      </extLst>
    </cfRule>
    <cfRule type="dataBar" priority="19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{E68525FC-6294-44E1-B87E-661CFFCCABB0}</x14:id>
        </ext>
      </extLst>
    </cfRule>
    <cfRule type="dataBar" priority="19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{8142C47D-D854-4292-9E6E-561C2DD1DB5D}</x14:id>
        </ext>
      </extLst>
    </cfRule>
    <cfRule type="dataBar" priority="19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{42D8EB3A-D8B3-4E19-AA36-135FF5D85468}</x14:id>
        </ext>
      </extLst>
    </cfRule>
    <cfRule type="dataBar" priority="190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{100A9A74-4F38-4D94-B18F-79C79D62408C}</x14:id>
        </ext>
      </extLst>
    </cfRule>
    <cfRule type="dataBar" priority="19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{F38738DD-CEE1-427E-BA1C-2C2E3264B5B1}</x14:id>
        </ext>
      </extLst>
    </cfRule>
    <cfRule type="dataBar" priority="196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{E55221BE-B0B1-4923-A548-4B4950243CB8}</x14:id>
        </ext>
      </extLst>
    </cfRule>
    <cfRule type="dataBar" priority="19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{FAA6B780-6B08-490F-AF29-3EAE22658699}</x14:id>
        </ext>
      </extLst>
    </cfRule>
    <cfRule type="dataBar" priority="19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{CFEFD274-5A64-4565-BEA8-17F5CC363C9B}</x14:id>
        </ext>
      </extLst>
    </cfRule>
  </conditionalFormatting>
  <conditionalFormatting sqref="G12">
    <cfRule type="dataBar" priority="1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{EFF386DD-2A8B-4B71-8C6F-2B39E43E83BA}</x14:id>
        </ext>
      </extLst>
    </cfRule>
    <cfRule type="dataBar" priority="194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{4AE328A0-4EE4-4A21-AAF5-83B23CD887C9}</x14:id>
        </ext>
      </extLst>
    </cfRule>
    <cfRule type="dataBar" priority="194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{E97D37F8-7843-4652-A123-61918CE0F046}</x14:id>
        </ext>
      </extLst>
    </cfRule>
    <cfRule type="dataBar" priority="194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{BC0FF7E1-EB00-4618-B6A6-C3865B1B262E}</x14:id>
        </ext>
      </extLst>
    </cfRule>
    <cfRule type="dataBar" priority="19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{1555B573-D690-4E81-A1CD-0F8FAC740FEF}</x14:id>
        </ext>
      </extLst>
    </cfRule>
    <cfRule type="dataBar" priority="19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{C8A6B7B0-D241-4414-9CFF-2CE2E69C7BDC}</x14:id>
        </ext>
      </extLst>
    </cfRule>
    <cfRule type="dataBar" priority="19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{222AA330-B4DF-4302-81E0-86D80D5B549C}</x14:id>
        </ext>
      </extLst>
    </cfRule>
    <cfRule type="dataBar" priority="189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{A61F00B3-91CD-4118-94B8-67C28AC978AB}</x14:id>
        </ext>
      </extLst>
    </cfRule>
    <cfRule type="dataBar" priority="19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{272A3E91-DA97-4BFD-9AE7-63CA38B6E487}</x14:id>
        </ext>
      </extLst>
    </cfRule>
    <cfRule type="dataBar" priority="194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{9554C25C-1006-4468-B0E6-E7E7DA1A2B3A}</x14:id>
        </ext>
      </extLst>
    </cfRule>
    <cfRule type="dataBar" priority="1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{417B85E4-BD4F-4059-A4F9-6AEA1FBBCF65}</x14:id>
        </ext>
      </extLst>
    </cfRule>
    <cfRule type="dataBar" priority="1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{F56E90CE-0C0A-4BFD-945C-FB39ED11C018}</x14:id>
        </ext>
      </extLst>
    </cfRule>
    <cfRule type="dataBar" priority="19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{49BC6923-7C23-4046-A56C-8D3C23D75F30}</x14:id>
        </ext>
      </extLst>
    </cfRule>
    <cfRule type="dataBar" priority="195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{EBE4EB54-CF08-4437-B3C9-C37220209220}</x14:id>
        </ext>
      </extLst>
    </cfRule>
    <cfRule type="dataBar" priority="19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{19B8A192-56BC-404B-ABB1-E5F6EFDCB49A}</x14:id>
        </ext>
      </extLst>
    </cfRule>
    <cfRule type="dataBar" priority="1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{396C16F0-6822-47C7-AB39-917A5202BF20}</x14:id>
        </ext>
      </extLst>
    </cfRule>
    <cfRule type="dataBar" priority="1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{E6B8F461-6C83-4AA7-8E16-1B571327B7A9}</x14:id>
        </ext>
      </extLst>
    </cfRule>
    <cfRule type="dataBar" priority="19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{3DE8F5D9-DE81-4AE9-B44D-319D8096BA4C}</x14:id>
        </ext>
      </extLst>
    </cfRule>
    <cfRule type="dataBar" priority="19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{896414CA-A3B1-4131-AFD5-0500A131B6C8}</x14:id>
        </ext>
      </extLst>
    </cfRule>
    <cfRule type="dataBar" priority="19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{D88931C0-1367-4C63-9C8C-649C2E76E4D0}</x14:id>
        </ext>
      </extLst>
    </cfRule>
    <cfRule type="dataBar" priority="18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{58F173E6-91EF-4D7C-86CD-E94A2A579AA2}</x14:id>
        </ext>
      </extLst>
    </cfRule>
    <cfRule type="dataBar" priority="19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{13CD5199-E3E0-4CC5-9DB3-707443FC8371}</x14:id>
        </ext>
      </extLst>
    </cfRule>
    <cfRule type="dataBar" priority="190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{486D27E5-8AE5-48AD-8C1C-F610B5A40344}</x14:id>
        </ext>
      </extLst>
    </cfRule>
    <cfRule type="dataBar" priority="18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{39B450B8-F4A9-4AD2-A9A2-310E95C626DD}</x14:id>
        </ext>
      </extLst>
    </cfRule>
    <cfRule type="dataBar" priority="189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{14F7115E-16AC-4B1A-81DD-CE88BDC28FFF}</x14:id>
        </ext>
      </extLst>
    </cfRule>
    <cfRule type="dataBar" priority="189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{7E01751D-70AE-4697-AB84-BD0811FB358F}</x14:id>
        </ext>
      </extLst>
    </cfRule>
    <cfRule type="dataBar" priority="19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{A96B8EA9-9BB5-4B44-A5A0-0F654C9C79CF}</x14:id>
        </ext>
      </extLst>
    </cfRule>
    <cfRule type="dataBar" priority="19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{F09001C1-4F7D-42E5-89AD-6871D1B554B8}</x14:id>
        </ext>
      </extLst>
    </cfRule>
    <cfRule type="dataBar" priority="195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{355CB0A7-A814-4115-A7EB-183C15778E37}</x14:id>
        </ext>
      </extLst>
    </cfRule>
    <cfRule type="dataBar" priority="189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{5148DFC4-AF68-4365-8BD4-7F90E23D5059}</x14:id>
        </ext>
      </extLst>
    </cfRule>
    <cfRule type="dataBar" priority="189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{D334CBBD-50BF-4198-A407-002973B5CA7A}</x14:id>
        </ext>
      </extLst>
    </cfRule>
    <cfRule type="dataBar" priority="1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{B52BCE0E-8B8A-4BD7-8BA6-7AC7A68DCB29}</x14:id>
        </ext>
      </extLst>
    </cfRule>
    <cfRule type="dataBar" priority="189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{F4C6CE8A-AF8C-4955-966D-67A71A771C8D}</x14:id>
        </ext>
      </extLst>
    </cfRule>
    <cfRule type="dataBar" priority="194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{DDAEC481-3490-4710-8A0A-2038BEC8C836}</x14:id>
        </ext>
      </extLst>
    </cfRule>
    <cfRule type="dataBar" priority="18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{35C1D890-5C28-45CE-AD2F-8BEBE4E0AEBB}</x14:id>
        </ext>
      </extLst>
    </cfRule>
    <cfRule type="dataBar" priority="18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{E4DEED4C-0E37-4B30-B1CA-047D04F75589}</x14:id>
        </ext>
      </extLst>
    </cfRule>
    <cfRule type="dataBar" priority="18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{7A4F9349-15D5-4012-A671-D99CEA1E9892}</x14:id>
        </ext>
      </extLst>
    </cfRule>
    <cfRule type="dataBar" priority="1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{E3087C29-A926-4009-9E6B-0C3B7F185022}</x14:id>
        </ext>
      </extLst>
    </cfRule>
    <cfRule type="dataBar" priority="18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{ED124AEE-FF17-4566-8E86-9C5B7C651B06}</x14:id>
        </ext>
      </extLst>
    </cfRule>
    <cfRule type="dataBar" priority="18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{054B75C4-FF77-4CA2-9037-DB67859E5D14}</x14:id>
        </ext>
      </extLst>
    </cfRule>
    <cfRule type="dataBar" priority="18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{A1544174-5FD9-433F-948D-369535578D06}</x14:id>
        </ext>
      </extLst>
    </cfRule>
    <cfRule type="dataBar" priority="188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{1A5F0D1B-7929-479E-AB6C-E89E6BFC1C74}</x14:id>
        </ext>
      </extLst>
    </cfRule>
    <cfRule type="dataBar" priority="188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{BC2349A7-C5AA-475F-B575-91B8CFD64B96}</x14:id>
        </ext>
      </extLst>
    </cfRule>
  </conditionalFormatting>
  <conditionalFormatting sqref="G13">
    <cfRule type="dataBar" priority="198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{D77DBD60-FDCE-4F4A-A3EE-F888DEEB4A6B}</x14:id>
        </ext>
      </extLst>
    </cfRule>
    <cfRule type="dataBar" priority="198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{06A3A692-F5F4-4DA7-A6CE-0914318C85A3}</x14:id>
        </ext>
      </extLst>
    </cfRule>
    <cfRule type="dataBar" priority="19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{BAA0B77E-B0AE-4762-A6D3-62298F40FC48}</x14:id>
        </ext>
      </extLst>
    </cfRule>
    <cfRule type="dataBar" priority="19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{E87FB8C0-EC81-491A-B26D-E0F361CFEB14}</x14:id>
        </ext>
      </extLst>
    </cfRule>
    <cfRule type="dataBar" priority="198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{F4C64E97-C037-4EB7-BDB9-2B694A008334}</x14:id>
        </ext>
      </extLst>
    </cfRule>
    <cfRule type="dataBar" priority="1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{444A7D6B-C904-44DC-A529-226B22A6027D}</x14:id>
        </ext>
      </extLst>
    </cfRule>
    <cfRule type="dataBar" priority="19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{5B622DFE-C3B2-4176-91C7-F98CCE3ADA97}</x14:id>
        </ext>
      </extLst>
    </cfRule>
    <cfRule type="dataBar" priority="198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{D17DD5D4-0200-4EE1-B74B-D130C4C5E72F}</x14:id>
        </ext>
      </extLst>
    </cfRule>
    <cfRule type="dataBar" priority="198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{0BF9FC6F-435F-4BD7-8DE2-7C67F0D69B73}</x14:id>
        </ext>
      </extLst>
    </cfRule>
    <cfRule type="dataBar" priority="1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{2A6981B2-9558-4332-B74A-B16A67A819F4}</x14:id>
        </ext>
      </extLst>
    </cfRule>
  </conditionalFormatting>
  <conditionalFormatting sqref="G13:G14 G5:G11">
    <cfRule type="dataBar" priority="113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{CB24C54F-F572-413C-91FF-C66DA2E294B8}</x14:id>
        </ext>
      </extLst>
    </cfRule>
    <cfRule type="dataBar" priority="11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{C8097C3C-B411-4737-9A54-849CA4737437}</x14:id>
        </ext>
      </extLst>
    </cfRule>
    <cfRule type="dataBar" priority="11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{92B2C60E-D544-4283-9283-19B5B3012831}</x14:id>
        </ext>
      </extLst>
    </cfRule>
    <cfRule type="dataBar" priority="1133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{722E2685-2AB0-4B9E-A976-093D8B2632D7}</x14:id>
        </ext>
      </extLst>
    </cfRule>
    <cfRule type="dataBar" priority="1133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{284AAEBC-16A9-4090-BA26-164BE5D07F06}</x14:id>
        </ext>
      </extLst>
    </cfRule>
    <cfRule type="dataBar" priority="1133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{170FF8EE-2D83-47EB-A53A-29A2CBE47806}</x14:id>
        </ext>
      </extLst>
    </cfRule>
    <cfRule type="dataBar" priority="1133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{8ADEFB84-0E12-4681-93B0-C643165A3A87}</x14:id>
        </ext>
      </extLst>
    </cfRule>
    <cfRule type="dataBar" priority="11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{6BB0F156-EF4C-4765-9201-24E6FAC14143}</x14:id>
        </ext>
      </extLst>
    </cfRule>
    <cfRule type="dataBar" priority="1134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{66873116-CA5D-485C-A595-D6C29430ECC6}</x14:id>
        </ext>
      </extLst>
    </cfRule>
    <cfRule type="dataBar" priority="11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{4F2D8D76-C566-41F2-8E80-CB275F0B99EE}</x14:id>
        </ext>
      </extLst>
    </cfRule>
    <cfRule type="dataBar" priority="1133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{025A8B1B-839B-4A92-B21D-680911729DE9}</x14:id>
        </ext>
      </extLst>
    </cfRule>
    <cfRule type="dataBar" priority="1133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{3B15FECA-54C9-4BEE-BA8C-72215D83B7FB}</x14:id>
        </ext>
      </extLst>
    </cfRule>
  </conditionalFormatting>
  <conditionalFormatting sqref="G14">
    <cfRule type="dataBar" priority="18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{7BF89A03-3FAF-4665-868F-0876C616CDCF}</x14:id>
        </ext>
      </extLst>
    </cfRule>
    <cfRule type="dataBar" priority="18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{0BB6BB21-2281-4CD5-835B-F7D9E65A50B0}</x14:id>
        </ext>
      </extLst>
    </cfRule>
    <cfRule type="dataBar" priority="18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{31629B3E-E662-474A-9453-3D32BC2A0170}</x14:id>
        </ext>
      </extLst>
    </cfRule>
    <cfRule type="dataBar" priority="1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{244E5537-B9D7-4E4F-8DA1-A4CE905B52D9}</x14:id>
        </ext>
      </extLst>
    </cfRule>
    <cfRule type="dataBar" priority="187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{98A244A4-2CD0-418D-8CD2-A8E139FB0648}</x14:id>
        </ext>
      </extLst>
    </cfRule>
    <cfRule type="dataBar" priority="187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{DFC58462-705B-4918-907B-2387BBC0F3E4}</x14:id>
        </ext>
      </extLst>
    </cfRule>
    <cfRule type="dataBar" priority="18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{8E8F00D3-C2F5-4028-A713-7C5BAFF6B8B6}</x14:id>
        </ext>
      </extLst>
    </cfRule>
    <cfRule type="dataBar" priority="1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{93E8DFF9-7A7C-41EA-85A4-8B62A697E67A}</x14:id>
        </ext>
      </extLst>
    </cfRule>
  </conditionalFormatting>
  <conditionalFormatting sqref="G15">
    <cfRule type="dataBar" priority="186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{45B79B35-9252-4431-8DC4-74112A11C5A8}</x14:id>
        </ext>
      </extLst>
    </cfRule>
    <cfRule type="dataBar" priority="187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{79D34A33-51AA-42EE-8C12-62B9A631B41C}</x14:id>
        </ext>
      </extLst>
    </cfRule>
    <cfRule type="dataBar" priority="1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{C950DD1E-239B-4CA5-8BA3-4C259DE10548}</x14:id>
        </ext>
      </extLst>
    </cfRule>
    <cfRule type="dataBar" priority="1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{E2FE23A9-84E4-471E-BA4E-51F34B5D1BE4}</x14:id>
        </ext>
      </extLst>
    </cfRule>
    <cfRule type="dataBar" priority="186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{A3F247FD-B193-479C-843B-45EDD704994C}</x14:id>
        </ext>
      </extLst>
    </cfRule>
    <cfRule type="dataBar" priority="18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{54B20861-611E-4492-BDA9-16BA5FD338D9}</x14:id>
        </ext>
      </extLst>
    </cfRule>
    <cfRule type="dataBar" priority="1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{BCFA2B50-569A-490C-90D4-80AB11B1D780}</x14:id>
        </ext>
      </extLst>
    </cfRule>
    <cfRule type="dataBar" priority="18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{BB576C92-FC19-4546-A913-F179F03E6271}</x14:id>
        </ext>
      </extLst>
    </cfRule>
    <cfRule type="dataBar" priority="186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{AD457FF2-80EB-46D2-BF09-D95DAD4F9217}</x14:id>
        </ext>
      </extLst>
    </cfRule>
    <cfRule type="dataBar" priority="18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{11504FF9-AC40-4D9E-B789-458C3A6A91F0}</x14:id>
        </ext>
      </extLst>
    </cfRule>
    <cfRule type="dataBar" priority="186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{CD39862D-CBE9-4C22-970A-33085B426027}</x14:id>
        </ext>
      </extLst>
    </cfRule>
    <cfRule type="dataBar" priority="186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{C5B3B226-2692-4051-9AB7-F3E089B780A2}</x14:id>
        </ext>
      </extLst>
    </cfRule>
    <cfRule type="dataBar" priority="186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{226AA3A1-296E-4A55-81BF-70584224E91F}</x14:id>
        </ext>
      </extLst>
    </cfRule>
  </conditionalFormatting>
  <conditionalFormatting sqref="G16">
    <cfRule type="dataBar" priority="183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{1EB8EEB5-BE42-4A26-B0EB-0F4B2983299E}</x14:id>
        </ext>
      </extLst>
    </cfRule>
    <cfRule type="dataBar" priority="18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{36C67EB0-EA9A-4832-8B18-4C2B308CD197}</x14:id>
        </ext>
      </extLst>
    </cfRule>
    <cfRule type="dataBar" priority="18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{4966A262-8B44-4125-8159-38992C6EFD02}</x14:id>
        </ext>
      </extLst>
    </cfRule>
    <cfRule type="dataBar" priority="18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{6392B372-9E6F-455D-8E5C-7993885E79EC}</x14:id>
        </ext>
      </extLst>
    </cfRule>
    <cfRule type="dataBar" priority="184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{0F7E2C45-52AD-473F-9777-9E024C8424DF}</x14:id>
        </ext>
      </extLst>
    </cfRule>
    <cfRule type="dataBar" priority="184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{56C02FEC-AB7A-4FCD-B42D-3D760B461ADE}</x14:id>
        </ext>
      </extLst>
    </cfRule>
    <cfRule type="dataBar" priority="184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{75B0F024-AFF3-4858-9305-BEE4375AD89B}</x14:id>
        </ext>
      </extLst>
    </cfRule>
    <cfRule type="dataBar" priority="184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{E51C5C0B-11DD-490E-9EA6-570352C4EDC8}</x14:id>
        </ext>
      </extLst>
    </cfRule>
    <cfRule type="dataBar" priority="183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{7CAABC31-264C-4844-848E-513AF7F39ED1}</x14:id>
        </ext>
      </extLst>
    </cfRule>
    <cfRule type="dataBar" priority="1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{ECDD7DF7-40C1-4C68-A7E5-1097F4F0AEF1}</x14:id>
        </ext>
      </extLst>
    </cfRule>
    <cfRule type="dataBar" priority="18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{CD29C4F3-32F5-42C2-B7B3-B86D88D85652}</x14:id>
        </ext>
      </extLst>
    </cfRule>
    <cfRule type="dataBar" priority="184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{41EB3818-56F0-41CB-A68F-B8C0DD490EC4}</x14:id>
        </ext>
      </extLst>
    </cfRule>
    <cfRule type="dataBar" priority="18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{EE46D526-07A1-419F-B497-881EC72213F8}</x14:id>
        </ext>
      </extLst>
    </cfRule>
    <cfRule type="dataBar" priority="18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{E80135AC-B133-488A-B9B4-D2FF67141949}</x14:id>
        </ext>
      </extLst>
    </cfRule>
    <cfRule type="dataBar" priority="1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{D1CF598A-0C7A-4C37-AF75-3F2C96BC9C5D}</x14:id>
        </ext>
      </extLst>
    </cfRule>
    <cfRule type="dataBar" priority="18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{E1CB5775-78D9-415C-AA43-2C54E0707FCD}</x14:id>
        </ext>
      </extLst>
    </cfRule>
    <cfRule type="dataBar" priority="1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{42422B7B-01D2-450E-9161-B294DABB7210}</x14:id>
        </ext>
      </extLst>
    </cfRule>
  </conditionalFormatting>
  <conditionalFormatting sqref="G16:G17">
    <cfRule type="dataBar" priority="69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{2C14D1AC-57AB-4EBE-BDFD-7925D48BD66E}</x14:id>
        </ext>
      </extLst>
    </cfRule>
    <cfRule type="dataBar" priority="69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{606ABC5D-D449-4539-8E3A-A30982030BFB}</x14:id>
        </ext>
      </extLst>
    </cfRule>
    <cfRule type="dataBar" priority="6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{1CB280CD-A5D5-4CE4-BC2E-5D781C520460}</x14:id>
        </ext>
      </extLst>
    </cfRule>
    <cfRule type="dataBar" priority="6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{C74DA8E6-09EC-4139-B6F0-4EA7B6407400}</x14:id>
        </ext>
      </extLst>
    </cfRule>
    <cfRule type="dataBar" priority="69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{3A78A3BA-D735-47E9-BDBC-5F11CB35C234}</x14:id>
        </ext>
      </extLst>
    </cfRule>
    <cfRule type="dataBar" priority="69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{A0959A81-2141-47BA-9381-CEB679AB6F70}</x14:id>
        </ext>
      </extLst>
    </cfRule>
    <cfRule type="dataBar" priority="69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{1CD14795-AE74-4609-BF12-41FC023BDE62}</x14:id>
        </ext>
      </extLst>
    </cfRule>
    <cfRule type="dataBar" priority="692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{648B9B00-C2BB-448B-B9EB-043B6F6203C4}</x14:id>
        </ext>
      </extLst>
    </cfRule>
    <cfRule type="dataBar" priority="692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{0D0834C8-D618-4E41-97D7-657EE2107C10}</x14:id>
        </ext>
      </extLst>
    </cfRule>
    <cfRule type="dataBar" priority="692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{9440A269-2C85-4CDC-B3F7-20F2EB44B5D4}</x14:id>
        </ext>
      </extLst>
    </cfRule>
    <cfRule type="dataBar" priority="692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{DE9BC24B-2431-4279-AC1E-34474957F484}</x14:id>
        </ext>
      </extLst>
    </cfRule>
    <cfRule type="dataBar" priority="69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{9E653DF8-21AE-4E26-8FD6-B61930114B2F}</x14:id>
        </ext>
      </extLst>
    </cfRule>
    <cfRule type="dataBar" priority="692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{BBE4E07A-F244-43C2-8EB9-D7912E7CEF27}</x14:id>
        </ext>
      </extLst>
    </cfRule>
  </conditionalFormatting>
  <conditionalFormatting sqref="G18">
    <cfRule type="dataBar" priority="180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{A2107C69-4DA1-4DDC-9337-F5FE33437B1F}</x14:id>
        </ext>
      </extLst>
    </cfRule>
    <cfRule type="dataBar" priority="181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{9011506F-9526-462A-8053-5D4E5BD64937}</x14:id>
        </ext>
      </extLst>
    </cfRule>
    <cfRule type="dataBar" priority="181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{FCFECC98-9AA9-4C71-9F59-8AE07F2C0FFA}</x14:id>
        </ext>
      </extLst>
    </cfRule>
    <cfRule type="dataBar" priority="1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{DA4BF16C-2620-413B-B50E-39CFD38A13A8}</x14:id>
        </ext>
      </extLst>
    </cfRule>
    <cfRule type="dataBar" priority="181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{AC780FB3-5186-446C-8447-8B3E57DA0008}</x14:id>
        </ext>
      </extLst>
    </cfRule>
    <cfRule type="dataBar" priority="181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{3DF6EACC-FDC7-4F1B-8DE4-4872BC494059}</x14:id>
        </ext>
      </extLst>
    </cfRule>
    <cfRule type="dataBar" priority="181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{9A978DE4-2160-425A-95D2-CE4715DAA7AB}</x14:id>
        </ext>
      </extLst>
    </cfRule>
    <cfRule type="dataBar" priority="181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{4F5E4FEC-E593-44CE-956E-04164EA7F351}</x14:id>
        </ext>
      </extLst>
    </cfRule>
    <cfRule type="dataBar" priority="1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{F5665066-021E-4694-84D6-37221D843D97}</x14:id>
        </ext>
      </extLst>
    </cfRule>
    <cfRule type="dataBar" priority="18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{DDAFEF45-5238-48D1-A159-18AE4E086EED}</x14:id>
        </ext>
      </extLst>
    </cfRule>
    <cfRule type="dataBar" priority="18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{346125F2-4E37-4D99-A581-CA7433090543}</x14:id>
        </ext>
      </extLst>
    </cfRule>
    <cfRule type="dataBar" priority="1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{3F693184-07F1-42E4-B7D9-705E0C3585C8}</x14:id>
        </ext>
      </extLst>
    </cfRule>
    <cfRule type="dataBar" priority="1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{17441BAA-22AB-4A73-9FF7-405A059F031E}</x14:id>
        </ext>
      </extLst>
    </cfRule>
  </conditionalFormatting>
  <conditionalFormatting sqref="G19:G20">
    <cfRule type="dataBar" priority="7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{ED6D6A09-C11C-4519-AD9F-51BFA69668E7}</x14:id>
        </ext>
      </extLst>
    </cfRule>
    <cfRule type="dataBar" priority="71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{DB1E877C-78A1-40FE-9405-4A8BD6A886F0}</x14:id>
        </ext>
      </extLst>
    </cfRule>
    <cfRule type="dataBar" priority="716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{90836243-5FE2-44FE-A6BF-8FDD6FFD8C80}</x14:id>
        </ext>
      </extLst>
    </cfRule>
    <cfRule type="dataBar" priority="7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{A198E7EB-B34E-4A8F-AD90-741D7C6DBD2D}</x14:id>
        </ext>
      </extLst>
    </cfRule>
    <cfRule type="dataBar" priority="7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{DD3F129A-9F41-4890-97AC-88BAEA87945E}</x14:id>
        </ext>
      </extLst>
    </cfRule>
    <cfRule type="dataBar" priority="715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{28D480B4-626E-44D0-BDCF-F584A2A5F22E}</x14:id>
        </ext>
      </extLst>
    </cfRule>
    <cfRule type="dataBar" priority="715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{92BA7EC2-DB69-4BFB-B0F7-51CB277E1D96}</x14:id>
        </ext>
      </extLst>
    </cfRule>
    <cfRule type="dataBar" priority="71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{CE09FBC1-CD47-442B-9883-FE4730281829}</x14:id>
        </ext>
      </extLst>
    </cfRule>
    <cfRule type="dataBar" priority="71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{51AED2A2-97CD-4AB9-BC54-81A5756E42E5}</x14:id>
        </ext>
      </extLst>
    </cfRule>
    <cfRule type="dataBar" priority="7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{0F6C603A-7E3A-4D20-A5F6-EC2285A05DE2}</x14:id>
        </ext>
      </extLst>
    </cfRule>
    <cfRule type="dataBar" priority="715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{0DB8614D-C47F-4AAC-A80F-04B9FBBB84B3}</x14:id>
        </ext>
      </extLst>
    </cfRule>
    <cfRule type="dataBar" priority="71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{3F194BD1-1334-4F59-91C4-3302C0F6FEB4}</x14:id>
        </ext>
      </extLst>
    </cfRule>
    <cfRule type="dataBar" priority="715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{FD6DACBB-D31A-4683-A137-D6C255034C53}</x14:id>
        </ext>
      </extLst>
    </cfRule>
    <cfRule type="dataBar" priority="715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{67999A6E-64AA-4D34-958A-9A953C5B67D5}</x14:id>
        </ext>
      </extLst>
    </cfRule>
    <cfRule type="dataBar" priority="71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{7011032E-AB98-4CFD-ACE3-F11280F523B0}</x14:id>
        </ext>
      </extLst>
    </cfRule>
    <cfRule type="dataBar" priority="71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{1F1E10EB-4CEE-4A31-B77E-15DF698E36BF}</x14:id>
        </ext>
      </extLst>
    </cfRule>
    <cfRule type="dataBar" priority="7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{59E1F09F-DA92-4422-8512-2B65AB5F79B6}</x14:id>
        </ext>
      </extLst>
    </cfRule>
  </conditionalFormatting>
  <conditionalFormatting sqref="G21">
    <cfRule type="dataBar" priority="23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{8BA15A12-9ADB-4BAB-8758-31EC5D04D424}</x14:id>
        </ext>
      </extLst>
    </cfRule>
    <cfRule type="dataBar" priority="23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{2092EBF2-D2DF-422D-83BA-5512D5E43133}</x14:id>
        </ext>
      </extLst>
    </cfRule>
    <cfRule type="dataBar" priority="2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{A7A994EF-1F76-4858-B60B-7B52FACDDF05}</x14:id>
        </ext>
      </extLst>
    </cfRule>
    <cfRule type="dataBar" priority="239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{4AAC380E-6B88-4029-8D44-6BF2083A50E9}</x14:id>
        </ext>
      </extLst>
    </cfRule>
    <cfRule type="dataBar" priority="239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{676749AE-8A13-44BA-89E4-CBF4106E2451}</x14:id>
        </ext>
      </extLst>
    </cfRule>
    <cfRule type="dataBar" priority="239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{96DF0730-E6B9-4FDB-A27E-C6E5D8490E5F}</x14:id>
        </ext>
      </extLst>
    </cfRule>
    <cfRule type="dataBar" priority="239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{62808BAC-7110-45BF-A6C5-75E1F49101CD}</x14:id>
        </ext>
      </extLst>
    </cfRule>
    <cfRule type="dataBar" priority="2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{2D65290C-27A5-4541-AC79-608D47CDC5B4}</x14:id>
        </ext>
      </extLst>
    </cfRule>
  </conditionalFormatting>
  <conditionalFormatting sqref="H12">
    <cfRule type="dataBar" priority="22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{0991C51B-81CB-4BE4-B2EF-045B0F600209}</x14:id>
        </ext>
      </extLst>
    </cfRule>
    <cfRule type="dataBar" priority="22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{959287E5-FCDA-4E73-B8B9-438E006EB8EF}</x14:id>
        </ext>
      </extLst>
    </cfRule>
    <cfRule type="dataBar" priority="22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{683310C1-CAB6-4D8B-8ED6-33627E914A40}</x14:id>
        </ext>
      </extLst>
    </cfRule>
    <cfRule type="dataBar" priority="224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{3B450D95-E040-42F9-95B0-EAA24A627199}</x14:id>
        </ext>
      </extLst>
    </cfRule>
    <cfRule type="dataBar" priority="2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{1BAACFC6-24FB-4D3E-B116-05BB0093747E}</x14:id>
        </ext>
      </extLst>
    </cfRule>
    <cfRule type="dataBar" priority="224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{0C6C9260-9387-44EC-94D8-5D946EBD97FC}</x14:id>
        </ext>
      </extLst>
    </cfRule>
    <cfRule type="dataBar" priority="224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{A6ACBA21-0200-4254-98A4-25DE18A1E529}</x14:id>
        </ext>
      </extLst>
    </cfRule>
    <cfRule type="dataBar" priority="224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{3E250F4B-568D-405A-ADD4-22E308035A0A}</x14:id>
        </ext>
      </extLst>
    </cfRule>
    <cfRule type="dataBar" priority="224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{0DA0940B-3A63-45C3-BC0E-2F86DD644C59}</x14:id>
        </ext>
      </extLst>
    </cfRule>
    <cfRule type="dataBar" priority="2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{107E8EB9-91E3-48D0-AC20-CA455727536D}</x14:id>
        </ext>
      </extLst>
    </cfRule>
    <cfRule type="dataBar" priority="224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{76495055-172B-43F1-BEEE-6F2FDC614F78}</x14:id>
        </ext>
      </extLst>
    </cfRule>
  </conditionalFormatting>
  <conditionalFormatting sqref="H13">
    <cfRule type="dataBar" priority="22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{301B79D9-9235-44AC-92B4-156A554AB825}</x14:id>
        </ext>
      </extLst>
    </cfRule>
    <cfRule type="dataBar" priority="220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{80E6617A-2578-4D03-AAB6-50EEE8AF4484}</x14:id>
        </ext>
      </extLst>
    </cfRule>
    <cfRule type="dataBar" priority="220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{975FA6A3-73C4-435F-918B-E7DDACBE5879}</x14:id>
        </ext>
      </extLst>
    </cfRule>
    <cfRule type="dataBar" priority="22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{51B896FA-250D-4152-A686-98A6A5D08047}</x14:id>
        </ext>
      </extLst>
    </cfRule>
    <cfRule type="dataBar" priority="22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{94F14748-E1C7-4235-A239-ACCE2F4D6FD5}</x14:id>
        </ext>
      </extLst>
    </cfRule>
    <cfRule type="dataBar" priority="22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{945C3D19-263E-47B9-8DEB-699CD5ED4DC9}</x14:id>
        </ext>
      </extLst>
    </cfRule>
    <cfRule type="dataBar" priority="21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{203B4BE3-341F-4FBE-B190-8AB007F077E7}</x14:id>
        </ext>
      </extLst>
    </cfRule>
    <cfRule type="dataBar" priority="2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{B2DEB9F2-C79D-4091-802D-109B438334A8}</x14:id>
        </ext>
      </extLst>
    </cfRule>
    <cfRule type="dataBar" priority="21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{5360888B-7F19-4AB7-BC02-F01A249F2BCF}</x14:id>
        </ext>
      </extLst>
    </cfRule>
    <cfRule type="dataBar" priority="21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{D8544D79-9CCE-4A64-A632-A42F29121D81}</x14:id>
        </ext>
      </extLst>
    </cfRule>
    <cfRule type="dataBar" priority="21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{8D82096A-E91D-4626-8AE6-28904E2B85D2}</x14:id>
        </ext>
      </extLst>
    </cfRule>
    <cfRule type="dataBar" priority="22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{D856C361-75DD-4CCC-8B45-BA1E8A1DEF32}</x14:id>
        </ext>
      </extLst>
    </cfRule>
    <cfRule type="dataBar" priority="22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{DC3F2776-18DC-423B-AC20-6400C89DD552}</x14:id>
        </ext>
      </extLst>
    </cfRule>
    <cfRule type="dataBar" priority="2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{F798CBE6-A001-4BC0-904A-F58CC34652FD}</x14:id>
        </ext>
      </extLst>
    </cfRule>
    <cfRule type="dataBar" priority="221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{F9CC2B6C-0123-405C-9E35-AB0FCBB83ABA}</x14:id>
        </ext>
      </extLst>
    </cfRule>
    <cfRule type="dataBar" priority="221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{68E1154F-8059-45B3-B3EA-8C2A9EA9BC6C}</x14:id>
        </ext>
      </extLst>
    </cfRule>
    <cfRule type="dataBar" priority="221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{C011DBEA-529F-48EF-9460-8E9A2AFD4B3A}</x14:id>
        </ext>
      </extLst>
    </cfRule>
    <cfRule type="dataBar" priority="22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{553D7206-2305-45FD-828C-513FEA280DC3}</x14:id>
        </ext>
      </extLst>
    </cfRule>
    <cfRule type="dataBar" priority="2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{172C7688-9106-40B4-9593-5B8BBD38BB21}</x14:id>
        </ext>
      </extLst>
    </cfRule>
    <cfRule type="dataBar" priority="22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{6DC1CCA2-1AE1-448E-8652-D053117B9347}</x14:id>
        </ext>
      </extLst>
    </cfRule>
    <cfRule type="dataBar" priority="22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{7E7FFB29-EF4C-4B9B-AF18-0D266E2CA89F}</x14:id>
        </ext>
      </extLst>
    </cfRule>
    <cfRule type="dataBar" priority="2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{F0044AD9-64C8-46DE-85BE-4D41FEA47DE6}</x14:id>
        </ext>
      </extLst>
    </cfRule>
    <cfRule type="dataBar" priority="2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{51B9984A-DA36-4744-8782-DCD7F6181CF8}</x14:id>
        </ext>
      </extLst>
    </cfRule>
  </conditionalFormatting>
  <conditionalFormatting sqref="H17">
    <cfRule type="dataBar" priority="227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{9731F463-2B41-464E-872C-454ADD9C932B}</x14:id>
        </ext>
      </extLst>
    </cfRule>
    <cfRule type="dataBar" priority="22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{A7820506-D242-479E-9B65-3B6E1FC8385B}</x14:id>
        </ext>
      </extLst>
    </cfRule>
    <cfRule type="dataBar" priority="227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{8B266E50-54B0-4B98-8DD9-E457A7263198}</x14:id>
        </ext>
      </extLst>
    </cfRule>
    <cfRule type="dataBar" priority="2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{E17861E0-CB4A-4D73-90CD-B332C84E745F}</x14:id>
        </ext>
      </extLst>
    </cfRule>
    <cfRule type="dataBar" priority="227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{37E96859-AE64-4440-AC84-1B944E3633D5}</x14:id>
        </ext>
      </extLst>
    </cfRule>
    <cfRule type="dataBar" priority="227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{C35B3F54-28BB-4D6C-BA58-8858518991B9}</x14:id>
        </ext>
      </extLst>
    </cfRule>
    <cfRule type="dataBar" priority="227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{1FB26027-85FA-4170-9CAF-58B680A3AE69}</x14:id>
        </ext>
      </extLst>
    </cfRule>
    <cfRule type="dataBar" priority="2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{EAB2A7C1-7C83-4801-A023-3B240E0B4550}</x14:id>
        </ext>
      </extLst>
    </cfRule>
    <cfRule type="dataBar" priority="22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{B85D9DBF-4021-4CC6-AB91-666D396B8D5F}</x14:id>
        </ext>
      </extLst>
    </cfRule>
  </conditionalFormatting>
  <conditionalFormatting sqref="J5">
    <cfRule type="dataBar" priority="21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{70679B32-39B8-41F0-9E29-78F1BF159CF4}</x14:id>
        </ext>
      </extLst>
    </cfRule>
  </conditionalFormatting>
  <conditionalFormatting sqref="J6:J9 J11:J12 J16:J25">
    <cfRule type="dataBar" priority="55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{09BCF570-4224-4C21-A991-EAC5EF7A308D}</x14:id>
        </ext>
      </extLst>
    </cfRule>
  </conditionalFormatting>
  <conditionalFormatting sqref="J10">
    <cfRule type="dataBar" priority="13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{0B2ADB88-E54F-4820-82DF-11DD9899EFD0}</x14:id>
        </ext>
      </extLst>
    </cfRule>
  </conditionalFormatting>
  <conditionalFormatting sqref="J13">
    <cfRule type="dataBar" priority="20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{8A8FA79D-99CA-457D-96E4-7CB2C05EE26A}</x14:id>
        </ext>
      </extLst>
    </cfRule>
  </conditionalFormatting>
  <conditionalFormatting sqref="J14">
    <cfRule type="dataBar" priority="19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{94065F76-CF84-4A52-8448-430BE753977A}</x14:id>
        </ext>
      </extLst>
    </cfRule>
  </conditionalFormatting>
  <conditionalFormatting sqref="J15">
    <cfRule type="dataBar" priority="19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{DF3E57C3-3C28-40B0-AD18-B628A7343AC8}</x14:id>
        </ext>
      </extLst>
    </cfRule>
  </conditionalFormatting>
  <conditionalFormatting sqref="J27">
    <cfRule type="dataBar" priority="205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{BC4AB110-8FD2-43DD-A637-73AD7D3E9BE6}</x14:id>
        </ext>
      </extLst>
    </cfRule>
  </conditionalFormatting>
  <conditionalFormatting sqref="K5:K29">
    <cfRule type="dataBar" priority="1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{0151EBF6-EFA8-4A78-9760-175D95E0C791}</x14:id>
        </ext>
      </extLst>
    </cfRule>
    <cfRule type="dataBar" priority="56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{BCF3C2B5-3DB9-49AB-8CF7-63FFDAF8C8B1}</x14:id>
        </ext>
      </extLst>
    </cfRule>
  </conditionalFormatting>
  <conditionalFormatting sqref="K28:K29"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{71D1E8FE-2F86-4C05-8AC3-EBFC9064D2B7}</x14:id>
        </ext>
      </extLst>
    </cfRule>
    <cfRule type="dataBar" priority="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{50407519-B2E4-48FD-95CB-AEC8B6142728}</x14:id>
        </ext>
      </extLst>
    </cfRule>
    <cfRule type="dataBar" priority="4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{8F974237-2483-4EB2-9ED1-011717659682}</x14:id>
        </ext>
      </extLst>
    </cfRule>
    <cfRule type="dataBar" priority="4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{4E8F28B0-16CC-4FE9-8644-AE2C9DEEC459}</x14:id>
        </ext>
      </extLst>
    </cfRule>
    <cfRule type="dataBar" priority="4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{FD6D0F77-AD8B-473F-8564-66EF4C3A4671}</x14:id>
        </ext>
      </extLst>
    </cfRule>
    <cfRule type="dataBar" priority="47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{247988D4-983D-43D9-A46F-50E5F6845F0D}</x14:id>
        </ext>
      </extLst>
    </cfRule>
    <cfRule type="dataBar" priority="4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{AE509C77-827F-465E-B609-0777686E10B4}</x14:id>
        </ext>
      </extLst>
    </cfRule>
    <cfRule type="dataBar" priority="47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{3F1B87EE-8D71-452D-9221-E19F8AABF297}</x14:id>
        </ext>
      </extLst>
    </cfRule>
    <cfRule type="dataBar" priority="4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{E2DFFAAC-7E4F-47F7-B2EA-73478CBC81D2}</x14:id>
        </ext>
      </extLst>
    </cfRule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{A1EAB7FF-AE45-4A4C-BC71-F6195C125D0B}</x14:id>
        </ext>
      </extLst>
    </cfRule>
    <cfRule type="dataBar" priority="4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{BAED8248-3317-48C2-AD5E-3F7DA6FCC8A2}</x14:id>
        </ext>
      </extLst>
    </cfRule>
    <cfRule type="dataBar" priority="47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{F5699632-A187-4873-865A-4882BABC8C12}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{78296F3C-6E2F-4222-9F99-372D443A73A6}</x14:id>
        </ext>
      </extLst>
    </cfRule>
    <cfRule type="dataBar" priority="4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{023D34B2-7706-46C3-93A0-70D0C438768D}</x14:id>
        </ext>
      </extLst>
    </cfRule>
    <cfRule type="dataBar" priority="4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{04F16656-CC70-4AD3-9021-218B4A001BF4}</x14:id>
        </ext>
      </extLst>
    </cfRule>
    <cfRule type="dataBar" priority="4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{27F1E3EB-BA67-4216-879B-D3D4D531A283}</x14:id>
        </ext>
      </extLst>
    </cfRule>
    <cfRule type="dataBar" priority="4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{47C503D4-DA67-4F18-A010-FC3CB7C19E4A}</x14:id>
        </ext>
      </extLst>
    </cfRule>
  </conditionalFormatting>
  <conditionalFormatting sqref="L5">
    <cfRule type="dataBar" priority="163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{66DC2589-D715-4DCB-A3F4-6739285EF53F}</x14:id>
        </ext>
      </extLst>
    </cfRule>
    <cfRule type="dataBar" priority="16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{78801BD0-A0A1-46AC-AB41-E5365E79CFE9}</x14:id>
        </ext>
      </extLst>
    </cfRule>
    <cfRule type="dataBar" priority="1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{81C43711-F8DC-44E7-98D9-4EA12D62B92E}</x14:id>
        </ext>
      </extLst>
    </cfRule>
    <cfRule type="dataBar" priority="163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{342AE3E2-A485-465C-9442-9FA22F818D75}</x14:id>
        </ext>
      </extLst>
    </cfRule>
    <cfRule type="dataBar" priority="16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{2ACE8A2B-1B82-4A4F-A01B-D222F9F4329D}</x14:id>
        </ext>
      </extLst>
    </cfRule>
    <cfRule type="dataBar" priority="1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{FFDBBC4F-CA73-4354-8AFF-89A508CAAB3E}</x14:id>
        </ext>
      </extLst>
    </cfRule>
    <cfRule type="dataBar" priority="1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{838490C5-CBF8-4F8E-808A-BD6EDD21937D}</x14:id>
        </ext>
      </extLst>
    </cfRule>
    <cfRule type="dataBar" priority="16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{6257DFDC-9EDB-4522-BBFD-E94461C4B4D5}</x14:id>
        </ext>
      </extLst>
    </cfRule>
    <cfRule type="dataBar" priority="164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{5A5F923C-D8CF-4E64-9D82-A0F938F6C912}</x14:id>
        </ext>
      </extLst>
    </cfRule>
    <cfRule type="dataBar" priority="16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{E8BFF41E-ABC0-40BF-B498-EF01367A549B}</x14:id>
        </ext>
      </extLst>
    </cfRule>
    <cfRule type="dataBar" priority="1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{CB23E431-B8E6-45B5-88D8-6AF071C33BC6}</x14:id>
        </ext>
      </extLst>
    </cfRule>
    <cfRule type="dataBar" priority="163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{D34368CC-4507-44DB-ABD3-8843DA4E87DE}</x14:id>
        </ext>
      </extLst>
    </cfRule>
    <cfRule type="dataBar" priority="163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{AD64379D-0A4F-4FC6-AF7A-9B0BBF334CF9}</x14:id>
        </ext>
      </extLst>
    </cfRule>
  </conditionalFormatting>
  <conditionalFormatting sqref="L6">
    <cfRule type="dataBar" priority="1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{D805EF26-2B3A-4577-A050-6315FE166B9E}</x14:id>
        </ext>
      </extLst>
    </cfRule>
    <cfRule type="dataBar" priority="178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{A65E8916-1CCC-4F5D-8CA4-97BCE54DC9E5}</x14:id>
        </ext>
      </extLst>
    </cfRule>
    <cfRule type="dataBar" priority="179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{008DCF6E-B21C-428C-8D76-66E00A610CE1}</x14:id>
        </ext>
      </extLst>
    </cfRule>
    <cfRule type="dataBar" priority="1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{EFC37C8A-4867-4C11-ACE4-822B68B0CB8F}</x14:id>
        </ext>
      </extLst>
    </cfRule>
    <cfRule type="dataBar" priority="178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{C14E3B52-6A89-48D1-82E0-ADDD2CD298FB}</x14:id>
        </ext>
      </extLst>
    </cfRule>
    <cfRule type="dataBar" priority="178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{304B29CF-35EF-42A6-A99A-380229A0C2A4}</x14:id>
        </ext>
      </extLst>
    </cfRule>
    <cfRule type="dataBar" priority="1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{29C459D2-F923-401A-B3EC-04D7ED1EA7E3}</x14:id>
        </ext>
      </extLst>
    </cfRule>
    <cfRule type="dataBar" priority="177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{6F4658EB-B994-4D1F-88FE-CDEA56B99D19}</x14:id>
        </ext>
      </extLst>
    </cfRule>
    <cfRule type="dataBar" priority="177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{D5013C05-517D-4A63-98B5-1B3594553B34}</x14:id>
        </ext>
      </extLst>
    </cfRule>
    <cfRule type="dataBar" priority="1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{007EFA5F-D9DD-4A32-9FE0-79EB28459B63}</x14:id>
        </ext>
      </extLst>
    </cfRule>
    <cfRule type="dataBar" priority="177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{D40802F2-D4D1-4E69-9A68-570E3E28602B}</x14:id>
        </ext>
      </extLst>
    </cfRule>
    <cfRule type="dataBar" priority="1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{FEE51921-07AF-4256-A1D3-9198F22C9165}</x14:id>
        </ext>
      </extLst>
    </cfRule>
    <cfRule type="dataBar" priority="1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{3B11CE78-CA2F-4EC8-B220-92387B86BF15}</x14:id>
        </ext>
      </extLst>
    </cfRule>
    <cfRule type="dataBar" priority="17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{BD2DF82E-C9F5-49F4-A5F3-31903B54D9CE}</x14:id>
        </ext>
      </extLst>
    </cfRule>
    <cfRule type="dataBar" priority="177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{7A0ADAAE-FB1E-426D-AAD5-464290B05C0B}</x14:id>
        </ext>
      </extLst>
    </cfRule>
    <cfRule type="dataBar" priority="178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{0DC20FDE-D1EA-4FD5-8420-2318B2EC1C3B}</x14:id>
        </ext>
      </extLst>
    </cfRule>
    <cfRule type="dataBar" priority="176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{FC8D6AD1-4996-419A-BF5D-EEA574A38AB6}</x14:id>
        </ext>
      </extLst>
    </cfRule>
    <cfRule type="dataBar" priority="178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{ECC9CE7D-CAB5-4816-968D-49595D8CE9E0}</x14:id>
        </ext>
      </extLst>
    </cfRule>
    <cfRule type="dataBar" priority="17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{03B3A187-4243-4D3D-83B5-8D6FC3024A2D}</x14:id>
        </ext>
      </extLst>
    </cfRule>
    <cfRule type="dataBar" priority="176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{4648B06B-44CB-4608-954D-9A66119D096B}</x14:id>
        </ext>
      </extLst>
    </cfRule>
    <cfRule type="dataBar" priority="1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{ED9F0E1B-EBB7-4966-BBEF-D82407437EBB}</x14:id>
        </ext>
      </extLst>
    </cfRule>
    <cfRule type="dataBar" priority="17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{B1A1C708-2569-47E7-A940-CBB95588A7F0}</x14:id>
        </ext>
      </extLst>
    </cfRule>
    <cfRule type="dataBar" priority="17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{DF85EF5E-C575-4C79-A740-4F4206A745B8}</x14:id>
        </ext>
      </extLst>
    </cfRule>
    <cfRule type="dataBar" priority="17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{485EE151-1B15-440F-B7E3-D1B641326013}</x14:id>
        </ext>
      </extLst>
    </cfRule>
    <cfRule type="dataBar" priority="17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{1BC0919A-B044-4ED7-836A-6A314C3BB94F}</x14:id>
        </ext>
      </extLst>
    </cfRule>
    <cfRule type="dataBar" priority="178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{0A3BB88A-B028-40DE-97F2-A309E7ABF915}</x14:id>
        </ext>
      </extLst>
    </cfRule>
    <cfRule type="dataBar" priority="17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{89CACD04-F1E6-4375-858D-12FDE5A18B7C}</x14:id>
        </ext>
      </extLst>
    </cfRule>
    <cfRule type="dataBar" priority="1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{054BF89C-9A05-4D93-90CD-3692A741391E}</x14:id>
        </ext>
      </extLst>
    </cfRule>
    <cfRule type="dataBar" priority="177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{4F590DA1-07CA-4E62-BEF6-3AA3D370ED09}</x14:id>
        </ext>
      </extLst>
    </cfRule>
    <cfRule type="dataBar" priority="177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{ABE44391-7D4D-4113-84C1-2901D8626893}</x14:id>
        </ext>
      </extLst>
    </cfRule>
  </conditionalFormatting>
  <conditionalFormatting sqref="L7">
    <cfRule type="dataBar" priority="160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{88AD95E6-CF72-4FC3-950B-714528F598C9}</x14:id>
        </ext>
      </extLst>
    </cfRule>
    <cfRule type="dataBar" priority="1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{DEECCA8F-7471-476E-8A55-3B6456A3159D}</x14:id>
        </ext>
      </extLst>
    </cfRule>
    <cfRule type="dataBar" priority="159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{D59E83B4-513A-4DD8-B70C-2912DA215D42}</x14:id>
        </ext>
      </extLst>
    </cfRule>
    <cfRule type="dataBar" priority="159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{777808E4-A0C3-4519-B8B3-15E8FF735472}</x14:id>
        </ext>
      </extLst>
    </cfRule>
    <cfRule type="dataBar" priority="159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{5350AC46-15FF-4541-A901-2B6175B07FC2}</x14:id>
        </ext>
      </extLst>
    </cfRule>
    <cfRule type="dataBar" priority="159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{4CC40162-4A74-4529-9F52-F04AFB698802}</x14:id>
        </ext>
      </extLst>
    </cfRule>
    <cfRule type="dataBar" priority="1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{C7203B4C-5231-45BB-B5F7-E39761EFA005}</x14:id>
        </ext>
      </extLst>
    </cfRule>
    <cfRule type="dataBar" priority="159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{E3FD9753-9994-4FC9-A52C-448D86CAF22C}</x14:id>
        </ext>
      </extLst>
    </cfRule>
    <cfRule type="dataBar" priority="1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{711F181D-6925-479E-82B6-B1323CCFEAC4}</x14:id>
        </ext>
      </extLst>
    </cfRule>
    <cfRule type="dataBar" priority="15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{D6FDF35E-A2D3-4521-82B1-82811C1FE3DA}</x14:id>
        </ext>
      </extLst>
    </cfRule>
    <cfRule type="dataBar" priority="159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{BE697791-C3E2-405D-9483-9640A1AD3461}</x14:id>
        </ext>
      </extLst>
    </cfRule>
    <cfRule type="dataBar" priority="15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{B9D7F936-6C01-48FD-B59D-D86E45F88672}</x14:id>
        </ext>
      </extLst>
    </cfRule>
    <cfRule type="dataBar" priority="160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{6DA255DB-9C4A-42AC-9457-0816540BFAD9}</x14:id>
        </ext>
      </extLst>
    </cfRule>
  </conditionalFormatting>
  <conditionalFormatting sqref="L8">
    <cfRule type="dataBar" priority="175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{1669C9F7-D90B-4F7A-9B89-FE5481576BF7}</x14:id>
        </ext>
      </extLst>
    </cfRule>
    <cfRule type="dataBar" priority="175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{53D1A98F-5600-4512-93A1-756C02BCA740}</x14:id>
        </ext>
      </extLst>
    </cfRule>
    <cfRule type="dataBar" priority="175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{A3ECB969-E5AC-4077-8B34-DBA3B333608F}</x14:id>
        </ext>
      </extLst>
    </cfRule>
    <cfRule type="dataBar" priority="175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{658804F1-E929-457D-88A0-9FED697DF343}</x14:id>
        </ext>
      </extLst>
    </cfRule>
    <cfRule type="dataBar" priority="1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{C6234870-650C-49A8-9A3F-80DEB2E1DDA9}</x14:id>
        </ext>
      </extLst>
    </cfRule>
    <cfRule type="dataBar" priority="17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{EEB31615-4250-4BAF-96C6-9FFB4EE20DC9}</x14:id>
        </ext>
      </extLst>
    </cfRule>
    <cfRule type="dataBar" priority="176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{B8926AAD-4124-4CE3-941A-21F00583AAB2}</x14:id>
        </ext>
      </extLst>
    </cfRule>
    <cfRule type="dataBar" priority="1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{9D5C7DEA-8993-44B4-8E38-4B453377A998}</x14:id>
        </ext>
      </extLst>
    </cfRule>
    <cfRule type="dataBar" priority="174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{08167A1B-5B48-4AF8-8ECA-9C7B3C4471ED}</x14:id>
        </ext>
      </extLst>
    </cfRule>
    <cfRule type="dataBar" priority="174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{EB901F57-775C-4AE8-8A83-19A90A08B58B}</x14:id>
        </ext>
      </extLst>
    </cfRule>
    <cfRule type="dataBar" priority="174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{2A1C96C1-9A8B-4082-AD79-0EB7229129F3}</x14:id>
        </ext>
      </extLst>
    </cfRule>
    <cfRule type="dataBar" priority="17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{6207C8BE-B3C7-4EBF-907A-02FCD2543974}</x14:id>
        </ext>
      </extLst>
    </cfRule>
    <cfRule type="dataBar" priority="175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{EC451263-FA98-46D6-A503-D3F6413C196F}</x14:id>
        </ext>
      </extLst>
    </cfRule>
    <cfRule type="dataBar" priority="174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{4FDB8EB0-35B1-411F-8C98-113F99C5C7A8}</x14:id>
        </ext>
      </extLst>
    </cfRule>
    <cfRule type="dataBar" priority="17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{28891B6F-E0AB-4D49-B572-44E06DACECE7}</x14:id>
        </ext>
      </extLst>
    </cfRule>
    <cfRule type="dataBar" priority="17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{D669C849-AA2A-41E0-A760-C53E89ACD48A}</x14:id>
        </ext>
      </extLst>
    </cfRule>
    <cfRule type="dataBar" priority="17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{F2ED7997-73E6-4A70-A898-353ABA83E36A}</x14:id>
        </ext>
      </extLst>
    </cfRule>
    <cfRule type="dataBar" priority="17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{5A3E8A9C-4EB5-47EF-9BE3-E60D877A8AF2}</x14:id>
        </ext>
      </extLst>
    </cfRule>
    <cfRule type="dataBar" priority="173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{B09889CA-C547-4658-BC5E-A1231ACB2A53}</x14:id>
        </ext>
      </extLst>
    </cfRule>
    <cfRule type="dataBar" priority="173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{A4330C3F-6024-4F46-889A-7DBB25F80A55}</x14:id>
        </ext>
      </extLst>
    </cfRule>
    <cfRule type="dataBar" priority="1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{4584174B-F510-436F-A818-5E6ED0EE51D8}</x14:id>
        </ext>
      </extLst>
    </cfRule>
    <cfRule type="dataBar" priority="17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{32534C95-3DAC-46C3-879B-EBCF90805C3F}</x14:id>
        </ext>
      </extLst>
    </cfRule>
    <cfRule type="dataBar" priority="17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{7EC7FA27-743F-4E70-8CD5-383830A4E2EF}</x14:id>
        </ext>
      </extLst>
    </cfRule>
    <cfRule type="dataBar" priority="17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{49C0D71C-5B11-4E8B-8BA1-43FDDBB8B062}</x14:id>
        </ext>
      </extLst>
    </cfRule>
    <cfRule type="dataBar" priority="1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{5CEC2B92-4058-4EA3-8536-7ECC46612521}</x14:id>
        </ext>
      </extLst>
    </cfRule>
    <cfRule type="dataBar" priority="17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{67228264-D55C-4689-89EB-CDBFE96CC8A9}</x14:id>
        </ext>
      </extLst>
    </cfRule>
    <cfRule type="dataBar" priority="17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{9F3B99A5-9513-496C-AC0F-D492ED95C0C0}</x14:id>
        </ext>
      </extLst>
    </cfRule>
    <cfRule type="dataBar" priority="17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{EBE16CCA-40C4-4DD2-8C40-393729AC3C30}</x14:id>
        </ext>
      </extLst>
    </cfRule>
    <cfRule type="dataBar" priority="1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{AD2A9186-7AEE-4F8D-A990-242492D5155F}</x14:id>
        </ext>
      </extLst>
    </cfRule>
    <cfRule type="dataBar" priority="174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{DDD17B45-5325-424B-AC22-3CD294D6D317}</x14:id>
        </ext>
      </extLst>
    </cfRule>
  </conditionalFormatting>
  <conditionalFormatting sqref="L9">
    <cfRule type="dataBar" priority="172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{D8569008-8DF0-4150-8F85-443609CA7650}</x14:id>
        </ext>
      </extLst>
    </cfRule>
    <cfRule type="dataBar" priority="173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{C64CDADF-11D1-4933-AFC8-C3C82F464BC6}</x14:id>
        </ext>
      </extLst>
    </cfRule>
    <cfRule type="dataBar" priority="17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{808011F8-9155-4341-B98B-CAB42FD6F092}</x14:id>
        </ext>
      </extLst>
    </cfRule>
    <cfRule type="dataBar" priority="171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{5598C5A6-E5E2-4CC9-BE8F-CE91DABA33D1}</x14:id>
        </ext>
      </extLst>
    </cfRule>
    <cfRule type="dataBar" priority="171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{71F6F5F2-6433-4FB1-99D8-CA41F950E261}</x14:id>
        </ext>
      </extLst>
    </cfRule>
    <cfRule type="dataBar" priority="1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{ECEBDB6C-1BA1-41AE-82BC-A30909FE2E3E}</x14:id>
        </ext>
      </extLst>
    </cfRule>
    <cfRule type="dataBar" priority="17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{BA531C1D-805C-49F6-96D0-B72921E50636}</x14:id>
        </ext>
      </extLst>
    </cfRule>
    <cfRule type="dataBar" priority="171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{F3B98FF3-ECAF-4964-B5E3-2936210467A3}</x14:id>
        </ext>
      </extLst>
    </cfRule>
    <cfRule type="dataBar" priority="17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{67CE351E-7CF1-4D03-9B27-E9FD53A5DDD0}</x14:id>
        </ext>
      </extLst>
    </cfRule>
    <cfRule type="dataBar" priority="1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{C5A0258B-EFE3-41DB-9A7B-B30D6B013E59}</x14:id>
        </ext>
      </extLst>
    </cfRule>
    <cfRule type="dataBar" priority="17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{053B3F90-0D2D-4014-8154-66A7EADCA771}</x14:id>
        </ext>
      </extLst>
    </cfRule>
    <cfRule type="dataBar" priority="17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{69236383-677B-4A91-B63F-A68F803F886E}</x14:id>
        </ext>
      </extLst>
    </cfRule>
    <cfRule type="dataBar" priority="17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{3B5F8597-C859-4DCF-88CB-087525D1D3FE}</x14:id>
        </ext>
      </extLst>
    </cfRule>
    <cfRule type="dataBar" priority="1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{8DE0B481-1911-44D1-8194-3173B9FE9BF3}</x14:id>
        </ext>
      </extLst>
    </cfRule>
    <cfRule type="dataBar" priority="17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{96F785DA-E7F8-4AF0-A997-E6799A363E73}</x14:id>
        </ext>
      </extLst>
    </cfRule>
    <cfRule type="dataBar" priority="172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{FF4D424A-DE35-4C10-9537-6B9A8F1896D1}</x14:id>
        </ext>
      </extLst>
    </cfRule>
    <cfRule type="dataBar" priority="172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{57523D24-65FC-4EDA-8F39-E68911B179E3}</x14:id>
        </ext>
      </extLst>
    </cfRule>
    <cfRule type="dataBar" priority="17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{0E87B76E-9BC9-4678-8BD5-856D50547CAA}</x14:id>
        </ext>
      </extLst>
    </cfRule>
    <cfRule type="dataBar" priority="17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{E75E4306-DDFA-4922-8185-7A33FC8296E8}</x14:id>
        </ext>
      </extLst>
    </cfRule>
    <cfRule type="dataBar" priority="170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{7E6A1C15-A9A1-4271-8C97-E263661C6696}</x14:id>
        </ext>
      </extLst>
    </cfRule>
    <cfRule type="dataBar" priority="170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{44E01450-5796-4E81-A866-8C0EEF869EEA}</x14:id>
        </ext>
      </extLst>
    </cfRule>
    <cfRule type="dataBar" priority="1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{D4F3C211-EE7D-4295-A2A8-611B9A6C28D3}</x14:id>
        </ext>
      </extLst>
    </cfRule>
    <cfRule type="dataBar" priority="17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{B327FE05-4770-4D12-A013-A21D043531C9}</x14:id>
        </ext>
      </extLst>
    </cfRule>
    <cfRule type="dataBar" priority="17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{83222CC4-1C64-4D04-88B4-42F06323A684}</x14:id>
        </ext>
      </extLst>
    </cfRule>
    <cfRule type="dataBar" priority="17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{9D70C737-1899-4DD3-80CF-1E51D842A953}</x14:id>
        </ext>
      </extLst>
    </cfRule>
    <cfRule type="dataBar" priority="1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{B3A78A45-E225-4B56-B6E8-D79502DC702D}</x14:id>
        </ext>
      </extLst>
    </cfRule>
    <cfRule type="dataBar" priority="17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{BCA2A94F-D1AD-40DE-B29E-5F142735F647}</x14:id>
        </ext>
      </extLst>
    </cfRule>
    <cfRule type="dataBar" priority="17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{F8939252-8A4E-4A39-98D4-5BAC6140F303}</x14:id>
        </ext>
      </extLst>
    </cfRule>
    <cfRule type="dataBar" priority="171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{DD5339A5-70D3-4171-B1D5-40E8A051DC33}</x14:id>
        </ext>
      </extLst>
    </cfRule>
    <cfRule type="dataBar" priority="17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{300BFB30-3B58-4A43-B44D-D5C8FAC1386D}</x14:id>
        </ext>
      </extLst>
    </cfRule>
  </conditionalFormatting>
  <conditionalFormatting sqref="L10">
    <cfRule type="dataBar" priority="16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{3F3DA01B-ED9B-4FDB-B67E-628AEE64DF3C}</x14:id>
        </ext>
      </extLst>
    </cfRule>
    <cfRule type="dataBar" priority="1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{4770AF2B-A48F-412B-9B96-2DF6F1CA56F3}</x14:id>
        </ext>
      </extLst>
    </cfRule>
    <cfRule type="dataBar" priority="1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{425C3FDF-8401-468F-B04C-9227EA5DEDA9}</x14:id>
        </ext>
      </extLst>
    </cfRule>
    <cfRule type="dataBar" priority="161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{E56875B3-4F14-462D-81C3-18C7A265CCBC}</x14:id>
        </ext>
      </extLst>
    </cfRule>
    <cfRule type="dataBar" priority="1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{08E32B61-6A74-40CA-A001-CED91D0BCF70}</x14:id>
        </ext>
      </extLst>
    </cfRule>
    <cfRule type="dataBar" priority="161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{8076298D-6596-4EF8-BA00-3D8FEFF758EA}</x14:id>
        </ext>
      </extLst>
    </cfRule>
    <cfRule type="dataBar" priority="162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{FA1147A9-28AC-4D82-B277-0077E266F2D5}</x14:id>
        </ext>
      </extLst>
    </cfRule>
    <cfRule type="dataBar" priority="162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{D3479CA1-170E-4BBE-B3FE-815AAB1736F6}</x14:id>
        </ext>
      </extLst>
    </cfRule>
    <cfRule type="dataBar" priority="16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{27C96BD8-50D6-4109-B8E0-D02CAC44C415}</x14:id>
        </ext>
      </extLst>
    </cfRule>
    <cfRule type="dataBar" priority="162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{9EAB787D-7558-47BB-9C1F-3F475601382B}</x14:id>
        </ext>
      </extLst>
    </cfRule>
    <cfRule type="dataBar" priority="162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{7A9CF96F-0934-4AEE-9876-D675BFC196DB}</x14:id>
        </ext>
      </extLst>
    </cfRule>
    <cfRule type="dataBar" priority="16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{330C650E-5F36-4300-B1C3-5806795F795B}</x14:id>
        </ext>
      </extLst>
    </cfRule>
    <cfRule type="dataBar" priority="162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{31849B29-AC44-480B-A341-8C6D0ED139FE}</x14:id>
        </ext>
      </extLst>
    </cfRule>
  </conditionalFormatting>
  <conditionalFormatting sqref="L11">
    <cfRule type="dataBar" priority="168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{749905AA-ECCC-4E84-9DEE-A838055217BC}</x14:id>
        </ext>
      </extLst>
    </cfRule>
    <cfRule type="dataBar" priority="168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{D9CDFF4E-CD5C-45CD-B711-C20BA7394094}</x14:id>
        </ext>
      </extLst>
    </cfRule>
    <cfRule type="dataBar" priority="16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{257B4395-B071-4D4D-B669-CD39FADDC247}</x14:id>
        </ext>
      </extLst>
    </cfRule>
    <cfRule type="dataBar" priority="16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{CC8434AB-FAB5-4766-AA20-BEE22C897AC5}</x14:id>
        </ext>
      </extLst>
    </cfRule>
    <cfRule type="dataBar" priority="168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{380D3588-29BB-4D1D-A086-853507834422}</x14:id>
        </ext>
      </extLst>
    </cfRule>
    <cfRule type="dataBar" priority="16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{8028B29B-4242-4253-9380-DE505E27FBF1}</x14:id>
        </ext>
      </extLst>
    </cfRule>
    <cfRule type="dataBar" priority="16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{100D1DBF-3FDD-4470-9F6D-78FABA3D0213}</x14:id>
        </ext>
      </extLst>
    </cfRule>
    <cfRule type="dataBar" priority="1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{4862BF6B-EC1B-4811-8B3A-606B62DE6D25}</x14:id>
        </ext>
      </extLst>
    </cfRule>
    <cfRule type="dataBar" priority="16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{A629C748-219D-4F5F-AE87-FEF42E8A9830}</x14:id>
        </ext>
      </extLst>
    </cfRule>
    <cfRule type="dataBar" priority="16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{5B3ED330-35C1-4495-962A-D1960B6E2561}</x14:id>
        </ext>
      </extLst>
    </cfRule>
    <cfRule type="dataBar" priority="16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{FF5C43E9-F844-43DA-8886-901DE2FE2D2B}</x14:id>
        </ext>
      </extLst>
    </cfRule>
    <cfRule type="dataBar" priority="1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{9BDC7F9D-F0D8-4CEE-BF18-1601B832AC0E}</x14:id>
        </ext>
      </extLst>
    </cfRule>
    <cfRule type="dataBar" priority="167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{D7F8AAD1-EB10-4EE2-A04B-6B65BBC9D00B}</x14:id>
        </ext>
      </extLst>
    </cfRule>
    <cfRule type="dataBar" priority="16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{889587CA-5DC5-470E-9464-52EB67140685}</x14:id>
        </ext>
      </extLst>
    </cfRule>
    <cfRule type="dataBar" priority="16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{574AFDA6-CC92-42DF-AF96-48A4E3E7965C}</x14:id>
        </ext>
      </extLst>
    </cfRule>
    <cfRule type="dataBar" priority="1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{F2C134E8-163A-4BED-AECB-706C361E3761}</x14:id>
        </ext>
      </extLst>
    </cfRule>
    <cfRule type="dataBar" priority="16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{F12D0B6D-92D9-4F4D-9D38-D54DB95A5C95}</x14:id>
        </ext>
      </extLst>
    </cfRule>
    <cfRule type="dataBar" priority="16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{C537818D-F193-4610-9EE0-B977ED8D9BED}</x14:id>
        </ext>
      </extLst>
    </cfRule>
    <cfRule type="dataBar" priority="1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{4F100F7C-D48F-4DE3-8031-7A6CB8DDB8B0}</x14:id>
        </ext>
      </extLst>
    </cfRule>
    <cfRule type="dataBar" priority="16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{1ED39DA6-9164-4FEA-A37B-F1F3D75BAF1F}</x14:id>
        </ext>
      </extLst>
    </cfRule>
    <cfRule type="dataBar" priority="169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{73FE8FE0-5868-4976-99BB-BFE06CAA302A}</x14:id>
        </ext>
      </extLst>
    </cfRule>
    <cfRule type="dataBar" priority="169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{7EF30943-57AD-4BC8-9C4C-96FD500E6BA2}</x14:id>
        </ext>
      </extLst>
    </cfRule>
    <cfRule type="dataBar" priority="169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{CD8C0EF1-65EC-4B53-8C7F-3BCC09E2DDDC}</x14:id>
        </ext>
      </extLst>
    </cfRule>
    <cfRule type="dataBar" priority="1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{33FD5138-786D-4066-9F5F-7658046D662E}</x14:id>
        </ext>
      </extLst>
    </cfRule>
    <cfRule type="dataBar" priority="16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{CC8E6133-374A-464B-BA0A-92C65EB8E97C}</x14:id>
        </ext>
      </extLst>
    </cfRule>
    <cfRule type="dataBar" priority="170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{459E0D6F-9E2A-44E8-B9D0-132C1BC7107E}</x14:id>
        </ext>
      </extLst>
    </cfRule>
    <cfRule type="dataBar" priority="1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{63468C25-2CA4-4483-9964-2EBA98DE5831}</x14:id>
        </ext>
      </extLst>
    </cfRule>
    <cfRule type="dataBar" priority="16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{946996BD-9C4C-455B-82F9-DA5A5ECB2960}</x14:id>
        </ext>
      </extLst>
    </cfRule>
    <cfRule type="dataBar" priority="1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{B9381CCD-02EA-4E1C-A40B-161D4B0194A5}</x14:id>
        </ext>
      </extLst>
    </cfRule>
    <cfRule type="dataBar" priority="168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{4478DC88-E8A6-411A-904C-A02B84300F90}</x14:id>
        </ext>
      </extLst>
    </cfRule>
  </conditionalFormatting>
  <conditionalFormatting sqref="L12">
    <cfRule type="dataBar" priority="164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{D6BC8791-A45D-4896-98A6-35260E44B22B}</x14:id>
        </ext>
      </extLst>
    </cfRule>
    <cfRule type="dataBar" priority="16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{76690433-D17B-4AE8-AEF6-C97257A632F2}</x14:id>
        </ext>
      </extLst>
    </cfRule>
    <cfRule type="dataBar" priority="16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{83A5005C-E84A-41B7-8346-6873BDE07F4B}</x14:id>
        </ext>
      </extLst>
    </cfRule>
    <cfRule type="dataBar" priority="166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{C665297C-1EE9-4023-B372-BC8BA7381873}</x14:id>
        </ext>
      </extLst>
    </cfRule>
    <cfRule type="dataBar" priority="16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{0A9C4800-2B38-4707-91DF-8DD3730F83B8}</x14:id>
        </ext>
      </extLst>
    </cfRule>
    <cfRule type="dataBar" priority="1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{7A6D8DD1-62C2-4876-9FAF-0524AA8042A4}</x14:id>
        </ext>
      </extLst>
    </cfRule>
    <cfRule type="dataBar" priority="166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{4E68E897-5600-4CC6-BCDD-7B31EA77D68E}</x14:id>
        </ext>
      </extLst>
    </cfRule>
    <cfRule type="dataBar" priority="16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{34A69A77-1A33-40D1-B51F-0790EF1E10B0}</x14:id>
        </ext>
      </extLst>
    </cfRule>
    <cfRule type="dataBar" priority="16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{6B1CE45B-A2A9-4A68-9EF5-C9D3C2976BA2}</x14:id>
        </ext>
      </extLst>
    </cfRule>
    <cfRule type="dataBar" priority="1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{A43C47A0-A45B-406C-B5D0-4B25DD2C0B1E}</x14:id>
        </ext>
      </extLst>
    </cfRule>
    <cfRule type="dataBar" priority="165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{0985DDA2-246C-44E3-B0E9-9DB55DC8F431}</x14:id>
        </ext>
      </extLst>
    </cfRule>
    <cfRule type="dataBar" priority="16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{31D7CC1B-1795-4DB3-9187-578A0C9313C3}</x14:id>
        </ext>
      </extLst>
    </cfRule>
    <cfRule type="dataBar" priority="165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{9AE943F4-0F55-4BA5-A5B5-C59AAFFF64E0}</x14:id>
        </ext>
      </extLst>
    </cfRule>
    <cfRule type="dataBar" priority="165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{8A6C44F6-43E9-43B5-9622-F8E7028A38E2}</x14:id>
        </ext>
      </extLst>
    </cfRule>
    <cfRule type="dataBar" priority="165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{1E1EB95A-BB03-4445-AD54-D6BFDB4A366D}</x14:id>
        </ext>
      </extLst>
    </cfRule>
    <cfRule type="dataBar" priority="165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{3ABEAD8B-17F5-4826-9708-58AADD26F0F8}</x14:id>
        </ext>
      </extLst>
    </cfRule>
    <cfRule type="dataBar" priority="166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{10385424-C1E7-4173-A015-6C98A596E910}</x14:id>
        </ext>
      </extLst>
    </cfRule>
    <cfRule type="dataBar" priority="1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{3FB51B8C-1E0C-43F9-95E4-569612310BC6}</x14:id>
        </ext>
      </extLst>
    </cfRule>
    <cfRule type="dataBar" priority="167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{EB6F1EF5-1BCE-4631-9F29-554C77B84D37}</x14:id>
        </ext>
      </extLst>
    </cfRule>
    <cfRule type="dataBar" priority="16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{70E0B22B-049F-4708-B7D5-54A495EDF37D}</x14:id>
        </ext>
      </extLst>
    </cfRule>
    <cfRule type="dataBar" priority="166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{B524CB0C-81E4-45B3-8792-9B7445885A0C}</x14:id>
        </ext>
      </extLst>
    </cfRule>
    <cfRule type="dataBar" priority="1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{A039F369-0F49-42B6-8813-B2ECFE50A17B}</x14:id>
        </ext>
      </extLst>
    </cfRule>
    <cfRule type="dataBar" priority="165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{2BC6F4A4-C41F-4126-953E-2737537B7A6F}</x14:id>
        </ext>
      </extLst>
    </cfRule>
    <cfRule type="dataBar" priority="16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{5DD67A94-A182-48A1-A3D1-208110865A20}</x14:id>
        </ext>
      </extLst>
    </cfRule>
    <cfRule type="dataBar" priority="16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{10C4C535-8461-4B4F-B38B-55130CAB46AD}</x14:id>
        </ext>
      </extLst>
    </cfRule>
    <cfRule type="dataBar" priority="1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{D6DBE041-1EBE-4D0A-B30D-B35FC1AB4965}</x14:id>
        </ext>
      </extLst>
    </cfRule>
    <cfRule type="dataBar" priority="164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{B0D0293F-82BE-4A59-A609-4E68CEB2A3BA}</x14:id>
        </ext>
      </extLst>
    </cfRule>
    <cfRule type="dataBar" priority="164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{DA520FC3-F048-4098-9D33-E27E385C621D}</x14:id>
        </ext>
      </extLst>
    </cfRule>
    <cfRule type="dataBar" priority="16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{CF266ABB-5E85-407A-81FD-749D57AD3D34}</x14:id>
        </ext>
      </extLst>
    </cfRule>
    <cfRule type="dataBar" priority="1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{FA68A49E-EAAC-499E-A7E6-996923E3BA3E}</x14:id>
        </ext>
      </extLst>
    </cfRule>
  </conditionalFormatting>
  <conditionalFormatting sqref="L13">
    <cfRule type="dataBar" priority="16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{1813CD3F-AEF9-4C7B-91F2-6EE306142F20}</x14:id>
        </ext>
      </extLst>
    </cfRule>
    <cfRule type="dataBar" priority="161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{0F7C62FD-9F5A-4C1B-B149-547D29EE295A}</x14:id>
        </ext>
      </extLst>
    </cfRule>
    <cfRule type="dataBar" priority="161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{3AA5C806-5D61-4F91-9876-23845E5F5306}</x14:id>
        </ext>
      </extLst>
    </cfRule>
    <cfRule type="dataBar" priority="16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{01C0A2B8-1B4D-4D84-94EF-0F19223B8918}</x14:id>
        </ext>
      </extLst>
    </cfRule>
    <cfRule type="dataBar" priority="160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{2A2D2EDB-66F7-432B-A54C-29DA01E6DE2E}</x14:id>
        </ext>
      </extLst>
    </cfRule>
    <cfRule type="dataBar" priority="160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{865666AD-270A-4DCF-868D-DEC0C19D8512}</x14:id>
        </ext>
      </extLst>
    </cfRule>
    <cfRule type="dataBar" priority="16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{CD476E90-FCAF-4584-8D08-E7DBE8153A6B}</x14:id>
        </ext>
      </extLst>
    </cfRule>
    <cfRule type="dataBar" priority="160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{AC5F3D9F-C905-4356-8CFF-F125DD9B81FF}</x14:id>
        </ext>
      </extLst>
    </cfRule>
    <cfRule type="dataBar" priority="1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{295DA5F5-1249-4D50-8E85-B00AE021A89E}</x14:id>
        </ext>
      </extLst>
    </cfRule>
    <cfRule type="dataBar" priority="16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{43DBE8B6-70CE-45B9-B00E-6A684E33D19C}</x14:id>
        </ext>
      </extLst>
    </cfRule>
    <cfRule type="dataBar" priority="16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{E979974A-5DF5-430B-B0C6-76778B232B13}</x14:id>
        </ext>
      </extLst>
    </cfRule>
    <cfRule type="dataBar" priority="16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{64A41820-C47A-45FE-8092-8F543A8CA69A}</x14:id>
        </ext>
      </extLst>
    </cfRule>
    <cfRule type="dataBar" priority="1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{F09FBE1E-5EE3-4AE6-8E6E-DA0B54E6476E}</x14:id>
        </ext>
      </extLst>
    </cfRule>
  </conditionalFormatting>
  <conditionalFormatting sqref="L14">
    <cfRule type="dataBar" priority="1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{06A26AF6-5811-4B8C-A766-B6CAF7DCEC48}</x14:id>
        </ext>
      </extLst>
    </cfRule>
    <cfRule type="dataBar" priority="158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{577C0A40-ECD9-4B31-B86A-1BD43E58B93E}</x14:id>
        </ext>
      </extLst>
    </cfRule>
    <cfRule type="dataBar" priority="158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{10ECE7EE-95E5-4636-9DA3-7D2D14710538}</x14:id>
        </ext>
      </extLst>
    </cfRule>
    <cfRule type="dataBar" priority="158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{FA24B568-2E35-4AE6-B68A-5C2436FCF185}</x14:id>
        </ext>
      </extLst>
    </cfRule>
    <cfRule type="dataBar" priority="158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{5120D4A9-5EFD-4BEC-86C6-F52CA6610116}</x14:id>
        </ext>
      </extLst>
    </cfRule>
    <cfRule type="dataBar" priority="158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{D275F398-E3CC-496F-A66A-0B40D7ECBFCE}</x14:id>
        </ext>
      </extLst>
    </cfRule>
    <cfRule type="dataBar" priority="15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{1ACBFECA-C7E2-4812-B571-6EB08D404660}</x14:id>
        </ext>
      </extLst>
    </cfRule>
    <cfRule type="dataBar" priority="158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{D59BD7C4-C64A-4359-9D7F-E777DCEC6133}</x14:id>
        </ext>
      </extLst>
    </cfRule>
    <cfRule type="dataBar" priority="15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{97F1FB89-3261-4EA8-8860-A4E3287F2FD4}</x14:id>
        </ext>
      </extLst>
    </cfRule>
    <cfRule type="dataBar" priority="15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{AD690031-866B-4D76-9AF5-001DD8119F8E}</x14:id>
        </ext>
      </extLst>
    </cfRule>
    <cfRule type="dataBar" priority="15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{11EC2B71-E13D-4A0E-AFE7-C5B2A5C5F969}</x14:id>
        </ext>
      </extLst>
    </cfRule>
    <cfRule type="dataBar" priority="1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{693574F5-CA2D-429B-AD4D-44D633DBF385}</x14:id>
        </ext>
      </extLst>
    </cfRule>
    <cfRule type="dataBar" priority="15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{9ECEB76D-00FE-4500-B466-27F9BA7C2C57}</x14:id>
        </ext>
      </extLst>
    </cfRule>
  </conditionalFormatting>
  <conditionalFormatting sqref="L15">
    <cfRule type="dataBar" priority="1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{CBCD2C74-8909-4DE4-9D91-E8A976E2B999}</x14:id>
        </ext>
      </extLst>
    </cfRule>
    <cfRule type="dataBar" priority="15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{90193752-3700-4EB0-B2D5-5EE0D8DA41E7}</x14:id>
        </ext>
      </extLst>
    </cfRule>
    <cfRule type="dataBar" priority="15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{778B37D9-4D9D-4E42-BC96-D7B411946D81}</x14:id>
        </ext>
      </extLst>
    </cfRule>
    <cfRule type="dataBar" priority="1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{A7E12CFB-2FAC-440B-9804-E2F5C896E4CE}</x14:id>
        </ext>
      </extLst>
    </cfRule>
    <cfRule type="dataBar" priority="15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{4D2939BA-5665-47F7-A8A3-49832AD5D74C}</x14:id>
        </ext>
      </extLst>
    </cfRule>
    <cfRule type="dataBar" priority="15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{7293C630-F18D-44F0-B9C5-4022616C6910}</x14:id>
        </ext>
      </extLst>
    </cfRule>
    <cfRule type="dataBar" priority="15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{D4B96B0D-4B59-4400-88CA-C2E00FF1CC36}</x14:id>
        </ext>
      </extLst>
    </cfRule>
    <cfRule type="dataBar" priority="1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{B7A59CD0-4794-4154-BB98-515480B53FDC}</x14:id>
        </ext>
      </extLst>
    </cfRule>
    <cfRule type="dataBar" priority="157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{66072E30-FBAB-4E9A-82FF-7D8212125679}</x14:id>
        </ext>
      </extLst>
    </cfRule>
    <cfRule type="dataBar" priority="15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{4BFE4818-CE69-4D5B-A033-03BB92CF9BC5}</x14:id>
        </ext>
      </extLst>
    </cfRule>
    <cfRule type="dataBar" priority="15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{16D68FBB-7B40-431B-A7D5-A9CC58DCC450}</x14:id>
        </ext>
      </extLst>
    </cfRule>
    <cfRule type="dataBar" priority="15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{26747815-C04E-45B9-A70D-DC7075F71C9E}</x14:id>
        </ext>
      </extLst>
    </cfRule>
    <cfRule type="dataBar" priority="1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{E27D8AD6-D7D9-46C0-B734-CC62954DDF11}</x14:id>
        </ext>
      </extLst>
    </cfRule>
  </conditionalFormatting>
  <conditionalFormatting sqref="L16:L18">
    <cfRule type="dataBar" priority="150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{C600F3C6-E196-4EBE-8A6E-A41D69124B5C}</x14:id>
        </ext>
      </extLst>
    </cfRule>
    <cfRule type="dataBar" priority="15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{19E84B36-4014-4666-88CD-8DE375947CF4}</x14:id>
        </ext>
      </extLst>
    </cfRule>
    <cfRule type="dataBar" priority="153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{CD66152B-4C20-41F3-9A9A-E49F3EF814A5}</x14:id>
        </ext>
      </extLst>
    </cfRule>
    <cfRule type="dataBar" priority="1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{1562D386-8436-4E77-941F-E1B4A1826DAB}</x14:id>
        </ext>
      </extLst>
    </cfRule>
    <cfRule type="dataBar" priority="1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{1FCF26FD-18A1-40CA-9852-58ED073BA6EA}</x14:id>
        </ext>
      </extLst>
    </cfRule>
    <cfRule type="dataBar" priority="15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{B60ACE20-7F82-4F5B-9121-5233CF06848B}</x14:id>
        </ext>
      </extLst>
    </cfRule>
    <cfRule type="dataBar" priority="1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{BE1790AE-9908-4957-B91D-43CD5174DF86}</x14:id>
        </ext>
      </extLst>
    </cfRule>
    <cfRule type="dataBar" priority="1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{852804E2-E5A4-4D58-B0CE-5B770CA3E03A}</x14:id>
        </ext>
      </extLst>
    </cfRule>
    <cfRule type="dataBar" priority="15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{1445CCA9-0E13-4A54-8E24-B517D087BB35}</x14:id>
        </ext>
      </extLst>
    </cfRule>
    <cfRule type="dataBar" priority="151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{8244E5D7-1072-4CBB-9A48-C7A194726EA1}</x14:id>
        </ext>
      </extLst>
    </cfRule>
    <cfRule type="dataBar" priority="152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{A0848AF3-95F2-4C11-B505-7B965DD72B39}</x14:id>
        </ext>
      </extLst>
    </cfRule>
    <cfRule type="dataBar" priority="1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{47E25D27-0949-4630-8CD0-C07EECFF64F3}</x14:id>
        </ext>
      </extLst>
    </cfRule>
    <cfRule type="dataBar" priority="151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{7CDA1140-C20D-49B5-8C7D-E3CE972B6CF3}</x14:id>
        </ext>
      </extLst>
    </cfRule>
    <cfRule type="dataBar" priority="152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{50F6056D-B285-4792-A697-9B0D6E0DAD42}</x14:id>
        </ext>
      </extLst>
    </cfRule>
    <cfRule type="dataBar" priority="15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{559546E4-ABB5-4C7C-A517-787F51A4C9EC}</x14:id>
        </ext>
      </extLst>
    </cfRule>
    <cfRule type="dataBar" priority="151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{424CFC88-8008-4C61-8880-0821847DF739}</x14:id>
        </ext>
      </extLst>
    </cfRule>
    <cfRule type="dataBar" priority="1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{597E8B5A-A255-42FA-A5A3-F6E1C8A33486}</x14:id>
        </ext>
      </extLst>
    </cfRule>
    <cfRule type="dataBar" priority="152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{16AAE696-C745-45EB-8695-23AE151545E8}</x14:id>
        </ext>
      </extLst>
    </cfRule>
    <cfRule type="dataBar" priority="1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{DA1EB542-FCA1-4E30-9457-D6C22898A179}</x14:id>
        </ext>
      </extLst>
    </cfRule>
    <cfRule type="dataBar" priority="15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{9310A571-B0EB-41E2-AE75-2B2E088D91EB}</x14:id>
        </ext>
      </extLst>
    </cfRule>
    <cfRule type="dataBar" priority="152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{8F10DE6D-BA10-4261-A629-34D860673CD0}</x14:id>
        </ext>
      </extLst>
    </cfRule>
    <cfRule type="dataBar" priority="153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{E279F8F0-E52F-4F73-8A61-BF99FD2990D3}</x14:id>
        </ext>
      </extLst>
    </cfRule>
    <cfRule type="dataBar" priority="153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{F9615F8B-AD04-4518-B66B-A44B6EB78C3B}</x14:id>
        </ext>
      </extLst>
    </cfRule>
    <cfRule type="dataBar" priority="153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{2023E1F1-6947-4921-AFF1-69F83109A126}</x14:id>
        </ext>
      </extLst>
    </cfRule>
    <cfRule type="dataBar" priority="15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{0CC32BEE-6E4D-4657-BE9A-C7BB2E5C2CBF}</x14:id>
        </ext>
      </extLst>
    </cfRule>
    <cfRule type="dataBar" priority="153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{A94AB4CC-249B-4B28-9DEC-BDAE679C3C3D}</x14:id>
        </ext>
      </extLst>
    </cfRule>
    <cfRule type="dataBar" priority="1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{94CEBA5C-810E-41D1-9437-4A471D6AB0C7}</x14:id>
        </ext>
      </extLst>
    </cfRule>
    <cfRule type="dataBar" priority="152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{92DA1A08-E1D7-456E-9042-7ACAB404E200}</x14:id>
        </ext>
      </extLst>
    </cfRule>
    <cfRule type="dataBar" priority="15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{BF60AAED-0F5D-4D9E-AF94-E5674DE31FD7}</x14:id>
        </ext>
      </extLst>
    </cfRule>
    <cfRule type="dataBar" priority="150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{7EDA976E-FAC5-4F42-9519-8969E0AF8561}</x14:id>
        </ext>
      </extLst>
    </cfRule>
  </conditionalFormatting>
  <conditionalFormatting sqref="L19:L20">
    <cfRule type="dataBar" priority="149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{70448A34-6F8A-4307-8C54-63491F4A7F0C}</x14:id>
        </ext>
      </extLst>
    </cfRule>
    <cfRule type="dataBar" priority="149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{912B0833-891C-4720-9AC8-0359445CAC91}</x14:id>
        </ext>
      </extLst>
    </cfRule>
    <cfRule type="dataBar" priority="1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{BF39C0C0-CA0B-4532-B5BC-5D8EF938E160}</x14:id>
        </ext>
      </extLst>
    </cfRule>
    <cfRule type="dataBar" priority="148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{28B80D48-FF21-4855-916E-062597B4B26B}</x14:id>
        </ext>
      </extLst>
    </cfRule>
    <cfRule type="dataBar" priority="149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{4A2BB9D8-0386-4D30-8BEA-7AB4F204B5F6}</x14:id>
        </ext>
      </extLst>
    </cfRule>
    <cfRule type="dataBar" priority="1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{B24A214F-5DF1-4D0F-8F4C-483A72D99C0F}</x14:id>
        </ext>
      </extLst>
    </cfRule>
    <cfRule type="dataBar" priority="14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{37A141DA-7EAC-431E-98C8-0FB3FC2760AD}</x14:id>
        </ext>
      </extLst>
    </cfRule>
    <cfRule type="dataBar" priority="14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{98BF4116-DD12-49CE-AA80-746BA4828D95}</x14:id>
        </ext>
      </extLst>
    </cfRule>
    <cfRule type="dataBar" priority="1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{E0E16079-2260-47DD-B943-1A6DC11C42C9}</x14:id>
        </ext>
      </extLst>
    </cfRule>
    <cfRule type="dataBar" priority="14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{38FFE503-E4E8-49DB-802A-E319A11639CC}</x14:id>
        </ext>
      </extLst>
    </cfRule>
    <cfRule type="dataBar" priority="14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{8F7FA361-D7E2-4C99-B2D0-64EF3E8596A2}</x14:id>
        </ext>
      </extLst>
    </cfRule>
    <cfRule type="dataBar" priority="15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{AA48054B-505D-442F-A4EA-674A05DD84F4}</x14:id>
        </ext>
      </extLst>
    </cfRule>
    <cfRule type="dataBar" priority="150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{DCE71927-4A93-4F4C-BA41-421745951515}</x14:id>
        </ext>
      </extLst>
    </cfRule>
    <cfRule type="dataBar" priority="150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{E1DA44C2-B70A-4077-AD08-E96DA635ACC9}</x14:id>
        </ext>
      </extLst>
    </cfRule>
    <cfRule type="dataBar" priority="150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{60605958-1003-4DB5-8ADC-423C72FB9259}</x14:id>
        </ext>
      </extLst>
    </cfRule>
    <cfRule type="dataBar" priority="150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{CFB8A805-C333-4097-834D-57429A1CD469}</x14:id>
        </ext>
      </extLst>
    </cfRule>
    <cfRule type="dataBar" priority="150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{8AAA6BF9-FB01-450A-9BC3-24E8503F4647}</x14:id>
        </ext>
      </extLst>
    </cfRule>
    <cfRule type="dataBar" priority="15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{0C85FEB8-EAF2-4FC9-9F80-E0111DB140E8}</x14:id>
        </ext>
      </extLst>
    </cfRule>
    <cfRule type="dataBar" priority="1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{473001F3-E912-41F6-908E-C4B35391C7B0}</x14:id>
        </ext>
      </extLst>
    </cfRule>
    <cfRule type="dataBar" priority="148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{26210267-B9D1-4911-8298-E50573C2C11B}</x14:id>
        </ext>
      </extLst>
    </cfRule>
    <cfRule type="dataBar" priority="148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{F76E179A-FC6B-457C-A731-CA50958FA835}</x14:id>
        </ext>
      </extLst>
    </cfRule>
    <cfRule type="dataBar" priority="14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{0CA5F1E4-DC28-4CB7-A1DE-A851A1938688}</x14:id>
        </ext>
      </extLst>
    </cfRule>
    <cfRule type="dataBar" priority="1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{340BA292-6765-4DA0-A19E-B5197FCD04A2}</x14:id>
        </ext>
      </extLst>
    </cfRule>
    <cfRule type="dataBar" priority="148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{AE21AB16-D5DE-494A-940C-3BD91C6200D7}</x14:id>
        </ext>
      </extLst>
    </cfRule>
    <cfRule type="dataBar" priority="148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{3ACED1E8-696C-489F-9F85-6C89D1305755}</x14:id>
        </ext>
      </extLst>
    </cfRule>
    <cfRule type="dataBar" priority="14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{FD80C475-A026-463A-A026-5A468DA69991}</x14:id>
        </ext>
      </extLst>
    </cfRule>
    <cfRule type="dataBar" priority="1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{64ACAD66-478C-4880-BD21-5B550AD923BF}</x14:id>
        </ext>
      </extLst>
    </cfRule>
    <cfRule type="dataBar" priority="147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{4E34E256-0D9D-4792-B930-9E674B358D96}</x14:id>
        </ext>
      </extLst>
    </cfRule>
    <cfRule type="dataBar" priority="147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{B254FA13-E9E3-4F5C-91C1-55ADC01D4E24}</x14:id>
        </ext>
      </extLst>
    </cfRule>
    <cfRule type="dataBar" priority="14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{DEC2BED5-DF05-4B0A-922E-6DE7E0526686}</x14:id>
        </ext>
      </extLst>
    </cfRule>
  </conditionalFormatting>
  <conditionalFormatting sqref="L21">
    <cfRule type="dataBar" priority="154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{E1BCAE1E-CADA-4EAD-97B6-77675EFA8E87}</x14:id>
        </ext>
      </extLst>
    </cfRule>
    <cfRule type="dataBar" priority="15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{1CB78328-B9BB-43B9-B59C-26F5AF2B8C23}</x14:id>
        </ext>
      </extLst>
    </cfRule>
    <cfRule type="dataBar" priority="1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{8B167D49-23D6-4679-85B8-474AF00CBD07}</x14:id>
        </ext>
      </extLst>
    </cfRule>
    <cfRule type="dataBar" priority="154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{C0737CED-DA68-47C2-9A86-3B012BA18252}</x14:id>
        </ext>
      </extLst>
    </cfRule>
    <cfRule type="dataBar" priority="154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{CED847EA-1738-4418-B69C-16F002723E0F}</x14:id>
        </ext>
      </extLst>
    </cfRule>
    <cfRule type="dataBar" priority="154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{22627000-5430-4952-8667-79BC07AF4D0E}</x14:id>
        </ext>
      </extLst>
    </cfRule>
    <cfRule type="dataBar" priority="15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{81412042-1A5E-44EB-9902-7C943EAA10AF}</x14:id>
        </ext>
      </extLst>
    </cfRule>
    <cfRule type="dataBar" priority="1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{97CBB6C3-AA85-495C-8726-0001D674B272}</x14:id>
        </ext>
      </extLst>
    </cfRule>
    <cfRule type="dataBar" priority="15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{A67E5A93-1F5B-4944-9954-85B12EF3AD86}</x14:id>
        </ext>
      </extLst>
    </cfRule>
    <cfRule type="dataBar" priority="153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{9A8E32EA-54DA-4429-B551-EBB360E45028}</x14:id>
        </ext>
      </extLst>
    </cfRule>
    <cfRule type="dataBar" priority="1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{EF4F34C9-F3F5-4E71-AD7D-F2EF8FAB4B3A}</x14:id>
        </ext>
      </extLst>
    </cfRule>
    <cfRule type="dataBar" priority="1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{4C4C7F6F-919D-432E-8F8D-2E8DC22D8A0B}</x14:id>
        </ext>
      </extLst>
    </cfRule>
    <cfRule type="dataBar" priority="154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{ECF34D1E-D33B-4C23-BBD2-76C063C302D8}</x14:id>
        </ext>
      </extLst>
    </cfRule>
  </conditionalFormatting>
  <conditionalFormatting sqref="L22:L27">
    <cfRule type="dataBar" priority="2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{2A3D881E-72CA-469B-9415-6C808011C635}</x14:id>
        </ext>
      </extLst>
    </cfRule>
    <cfRule type="dataBar" priority="24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{CD6C9DC9-7EE2-44EB-9B50-57D654383A2C}</x14:id>
        </ext>
      </extLst>
    </cfRule>
    <cfRule type="dataBar" priority="2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{D8AFB426-21C6-4537-9F71-A3D11AA5D702}</x14:id>
        </ext>
      </extLst>
    </cfRule>
    <cfRule type="dataBar" priority="2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{FE7CC9F0-C406-4CEC-80ED-988D1950F4B9}</x14:id>
        </ext>
      </extLst>
    </cfRule>
    <cfRule type="dataBar" priority="24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{4572A150-7633-4C0B-B45F-6B90737DC565}</x14:id>
        </ext>
      </extLst>
    </cfRule>
    <cfRule type="dataBar" priority="24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{BDF5FACA-4087-4867-9FFB-9E5387256954}</x14:id>
        </ext>
      </extLst>
    </cfRule>
    <cfRule type="dataBar" priority="24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{A394B48C-EB52-4B98-B1DF-7C50EA5925BD}</x14:id>
        </ext>
      </extLst>
    </cfRule>
    <cfRule type="dataBar" priority="243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{1C152281-131F-4458-83FA-3BE6C3F42188}</x14:id>
        </ext>
      </extLst>
    </cfRule>
    <cfRule type="dataBar" priority="24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{A86036DA-4BF9-4A01-A986-271669238B2C}</x14:id>
        </ext>
      </extLst>
    </cfRule>
    <cfRule type="dataBar" priority="242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{9C6E53E2-A718-4456-B54E-CBB9701FDC21}</x14:id>
        </ext>
      </extLst>
    </cfRule>
    <cfRule type="dataBar" priority="242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{C4DD5D5F-8F59-4E4F-87E1-D6E1C9E24A64}</x14:id>
        </ext>
      </extLst>
    </cfRule>
    <cfRule type="dataBar" priority="242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{30C12DAA-8224-4619-BBCB-02E2F280BC9A}</x14:id>
        </ext>
      </extLst>
    </cfRule>
    <cfRule type="dataBar" priority="242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{C112A124-CC1F-452F-9274-B4604CF52F5A}</x14:id>
        </ext>
      </extLst>
    </cfRule>
    <cfRule type="dataBar" priority="242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{A82768A2-611C-4427-B9F6-BFCA0790312C}</x14:id>
        </ext>
      </extLst>
    </cfRule>
    <cfRule type="dataBar" priority="24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{CE6426F3-F918-44FF-850C-0241AC6556FC}</x14:id>
        </ext>
      </extLst>
    </cfRule>
    <cfRule type="dataBar" priority="241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{78A1561C-F2DC-4330-B375-3513333CC4EC}</x14:id>
        </ext>
      </extLst>
    </cfRule>
    <cfRule type="dataBar" priority="2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{91C61025-8A4F-4A1F-900E-31D361FE5CB0}</x14:id>
        </ext>
      </extLst>
    </cfRule>
  </conditionalFormatting>
  <conditionalFormatting sqref="L28:L29">
    <cfRule type="dataBar" priority="41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{95C98D6C-1C0B-4272-BE50-25C58F167350}</x14:id>
        </ext>
      </extLst>
    </cfRule>
    <cfRule type="dataBar" priority="4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{AE4496CE-DCF0-419A-8664-209390078C02}</x14:id>
        </ext>
      </extLst>
    </cfRule>
    <cfRule type="dataBar" priority="4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{3B785C02-3455-4AE0-B3A2-A116756CBF18}</x14:id>
        </ext>
      </extLst>
    </cfRule>
    <cfRule type="dataBar" priority="4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{9C226BCB-8456-4400-BB13-5FB111079F21}</x14:id>
        </ext>
      </extLst>
    </cfRule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{B5E7E268-B7FE-4976-93B4-EA16EF0759F4}</x14:id>
        </ext>
      </extLst>
    </cfRule>
    <cfRule type="dataBar" priority="4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{3302B1D9-68EE-44E3-B12B-6C565957C1B7}</x14:id>
        </ext>
      </extLst>
    </cfRule>
    <cfRule type="dataBar" priority="411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{4A23F34C-AB8B-4E45-AD7B-29C8CD309CB0}</x14:id>
        </ext>
      </extLst>
    </cfRule>
    <cfRule type="dataBar" priority="41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{E345D1BA-86F4-4370-B9CB-01FF3BE21319}</x14:id>
        </ext>
      </extLst>
    </cfRule>
  </conditionalFormatting>
  <conditionalFormatting sqref="N20:N26 K5:K27 N5:N18 M5:M28">
    <cfRule type="dataBar" priority="5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{3B5C5C7C-2881-40A8-B2FF-55D714450840}</x14:id>
        </ext>
      </extLst>
    </cfRule>
    <cfRule type="dataBar" priority="55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{0F3160F0-3559-49BB-9502-B9CE6FDF1AEE}</x14:id>
        </ext>
      </extLst>
    </cfRule>
    <cfRule type="dataBar" priority="5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{4A171746-AC76-4A52-8658-CBCB73FA94A2}</x14:id>
        </ext>
      </extLst>
    </cfRule>
    <cfRule type="dataBar" priority="5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{33B4CD17-6D85-49D6-A446-FF06289EB745}</x14:id>
        </ext>
      </extLst>
    </cfRule>
    <cfRule type="dataBar" priority="55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{F3628FF9-5D7A-42D5-A5A0-10610501F190}</x14:id>
        </ext>
      </extLst>
    </cfRule>
    <cfRule type="dataBar" priority="55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{C7C5E0E5-8FFA-44A7-AE80-39234F3036AD}</x14:id>
        </ext>
      </extLst>
    </cfRule>
    <cfRule type="dataBar" priority="5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{593481D4-4A87-4786-A21E-340BD87CB76A}</x14:id>
        </ext>
      </extLst>
    </cfRule>
    <cfRule type="dataBar" priority="561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{444433B2-8D2F-4B51-BD14-A1F74FDF0931}</x14:id>
        </ext>
      </extLst>
    </cfRule>
    <cfRule type="dataBar" priority="554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{5989F76A-9B25-499E-9862-E35439FABCEC}</x14:id>
        </ext>
      </extLst>
    </cfRule>
    <cfRule type="dataBar" priority="55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{C2B2DBD8-871C-4CB8-9EDE-A6C8BFFBA652}</x14:id>
        </ext>
      </extLst>
    </cfRule>
    <cfRule type="dataBar" priority="55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{43C68292-1933-4296-A0F4-DAA3A2874C88}</x14:id>
        </ext>
      </extLst>
    </cfRule>
    <cfRule type="dataBar" priority="55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{7D1C81CB-51BA-40EF-B2E6-B49318EBA158}</x14:id>
        </ext>
      </extLst>
    </cfRule>
    <cfRule type="dataBar" priority="555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{65D8EF87-340E-4FC3-9855-0808F45E569D}</x14:id>
        </ext>
      </extLst>
    </cfRule>
    <cfRule type="dataBar" priority="555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{21D14DFC-541A-4C9F-97AB-0D2842EF41E1}</x14:id>
        </ext>
      </extLst>
    </cfRule>
    <cfRule type="dataBar" priority="5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{AC9BC445-2E24-4AD6-AE4B-E1770514803D}</x14:id>
        </ext>
      </extLst>
    </cfRule>
    <cfRule type="dataBar" priority="55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{FA8BF531-240B-4E3B-8A0D-91199B8FF327}</x14:id>
        </ext>
      </extLst>
    </cfRule>
    <cfRule type="dataBar" priority="556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{0D4EED76-5235-428D-A18A-9A24625C0356}</x14:id>
        </ext>
      </extLst>
    </cfRule>
  </conditionalFormatting>
  <conditionalFormatting sqref="O5">
    <cfRule type="dataBar" priority="1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{CBF1D894-7EDD-4554-AC19-9B09934D51E8}</x14:id>
        </ext>
      </extLst>
    </cfRule>
  </conditionalFormatting>
  <conditionalFormatting sqref="O6:O19">
    <cfRule type="dataBar" priority="107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{C7CB3C0B-0B29-4367-B0EF-39080468A1B0}</x14:id>
        </ext>
      </extLst>
    </cfRule>
  </conditionalFormatting>
  <conditionalFormatting sqref="O7">
    <cfRule type="dataBar" priority="21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{C8FF3D4C-8B48-4260-BA81-B468870AC482}</x14:id>
        </ext>
      </extLst>
    </cfRule>
  </conditionalFormatting>
  <conditionalFormatting sqref="O14">
    <cfRule type="dataBar" priority="21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{B51951E3-30E0-4D4E-B29E-7BE9D00400A9}</x14:id>
        </ext>
      </extLst>
    </cfRule>
  </conditionalFormatting>
  <conditionalFormatting sqref="O15">
    <cfRule type="dataBar" priority="21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{B72187D8-67C1-4B30-9B3A-C8631CD02BD8}</x14:id>
        </ext>
      </extLst>
    </cfRule>
  </conditionalFormatting>
  <conditionalFormatting sqref="O17">
    <cfRule type="dataBar" priority="21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{C1C121D4-1472-4FD5-9ECB-A12C28BC6DA6}</x14:id>
        </ext>
      </extLst>
    </cfRule>
  </conditionalFormatting>
  <conditionalFormatting sqref="O21">
    <cfRule type="dataBar" priority="210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{F4B3AF1C-DCA0-42A4-9299-3063093C8B13}</x14:id>
        </ext>
      </extLst>
    </cfRule>
  </conditionalFormatting>
  <conditionalFormatting sqref="O22">
    <cfRule type="dataBar" priority="205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{A469F93B-92DE-4842-BC95-67A40F0D9710}</x14:id>
        </ext>
      </extLst>
    </cfRule>
  </conditionalFormatting>
  <conditionalFormatting sqref="P5:P24">
    <cfRule type="dataBar" priority="107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{216D2765-0017-42FF-AAF6-3784CC93755F}</x14:id>
        </ext>
      </extLst>
    </cfRule>
  </conditionalFormatting>
  <conditionalFormatting sqref="P5:P30">
    <cfRule type="dataBar" priority="107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{00A5FB92-4EED-48DF-A260-9962B3A1566E}</x14:id>
        </ext>
      </extLst>
    </cfRule>
    <cfRule type="dataBar" priority="107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{81D468D6-4160-477A-B89D-C59B6D2A9C14}</x14:id>
        </ext>
      </extLst>
    </cfRule>
  </conditionalFormatting>
  <conditionalFormatting sqref="P13:P19 P5:Q5 P6 P8:P11 P7:Q7 P12:Q12">
    <cfRule type="dataBar" priority="212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{054AF355-DD56-46A0-88EE-4F21506653D2}</x14:id>
        </ext>
      </extLst>
    </cfRule>
    <cfRule type="dataBar" priority="2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{3CC41ED9-3D51-4EBF-9BBE-966B90BB28B9}</x14:id>
        </ext>
      </extLst>
    </cfRule>
    <cfRule type="dataBar" priority="21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{58253945-F57A-474D-A27A-05FBC2A7FABF}</x14:id>
        </ext>
      </extLst>
    </cfRule>
    <cfRule type="dataBar" priority="21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{D0379467-7D51-4580-ADAD-6518BD9B3C2C}</x14:id>
        </ext>
      </extLst>
    </cfRule>
    <cfRule type="dataBar" priority="2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{8018FA55-8F8C-453C-A77C-33152D164E6A}</x14:id>
        </ext>
      </extLst>
    </cfRule>
    <cfRule type="dataBar" priority="21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{979731D0-A9D3-475F-8973-0550F05D90A7}</x14:id>
        </ext>
      </extLst>
    </cfRule>
  </conditionalFormatting>
  <conditionalFormatting sqref="P13:P20 P5:Q5 P6 P8:P11 P7:Q7 P12:Q12">
    <cfRule type="dataBar" priority="212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{D1767996-CE8B-419D-8F00-502BDD56F8F9}</x14:id>
        </ext>
      </extLst>
    </cfRule>
    <cfRule type="dataBar" priority="211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{C8387721-6235-4F74-80B7-A63ACB821916}</x14:id>
        </ext>
      </extLst>
    </cfRule>
  </conditionalFormatting>
  <conditionalFormatting sqref="P20">
    <cfRule type="dataBar" priority="2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{141657B7-F4F7-42B9-B8CD-BFCE66BD846B}</x14:id>
        </ext>
      </extLst>
    </cfRule>
    <cfRule type="dataBar" priority="212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{79EA13AF-7D6C-49FB-BC14-5B39BABA5BEF}</x14:id>
        </ext>
      </extLst>
    </cfRule>
    <cfRule type="dataBar" priority="2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{F4B12DC1-7A5C-4731-A91D-2514CCC41911}</x14:id>
        </ext>
      </extLst>
    </cfRule>
    <cfRule type="dataBar" priority="212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{C5B29044-AC6D-4AFF-B850-FC6471EE00A1}</x14:id>
        </ext>
      </extLst>
    </cfRule>
    <cfRule type="dataBar" priority="21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{946C4931-CB96-469D-A3D5-F44A73FCDDD4}</x14:id>
        </ext>
      </extLst>
    </cfRule>
    <cfRule type="dataBar" priority="21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{86324050-3CF8-49EC-98B9-4E169F5875F0}</x14:id>
        </ext>
      </extLst>
    </cfRule>
  </conditionalFormatting>
  <conditionalFormatting sqref="P21">
    <cfRule type="dataBar" priority="210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{095FDA66-2FE8-4C05-841D-7CD7CDFE457D}</x14:id>
        </ext>
      </extLst>
    </cfRule>
    <cfRule type="dataBar" priority="21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{318567CA-6CAE-4007-8236-D1BDDE637D90}</x14:id>
        </ext>
      </extLst>
    </cfRule>
    <cfRule type="dataBar" priority="2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{EC5743C3-38E6-43B8-A1D2-1CC7431D482D}</x14:id>
        </ext>
      </extLst>
    </cfRule>
    <cfRule type="dataBar" priority="209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{8613AF5C-9E03-4CC3-8B6D-E53671310935}</x14:id>
        </ext>
      </extLst>
    </cfRule>
    <cfRule type="dataBar" priority="209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{C55B15D7-34A9-4CEA-AB68-E8A6E0E0251B}</x14:id>
        </ext>
      </extLst>
    </cfRule>
    <cfRule type="dataBar" priority="20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{0336378D-D601-4463-9E01-DB1DF8AEC276}</x14:id>
        </ext>
      </extLst>
    </cfRule>
    <cfRule type="dataBar" priority="209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{95D64046-4B55-420B-9417-B08FD818C049}</x14:id>
        </ext>
      </extLst>
    </cfRule>
    <cfRule type="dataBar" priority="2095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{49EE7A3A-82C7-4DD0-9588-E07A89186B66}</x14:id>
        </ext>
      </extLst>
    </cfRule>
  </conditionalFormatting>
  <conditionalFormatting sqref="P22">
    <cfRule type="dataBar" priority="204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{F2740EA3-3B97-4171-BCF8-4438442AE4E4}</x14:id>
        </ext>
      </extLst>
    </cfRule>
    <cfRule type="dataBar" priority="20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{A5D3D22E-4F90-4C69-909A-A1076FC7BB20}</x14:id>
        </ext>
      </extLst>
    </cfRule>
    <cfRule type="dataBar" priority="20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{C47469E1-D750-4A39-A50C-830E8F00BC6A}</x14:id>
        </ext>
      </extLst>
    </cfRule>
    <cfRule type="dataBar" priority="204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{00ED7764-FA37-47E9-B3D3-8F73CFECAFBF}</x14:id>
        </ext>
      </extLst>
    </cfRule>
    <cfRule type="dataBar" priority="204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{48DE1778-1ECA-4FDB-877E-4CDFBDE28358}</x14:id>
        </ext>
      </extLst>
    </cfRule>
    <cfRule type="dataBar" priority="20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{F0FB91DA-0EBD-43C5-B313-A74279B7D65E}</x14:id>
        </ext>
      </extLst>
    </cfRule>
    <cfRule type="dataBar" priority="204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{578AE952-6944-4202-967B-EE19EB82526F}</x14:id>
        </ext>
      </extLst>
    </cfRule>
    <cfRule type="dataBar" priority="204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{FCAB6085-83DF-4153-BEFD-43679556F9A9}</x14:id>
        </ext>
      </extLst>
    </cfRule>
  </conditionalFormatting>
  <conditionalFormatting sqref="P23:P24">
    <cfRule type="dataBar" priority="46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{2642A87D-79B7-406D-AAF3-F53CF48DEF82}</x14:id>
        </ext>
      </extLst>
    </cfRule>
    <cfRule type="dataBar" priority="4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{F34143D7-FE64-461F-BE6E-ED707CE03764}</x14:id>
        </ext>
      </extLst>
    </cfRule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{5601E734-8468-4FB0-9026-95C5136B8256}</x14:id>
        </ext>
      </extLst>
    </cfRule>
    <cfRule type="dataBar" priority="4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{0CDBC140-8C74-4D55-BBE1-C2CC6AF620FB}</x14:id>
        </ext>
      </extLst>
    </cfRule>
    <cfRule type="dataBar" priority="45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{84882C7F-7A74-46FE-99B9-FC5EA68A9F9D}</x14:id>
        </ext>
      </extLst>
    </cfRule>
    <cfRule type="dataBar" priority="46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{0969C753-74BA-4DF6-A6ED-38DC1600ECF2}</x14:id>
        </ext>
      </extLst>
    </cfRule>
    <cfRule type="dataBar" priority="46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{D7549198-27E2-418A-8C6C-2974BE21897C}</x14:id>
        </ext>
      </extLst>
    </cfRule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{44EB9D03-C09A-4610-AF94-B44EC7FEA6E1}</x14:id>
        </ext>
      </extLst>
    </cfRule>
  </conditionalFormatting>
  <conditionalFormatting sqref="P25:P30"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{169634DB-712D-4CA1-9A6B-298443511072}</x14:id>
        </ext>
      </extLst>
    </cfRule>
    <cfRule type="dataBar" priority="3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{0985E758-350E-4D05-9132-F75C1E51348E}</x14:id>
        </ext>
      </extLst>
    </cfRule>
    <cfRule type="dataBar" priority="3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{3C234808-BE57-4F6C-8C2B-B9E36A48A01A}</x14:id>
        </ext>
      </extLst>
    </cfRule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{FB576B0C-64E4-439A-B8BB-1F0D42C6A116}</x14:id>
        </ext>
      </extLst>
    </cfRule>
    <cfRule type="dataBar" priority="37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{E35757E3-164E-4E5D-AE10-0B4139CA18A4}</x14:id>
        </ext>
      </extLst>
    </cfRule>
    <cfRule type="dataBar" priority="37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{D8D57468-3AA5-4989-A226-7B6BAB96CA10}</x14:id>
        </ext>
      </extLst>
    </cfRule>
    <cfRule type="dataBar" priority="3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{9A384245-B305-49E3-BACD-D5491EA9F36D}</x14:id>
        </ext>
      </extLst>
    </cfRule>
    <cfRule type="dataBar" priority="37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{890C5E0E-DE47-466E-ABD0-CF367AAC1501}</x14:id>
        </ext>
      </extLst>
    </cfRule>
    <cfRule type="dataBar" priority="3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{4173871F-C3E8-4042-B473-4BF84FDA3709}</x14:id>
        </ext>
      </extLst>
    </cfRule>
  </conditionalFormatting>
  <conditionalFormatting sqref="Q6">
    <cfRule type="dataBar" priority="14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{0C552E3C-BA24-40C6-B920-A19ED40ECBDB}</x14:id>
        </ext>
      </extLst>
    </cfRule>
    <cfRule type="dataBar" priority="14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{C624D6F8-CD2C-43FC-98E8-6C82CD5B6CDB}</x14:id>
        </ext>
      </extLst>
    </cfRule>
    <cfRule type="dataBar" priority="144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{9748A414-609A-41E2-AA95-045F1E741072}</x14:id>
        </ext>
      </extLst>
    </cfRule>
    <cfRule type="dataBar" priority="14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{8DA2AFDB-2E37-47A6-A210-B1270A80A984}</x14:id>
        </ext>
      </extLst>
    </cfRule>
    <cfRule type="dataBar" priority="14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{65E3683A-0D46-4195-8E76-51271572A0A9}</x14:id>
        </ext>
      </extLst>
    </cfRule>
    <cfRule type="dataBar" priority="1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{F5354C94-AFA9-4EC4-AE2E-60DEA29E2808}</x14:id>
        </ext>
      </extLst>
    </cfRule>
    <cfRule type="dataBar" priority="14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{CA1C51E3-1A36-44CE-94D3-1EC87AA7F338}</x14:id>
        </ext>
      </extLst>
    </cfRule>
    <cfRule type="dataBar" priority="14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{90B328B8-330D-4F53-9ECB-1883D1208434}</x14:id>
        </ext>
      </extLst>
    </cfRule>
    <cfRule type="dataBar" priority="14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{B6FD52A9-4A80-4DE0-92FE-59E8E2531A8A}</x14:id>
        </ext>
      </extLst>
    </cfRule>
    <cfRule type="dataBar" priority="1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{26939266-830D-46BB-8058-AAB3FB7B5F53}</x14:id>
        </ext>
      </extLst>
    </cfRule>
    <cfRule type="dataBar" priority="14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{660B2651-D135-4614-8496-70D6D5E1451C}</x14:id>
        </ext>
      </extLst>
    </cfRule>
    <cfRule type="dataBar" priority="14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{37D78988-C1AC-4854-B6B6-2BD48AE8B2BA}</x14:id>
        </ext>
      </extLst>
    </cfRule>
    <cfRule type="dataBar" priority="1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{5B5E547B-873E-4F98-A624-2413F0AA44A9}</x14:id>
        </ext>
      </extLst>
    </cfRule>
    <cfRule type="dataBar" priority="14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{1043812C-96E8-407C-B14B-89B2B7518210}</x14:id>
        </ext>
      </extLst>
    </cfRule>
    <cfRule type="dataBar" priority="1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{98EA624F-21C9-4274-89C0-5BE4A11F1151}</x14:id>
        </ext>
      </extLst>
    </cfRule>
    <cfRule type="dataBar" priority="14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{2FD8E19F-A64B-4105-A270-ABF6EFC31A72}</x14:id>
        </ext>
      </extLst>
    </cfRule>
    <cfRule type="dataBar" priority="14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{EB66FDC7-D099-4ED9-A381-37278A290F0E}</x14:id>
        </ext>
      </extLst>
    </cfRule>
    <cfRule type="dataBar" priority="14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{9194E13D-7639-4ED0-B517-0ABD770A23C3}</x14:id>
        </ext>
      </extLst>
    </cfRule>
    <cfRule type="dataBar" priority="14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{38258D4A-3FA4-46B9-A416-083BB6AC1C32}</x14:id>
        </ext>
      </extLst>
    </cfRule>
    <cfRule type="dataBar" priority="147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{EB1C504A-4A02-4AE2-A4CD-614F6E0C3594}</x14:id>
        </ext>
      </extLst>
    </cfRule>
    <cfRule type="dataBar" priority="147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{D2C1619A-4CD8-4673-ACE5-31825808E415}</x14:id>
        </ext>
      </extLst>
    </cfRule>
    <cfRule type="dataBar" priority="147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{A16EFC94-CBBA-485F-A50C-B52ADDA9CCB7}</x14:id>
        </ext>
      </extLst>
    </cfRule>
    <cfRule type="dataBar" priority="147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{03A00DEB-AD51-453B-8D6F-F70A458C5C80}</x14:id>
        </ext>
      </extLst>
    </cfRule>
    <cfRule type="dataBar" priority="1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{1E555988-7351-4D7A-BBD9-46A399FE21A9}</x14:id>
        </ext>
      </extLst>
    </cfRule>
    <cfRule type="dataBar" priority="147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{1E4AF369-73CF-4C54-B2DE-9CB7093CDE0A}</x14:id>
        </ext>
      </extLst>
    </cfRule>
    <cfRule type="dataBar" priority="14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{D56390E7-7104-4B0E-B588-76D63B7C7B49}</x14:id>
        </ext>
      </extLst>
    </cfRule>
    <cfRule type="dataBar" priority="14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{168FC52A-6C93-4832-8425-CD85936532CC}</x14:id>
        </ext>
      </extLst>
    </cfRule>
    <cfRule type="dataBar" priority="1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{505BC1BF-886F-4AE5-8100-132B53990BEF}</x14:id>
        </ext>
      </extLst>
    </cfRule>
    <cfRule type="dataBar" priority="1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{7A7EA8C2-126D-4522-B0D1-0EEA6A1AED2A}</x14:id>
        </ext>
      </extLst>
    </cfRule>
    <cfRule type="dataBar" priority="14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{7D6CE545-75C8-4932-A387-40F2ECC314AA}</x14:id>
        </ext>
      </extLst>
    </cfRule>
  </conditionalFormatting>
  <conditionalFormatting sqref="Q8:Q11">
    <cfRule type="dataBar" priority="108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{AE654271-947F-4E9B-90BA-F725C2DF59DA}</x14:id>
        </ext>
      </extLst>
    </cfRule>
    <cfRule type="dataBar" priority="10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{8758D6F1-05B0-4065-90B5-4E2AA79958CB}</x14:id>
        </ext>
      </extLst>
    </cfRule>
    <cfRule type="dataBar" priority="108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{13815129-0F38-49BE-B7E1-49052D969032}</x14:id>
        </ext>
      </extLst>
    </cfRule>
    <cfRule type="dataBar" priority="108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{54A96D0E-23BA-4E50-80D4-EC8A12DB6298}</x14:id>
        </ext>
      </extLst>
    </cfRule>
    <cfRule type="dataBar" priority="10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{D030F122-5000-4082-8530-CFC7ECF90872}</x14:id>
        </ext>
      </extLst>
    </cfRule>
    <cfRule type="dataBar" priority="10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{22B42C27-F6A6-44F9-913B-66025E815E4A}</x14:id>
        </ext>
      </extLst>
    </cfRule>
    <cfRule type="dataBar" priority="10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{FF752979-C62E-420A-9F35-9D6A7E29D87C}</x14:id>
        </ext>
      </extLst>
    </cfRule>
    <cfRule type="dataBar" priority="108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{EFDB108B-C10D-49DF-AE09-DA75A809E918}</x14:id>
        </ext>
      </extLst>
    </cfRule>
    <cfRule type="dataBar" priority="1079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{5605F2D0-BD49-4A2A-8810-77DEFD4D1297}</x14:id>
        </ext>
      </extLst>
    </cfRule>
    <cfRule type="dataBar" priority="108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{B3A72003-09DE-42EE-9001-5C656795F9B9}</x14:id>
        </ext>
      </extLst>
    </cfRule>
    <cfRule type="dataBar" priority="1080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{1CAC571D-AEE8-498F-95CA-8BA45442B518}</x14:id>
        </ext>
      </extLst>
    </cfRule>
    <cfRule type="dataBar" priority="108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{BC8B2786-275F-457A-8FFA-4DC1B24B630D}</x14:id>
        </ext>
      </extLst>
    </cfRule>
    <cfRule type="dataBar" priority="1080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{48F880E8-73A7-4EFC-856F-D920B6913B18}</x14:id>
        </ext>
      </extLst>
    </cfRule>
    <cfRule type="dataBar" priority="1080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{8BE51C4F-8B50-491C-8667-E5B46CEC0E17}</x14:id>
        </ext>
      </extLst>
    </cfRule>
    <cfRule type="dataBar" priority="1080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{456AB220-6F3C-4982-BDC8-C10BDF35B25D}</x14:id>
        </ext>
      </extLst>
    </cfRule>
    <cfRule type="dataBar" priority="1080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{6FEE6E2D-3028-4F73-9DE5-6704D776D4B0}</x14:id>
        </ext>
      </extLst>
    </cfRule>
    <cfRule type="dataBar" priority="1080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{7FFE23D5-30D2-46BA-B294-6ED6169B1361}</x14:id>
        </ext>
      </extLst>
    </cfRule>
  </conditionalFormatting>
  <conditionalFormatting sqref="Q13:Q22">
    <cfRule type="dataBar" priority="1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{78C689F9-54F4-4CEA-88B8-48291B7FAA82}</x14:id>
        </ext>
      </extLst>
    </cfRule>
    <cfRule type="dataBar" priority="14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{E741CBD3-0319-4C99-8C7B-B6B34C0926AD}</x14:id>
        </ext>
      </extLst>
    </cfRule>
    <cfRule type="dataBar" priority="14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{CA96E87B-771D-4278-A051-335CE3BC285A}</x14:id>
        </ext>
      </extLst>
    </cfRule>
    <cfRule type="dataBar" priority="14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{B6F865EE-BC3F-41B3-88D4-08E1D962DD1D}</x14:id>
        </ext>
      </extLst>
    </cfRule>
    <cfRule type="dataBar" priority="144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{CF77643A-5578-4874-B5AE-679A010ECECF}</x14:id>
        </ext>
      </extLst>
    </cfRule>
    <cfRule type="dataBar" priority="1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{492621AF-ECAF-4A62-B64C-ADC111B56B19}</x14:id>
        </ext>
      </extLst>
    </cfRule>
    <cfRule type="dataBar" priority="144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{D5F51FDE-0A21-4E8C-BB8D-F0D38200C441}</x14:id>
        </ext>
      </extLst>
    </cfRule>
    <cfRule type="dataBar" priority="143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{6AAD7258-061D-45D0-A7C5-BDB3162ED668}</x14:id>
        </ext>
      </extLst>
    </cfRule>
    <cfRule type="dataBar" priority="143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{F460D70A-B709-4B20-BE53-F0F9C1D19F53}</x14:id>
        </ext>
      </extLst>
    </cfRule>
    <cfRule type="dataBar" priority="143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{C213A8B5-5CEB-45D9-A5C0-FA4313BBF893}</x14:id>
        </ext>
      </extLst>
    </cfRule>
    <cfRule type="dataBar" priority="1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{2AD5CCC0-87CD-47F8-AC5B-162810E44C5B}</x14:id>
        </ext>
      </extLst>
    </cfRule>
    <cfRule type="dataBar" priority="14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{CEFF9885-9559-4761-B027-1B0C4CB0E74D}</x14:id>
        </ext>
      </extLst>
    </cfRule>
    <cfRule type="dataBar" priority="14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{44C0ED44-D657-43C8-A99F-28150B204E1C}</x14:id>
        </ext>
      </extLst>
    </cfRule>
    <cfRule type="dataBar" priority="1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{A7FC62BB-210F-4E22-87D1-1E026928BCB5}</x14:id>
        </ext>
      </extLst>
    </cfRule>
    <cfRule type="dataBar" priority="14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{68D3E81E-9035-4668-B737-15C85F94EE8D}</x14:id>
        </ext>
      </extLst>
    </cfRule>
    <cfRule type="dataBar" priority="144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{FD3A48BA-B7C9-402E-95CC-5FAD1BC2212A}</x14:id>
        </ext>
      </extLst>
    </cfRule>
    <cfRule type="dataBar" priority="144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{28981A62-42E4-4001-9C04-719D7DBDCD78}</x14:id>
        </ext>
      </extLst>
    </cfRule>
    <cfRule type="dataBar" priority="144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{F2D5DC59-562A-493D-B26F-13178124D2A7}</x14:id>
        </ext>
      </extLst>
    </cfRule>
    <cfRule type="dataBar" priority="1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{03A9482B-530B-4D17-B5DA-75FEFCD682DF}</x14:id>
        </ext>
      </extLst>
    </cfRule>
    <cfRule type="dataBar" priority="14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{FD6F77D7-3911-4E0B-B893-248A80C764F3}</x14:id>
        </ext>
      </extLst>
    </cfRule>
    <cfRule type="dataBar" priority="141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{221A2CD0-17B8-4839-BD27-E51D589BA6A4}</x14:id>
        </ext>
      </extLst>
    </cfRule>
    <cfRule type="dataBar" priority="141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{D47467EE-831C-4CEF-A39B-E93985269607}</x14:id>
        </ext>
      </extLst>
    </cfRule>
    <cfRule type="dataBar" priority="1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{EF06EB5B-62E0-46BB-8727-F3138AF7316B}</x14:id>
        </ext>
      </extLst>
    </cfRule>
    <cfRule type="dataBar" priority="14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{9136F63F-917A-44E0-8F4E-132BF87D36D6}</x14:id>
        </ext>
      </extLst>
    </cfRule>
    <cfRule type="dataBar" priority="14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{C07A7EB9-7EFA-4800-BAAC-2B9DE9F394D4}</x14:id>
        </ext>
      </extLst>
    </cfRule>
    <cfRule type="dataBar" priority="14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{D7372A5A-64BD-4410-8985-2A0473EC9819}</x14:id>
        </ext>
      </extLst>
    </cfRule>
    <cfRule type="dataBar" priority="1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{E7BE7462-474A-4D5A-817C-F2440AF6F75A}</x14:id>
        </ext>
      </extLst>
    </cfRule>
    <cfRule type="dataBar" priority="14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{F2E38C42-3E39-4561-B9A3-980398163B3A}</x14:id>
        </ext>
      </extLst>
    </cfRule>
    <cfRule type="dataBar" priority="142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{C3C59AEF-9405-495B-A134-96A2FD9C63E2}</x14:id>
        </ext>
      </extLst>
    </cfRule>
    <cfRule type="dataBar" priority="14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{94E05317-32A5-4A48-B191-C74B08468B43}</x14:id>
        </ext>
      </extLst>
    </cfRule>
  </conditionalFormatting>
  <conditionalFormatting sqref="Q23:Q24">
    <cfRule type="dataBar" priority="41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{00CA05BF-F7AB-41B0-A741-D7C1026BD9BF}</x14:id>
        </ext>
      </extLst>
    </cfRule>
    <cfRule type="dataBar" priority="4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{48B2D923-5BF0-4064-BD56-7031EBED9ECE}</x14:id>
        </ext>
      </extLst>
    </cfRule>
    <cfRule type="dataBar" priority="42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{DE2AC023-90BF-40CF-848A-6E5873BF8EFA}</x14:id>
        </ext>
      </extLst>
    </cfRule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{23E0778D-98AA-4231-85A0-3EB3157FB2A1}</x14:id>
        </ext>
      </extLst>
    </cfRule>
    <cfRule type="dataBar" priority="4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{2078F096-2AF2-46DE-BDC8-37CDD01A93D1}</x14:id>
        </ext>
      </extLst>
    </cfRule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{B19B9C67-75FC-483D-BAD9-A3107B88F23B}</x14:id>
        </ext>
      </extLst>
    </cfRule>
    <cfRule type="dataBar" priority="4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{B58080DB-5A21-4966-8778-18A2E76D2CBD}</x14:id>
        </ext>
      </extLst>
    </cfRule>
    <cfRule type="dataBar" priority="41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{18FB1384-9435-472D-80E3-F7A322E04763}</x14:id>
        </ext>
      </extLst>
    </cfRule>
  </conditionalFormatting>
  <conditionalFormatting sqref="Q25:Q30">
    <cfRule type="dataBar" priority="39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{892DF01D-1B78-4354-8E41-7EE86824153D}</x14:id>
        </ext>
      </extLst>
    </cfRule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{7A552542-D65E-4D4E-8082-DF2C4C5A9F00}</x14:id>
        </ext>
      </extLst>
    </cfRule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{9DBD0CA6-49FD-48BB-8919-03A823350EFB}</x14:id>
        </ext>
      </extLst>
    </cfRule>
    <cfRule type="dataBar" priority="3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{F80EDA1B-30D5-4725-8098-62126DB7174E}</x14:id>
        </ext>
      </extLst>
    </cfRule>
    <cfRule type="dataBar" priority="3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{EBD851CE-396B-44EE-931D-624C6D36E8C8}</x14:id>
        </ext>
      </extLst>
    </cfRule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{5A2D4428-F073-4B5C-8D8E-10CA88B3BD29}</x14:id>
        </ext>
      </extLst>
    </cfRule>
    <cfRule type="dataBar" priority="40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{3D4693BB-07ED-45D9-B91F-36B3AE168FE7}</x14:id>
        </ext>
      </extLst>
    </cfRule>
    <cfRule type="dataBar" priority="40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{76577DFC-5938-435F-926A-844ACA1C93A3}</x14:id>
        </ext>
      </extLst>
    </cfRule>
    <cfRule type="dataBar" priority="40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{3C6A520F-321D-4FEA-9CC2-B2C406A2B215}</x14:id>
        </ext>
      </extLst>
    </cfRule>
    <cfRule type="dataBar" priority="40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{BE2BCE9F-5A74-4B98-9095-0E089549EAF2}</x14:id>
        </ext>
      </extLst>
    </cfRule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{AE4F4BE5-7CB5-4B67-993C-66CFA04F1011}</x14:id>
        </ext>
      </extLst>
    </cfRule>
    <cfRule type="dataBar" priority="40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{550008A5-B339-4157-B2BC-77C6006D9E29}</x14:id>
        </ext>
      </extLst>
    </cfRule>
    <cfRule type="dataBar" priority="4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{381B35BA-07DC-4369-8B02-B492CB14B5A6}</x14:id>
        </ext>
      </extLst>
    </cfRule>
  </conditionalFormatting>
  <conditionalFormatting sqref="U5:U6 U8:U20">
    <cfRule type="dataBar" priority="113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{838FB72E-EAA0-437B-8568-06B70D3DDABF}</x14:id>
        </ext>
      </extLst>
    </cfRule>
    <cfRule type="dataBar" priority="1134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{2849A6D7-4E45-48D5-BD3A-A61956193520}</x14:id>
        </ext>
      </extLst>
    </cfRule>
    <cfRule type="dataBar" priority="11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{CA50E68C-D4FA-45C1-9712-CA2D74E8963A}</x14:id>
        </ext>
      </extLst>
    </cfRule>
    <cfRule type="dataBar" priority="1134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{0E3877E0-6CDB-471D-A599-3602B54911D1}</x14:id>
        </ext>
      </extLst>
    </cfRule>
    <cfRule type="dataBar" priority="113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{AA7AC3EC-E0EA-426E-A3E9-B58820FC74BF}</x14:id>
        </ext>
      </extLst>
    </cfRule>
    <cfRule type="dataBar" priority="11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{69DC687D-70C9-48FE-AEB5-D7EA5263F5EE}</x14:id>
        </ext>
      </extLst>
    </cfRule>
  </conditionalFormatting>
  <conditionalFormatting sqref="U5:U6 U8:U21">
    <cfRule type="dataBar" priority="1135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{0BBEA058-E2CC-42B9-9766-9371689353D6}</x14:id>
        </ext>
      </extLst>
    </cfRule>
  </conditionalFormatting>
  <conditionalFormatting sqref="U5:U6 U8:U22">
    <cfRule type="dataBar" priority="113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{FE214EEA-C607-4BA1-B19D-3DE832CD39CA}</x14:id>
        </ext>
      </extLst>
    </cfRule>
  </conditionalFormatting>
  <conditionalFormatting sqref="U5:U22">
    <cfRule type="dataBar" priority="1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{5A593D80-19E5-434B-8EC6-600932E4FD38}</x14:id>
        </ext>
      </extLst>
    </cfRule>
    <cfRule type="dataBar" priority="5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{69E1094C-C32B-457D-890B-300A789E9631}</x14:id>
        </ext>
      </extLst>
    </cfRule>
  </conditionalFormatting>
  <conditionalFormatting sqref="U7">
    <cfRule type="dataBar" priority="3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{4B4369AB-B58B-41A8-9B8B-7494FB8B871D}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{2F5C1624-3247-4AD5-85A0-10164AD4835D}</x14:id>
        </ext>
      </extLst>
    </cfRule>
    <cfRule type="dataBar" priority="3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{2CA14E59-3534-4F51-9C1B-04DE66D5F7A0}</x14:id>
        </ext>
      </extLst>
    </cfRule>
    <cfRule type="dataBar" priority="2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{65408CEC-0B03-42EF-A18E-6D9EF624093B}</x14:id>
        </ext>
      </extLst>
    </cfRule>
    <cfRule type="dataBar" priority="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{263D8887-ABA5-4114-8D9E-0C61724D3DEB}</x14:id>
        </ext>
      </extLst>
    </cfRule>
    <cfRule type="dataBar" priority="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{783CFFF3-BE06-45D4-A693-CCDA427BE836}</x14:id>
        </ext>
      </extLst>
    </cfRule>
    <cfRule type="dataBar" priority="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{A56A903E-BBB2-4380-B758-B18ABC6CBD5E}</x14:id>
        </ext>
      </extLst>
    </cfRule>
    <cfRule type="dataBar" priority="1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{D852CC91-0684-4047-95BC-91D084C19DF0}</x14:id>
        </ext>
      </extLst>
    </cfRule>
    <cfRule type="dataBar" priority="1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{0B8DC745-8A55-405C-A2A0-6430DC749927}</x14:id>
        </ext>
      </extLst>
    </cfRule>
    <cfRule type="dataBar" priority="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{2271C8B5-7D55-431E-BC8F-3926F8878538}</x14:id>
        </ext>
      </extLs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{CFCFA4B2-2A31-48B3-A53F-3EF2D37A817D}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{D3D236C2-0B9E-4AD4-AE78-0D0C1EA38FCB}</x14:id>
        </ext>
      </extLst>
    </cfRule>
    <cfRule type="dataBar" priority="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{F7BD3223-493B-4694-AA19-CF5F43BA01AA}</x14:id>
        </ext>
      </extLst>
    </cfRule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{71B5A031-9F2D-4B04-AB5E-AD44354BDF60}</x14:id>
        </ext>
      </extLst>
    </cfRule>
    <cfRule type="dataBar" priority="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{D76EF6E5-A535-4481-A487-3D51F10D691B}</x14:id>
        </ext>
      </extLst>
    </cfRule>
    <cfRule type="dataBar" priority="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{1B3B2869-EA76-4868-9066-F806E5ABF83E}</x14:id>
        </ext>
      </extLst>
    </cfRule>
    <cfRule type="dataBar" priority="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{02366496-9A8A-49E2-BDEA-2D73F009CEA7}</x14:id>
        </ext>
      </extLst>
    </cfRule>
    <cfRule type="dataBar" priority="2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{26A51E16-5A02-465D-AD98-17CF174C94AF}</x14:id>
        </ext>
      </extLst>
    </cfRule>
    <cfRule type="dataBar" priority="1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{47C57E28-5C98-4DD7-9156-5D75531CA339}</x14:id>
        </ext>
      </extLst>
    </cfRule>
    <cfRule type="dataBar" priority="1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{74D10811-2164-4A0D-8716-9749106E1431}</x14:id>
        </ext>
      </extLst>
    </cfRule>
    <cfRule type="dataBar" priority="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{166F0EC9-E225-420F-95D6-8641A68C0BBF}</x14:id>
        </ext>
      </extLst>
    </cfRule>
    <cfRule type="dataBar" priority="3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{CC061987-E078-49E4-BD0D-86260122255B}</x14:id>
        </ext>
      </extLst>
    </cfRule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{7644BD9F-96F7-45FD-9043-6473D9F0EDAC}</x14:id>
        </ext>
      </extLst>
    </cfRule>
  </conditionalFormatting>
  <conditionalFormatting sqref="U21">
    <cfRule type="dataBar" priority="211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{219CB791-B237-4700-909E-F76D9AB6DE65}</x14:id>
        </ext>
      </extLst>
    </cfRule>
    <cfRule type="dataBar" priority="2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{AB8F8623-04FB-41EE-8656-6E3FE95EC9C5}</x14:id>
        </ext>
      </extLst>
    </cfRule>
    <cfRule type="dataBar" priority="211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{5A731C81-788C-49E1-8139-5613EFB1FC3C}</x14:id>
        </ext>
      </extLst>
    </cfRule>
    <cfRule type="dataBar" priority="211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{2B5FE3FE-E247-4A84-A819-AF7B9674DEAA}</x14:id>
        </ext>
      </extLst>
    </cfRule>
    <cfRule type="dataBar" priority="2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{FFC65C05-6597-4DAD-880F-45B6A969F6FC}</x14:id>
        </ext>
      </extLst>
    </cfRule>
    <cfRule type="dataBar" priority="211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{F8B86C8A-D09B-4BD6-B1FE-10B1555CD379}</x14:id>
        </ext>
      </extLst>
    </cfRule>
  </conditionalFormatting>
  <conditionalFormatting sqref="U22">
    <cfRule type="dataBar" priority="209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{7E917AC5-FDC5-42BF-9163-AB4CE697C9D1}</x14:id>
        </ext>
      </extLst>
    </cfRule>
    <cfRule type="dataBar" priority="2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{08ED122B-4765-482D-8719-218B9CA9492C}</x14:id>
        </ext>
      </extLst>
    </cfRule>
    <cfRule type="dataBar" priority="20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{630C893F-89CE-44D5-82A2-B66CD8470490}</x14:id>
        </ext>
      </extLst>
    </cfRule>
    <cfRule type="dataBar" priority="20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{11E01590-970F-4509-BCE9-1CB3B7388D8D}</x14:id>
        </ext>
      </extLst>
    </cfRule>
    <cfRule type="dataBar" priority="2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{A180A09F-B7B2-45E8-825C-73D805F9F3EC}</x14:id>
        </ext>
      </extLst>
    </cfRule>
    <cfRule type="dataBar" priority="20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{05F5265A-2768-4E5B-A783-D3033854CD8D}</x14:id>
        </ext>
      </extLst>
    </cfRule>
    <cfRule type="dataBar" priority="208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{AF6AB1BA-582A-4AD6-B2F3-626A0DB57315}</x14:id>
        </ext>
      </extLst>
    </cfRule>
  </conditionalFormatting>
  <conditionalFormatting sqref="V5:V10">
    <cfRule type="dataBar" priority="24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{C52CF9EC-03F9-4D7B-9CB5-A638944869B1}</x14:id>
        </ext>
      </extLst>
    </cfRule>
    <cfRule type="dataBar" priority="2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{384A5BAF-12CB-49CB-A9AE-94C79792A6AB}</x14:id>
        </ext>
      </extLst>
    </cfRule>
    <cfRule type="dataBar" priority="24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{6A0F39C6-1B6A-47B5-9645-F05D35D7563C}</x14:id>
        </ext>
      </extLst>
    </cfRule>
    <cfRule type="dataBar" priority="24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{0A4845ED-8CDD-470C-8E7A-76F36E9E7EEF}</x14:id>
        </ext>
      </extLst>
    </cfRule>
    <cfRule type="dataBar" priority="24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{F79C0C23-6730-48A2-A4BF-84C73CE4793E}</x14:id>
        </ext>
      </extLst>
    </cfRule>
    <cfRule type="dataBar" priority="24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{2034F215-C348-4140-B31C-4850DA2BBFD3}</x14:id>
        </ext>
      </extLst>
    </cfRule>
    <cfRule type="dataBar" priority="2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{458BCE55-8C50-4754-927B-2C3235038A54}</x14:id>
        </ext>
      </extLst>
    </cfRule>
    <cfRule type="dataBar" priority="24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{64D3B826-6220-418B-8224-34FB62B26845}</x14:id>
        </ext>
      </extLst>
    </cfRule>
    <cfRule type="dataBar" priority="2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{860DFE08-A688-4046-9734-564880CC5577}</x14:id>
        </ext>
      </extLst>
    </cfRule>
    <cfRule type="dataBar" priority="2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{76BD312A-C186-47A7-83D6-D6CB71C3237C}</x14:id>
        </ext>
      </extLst>
    </cfRule>
    <cfRule type="dataBar" priority="24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{194AB421-AAA8-4B04-B9E0-464591BD0700}</x14:id>
        </ext>
      </extLst>
    </cfRule>
    <cfRule type="dataBar" priority="24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{078AD4C8-273C-431F-B4A4-D7A49AD8FB20}</x14:id>
        </ext>
      </extLst>
    </cfRule>
    <cfRule type="dataBar" priority="24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{7AA7EDC8-342A-4563-A325-16813F979951}</x14:id>
        </ext>
      </extLst>
    </cfRule>
    <cfRule type="dataBar" priority="247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{71C86266-B46D-41CF-AD35-32FA7BA853B4}</x14:id>
        </ext>
      </extLst>
    </cfRule>
    <cfRule type="dataBar" priority="247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{4DE6461C-87AA-45F8-BB0D-18380C6B4903}</x14:id>
        </ext>
      </extLst>
    </cfRule>
    <cfRule type="dataBar" priority="24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{2AF58CE5-4E56-4D01-84D9-CCCDCFAAE932}</x14:id>
        </ext>
      </extLst>
    </cfRule>
    <cfRule type="dataBar" priority="24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{E2CBF468-3A1A-4CA5-9A09-9F3E0E4FFE26}</x14:id>
        </ext>
      </extLst>
    </cfRule>
  </conditionalFormatting>
  <conditionalFormatting sqref="V11">
    <cfRule type="dataBar" priority="137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{0E7731A5-034C-4026-9DDC-EDDD253ADB2E}</x14:id>
        </ext>
      </extLst>
    </cfRule>
    <cfRule type="dataBar" priority="138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{84E8869D-B2CE-4213-9440-C313770BA88D}</x14:id>
        </ext>
      </extLst>
    </cfRule>
    <cfRule type="dataBar" priority="13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{EE34F244-1A6D-4832-A162-79E0302CDC37}</x14:id>
        </ext>
      </extLst>
    </cfRule>
    <cfRule type="dataBar" priority="13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{64C6C34B-E011-44FD-B6DD-EEB345E20182}</x14:id>
        </ext>
      </extLst>
    </cfRule>
    <cfRule type="dataBar" priority="138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{63DEB228-D275-49C3-B894-BF174E4F5F10}</x14:id>
        </ext>
      </extLst>
    </cfRule>
    <cfRule type="dataBar" priority="1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{05046A3A-5F08-4B86-AC6A-7736DB073321}</x14:id>
        </ext>
      </extLst>
    </cfRule>
    <cfRule type="dataBar" priority="138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{C8553F1D-F708-411D-9248-949D307A8872}</x14:id>
        </ext>
      </extLst>
    </cfRule>
    <cfRule type="dataBar" priority="138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{488DF855-50FC-4185-903D-A960EF54223D}</x14:id>
        </ext>
      </extLst>
    </cfRule>
  </conditionalFormatting>
  <conditionalFormatting sqref="V12">
    <cfRule type="dataBar" priority="136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{727DF7EB-ACA9-47EC-815B-B45794BC56FB}</x14:id>
        </ext>
      </extLst>
    </cfRule>
    <cfRule type="dataBar" priority="1355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{E4056F40-DD3F-44C6-92AC-546A0BDECEE5}</x14:id>
        </ext>
      </extLst>
    </cfRule>
    <cfRule type="dataBar" priority="135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{B3174D10-8819-49F0-8AF0-B03999E185A8}</x14:id>
        </ext>
      </extLst>
    </cfRule>
    <cfRule type="dataBar" priority="13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{1ECE1C87-CD54-40B4-8F70-F52D98FD1586}</x14:id>
        </ext>
      </extLst>
    </cfRule>
    <cfRule type="dataBar" priority="1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{FB88ABD7-55B9-4534-A97F-EEC5F8830FDE}</x14:id>
        </ext>
      </extLst>
    </cfRule>
    <cfRule type="dataBar" priority="13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{5416EB1E-4194-4F46-B1AC-0993C40EDE47}</x14:id>
        </ext>
      </extLst>
    </cfRule>
    <cfRule type="dataBar" priority="136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{C7EC75C9-40A2-474A-A6C5-79DD8490B565}</x14:id>
        </ext>
      </extLst>
    </cfRule>
    <cfRule type="dataBar" priority="1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{A48048B0-E3D1-4041-96F4-3BBD6F4D31C1}</x14:id>
        </ext>
      </extLst>
    </cfRule>
  </conditionalFormatting>
  <conditionalFormatting sqref="V13">
    <cfRule type="dataBar" priority="137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{779B7FD3-0F60-44F4-AAFE-33AC98E3512B}</x14:id>
        </ext>
      </extLst>
    </cfRule>
    <cfRule type="dataBar" priority="1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{4ED74B6A-78E4-46D6-B455-2C6B3F6F483E}</x14:id>
        </ext>
      </extLst>
    </cfRule>
    <cfRule type="dataBar" priority="137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{A64C6F74-E08D-4D92-8B79-2E73ADD64B74}</x14:id>
        </ext>
      </extLst>
    </cfRule>
    <cfRule type="dataBar" priority="13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{B5E77F7C-B008-4312-9C17-93E6B69CFAE9}</x14:id>
        </ext>
      </extLst>
    </cfRule>
    <cfRule type="dataBar" priority="1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{BA1739B6-694F-4209-A950-C6FF940C050B}</x14:id>
        </ext>
      </extLst>
    </cfRule>
    <cfRule type="dataBar" priority="1371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{8F01F05D-3ACD-4DB7-B472-F09F02CC707A}</x14:id>
        </ext>
      </extLst>
    </cfRule>
    <cfRule type="dataBar" priority="137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{BAB80957-9397-411B-A7C2-85FE0663717D}</x14:id>
        </ext>
      </extLst>
    </cfRule>
    <cfRule type="dataBar" priority="13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{FBCE64AD-4F24-4A58-ADFC-66A1B5653624}</x14:id>
        </ext>
      </extLst>
    </cfRule>
  </conditionalFormatting>
  <conditionalFormatting sqref="V14">
    <cfRule type="dataBar" priority="1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{4BCE8088-55D2-4AA6-96F7-174FC9A6172B}</x14:id>
        </ext>
      </extLst>
    </cfRule>
    <cfRule type="dataBar" priority="136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{EB989974-D840-496F-9332-BF651427D4A2}</x14:id>
        </ext>
      </extLst>
    </cfRule>
    <cfRule type="dataBar" priority="13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{6BEF8F67-0F45-43A2-83DD-BF4E11127E3F}</x14:id>
        </ext>
      </extLst>
    </cfRule>
    <cfRule type="dataBar" priority="13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{1299C1FD-B835-4B56-8108-CEB5AE07366B}</x14:id>
        </ext>
      </extLst>
    </cfRule>
    <cfRule type="dataBar" priority="136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{A3F7D51F-75A8-4F61-B564-B6DD56C9FB28}</x14:id>
        </ext>
      </extLst>
    </cfRule>
    <cfRule type="dataBar" priority="136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{BF088CEF-862B-4067-8E77-D100EC760600}</x14:id>
        </ext>
      </extLst>
    </cfRule>
    <cfRule type="dataBar" priority="137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{83CA1DAC-89CC-483E-8211-5FAA5FAC69BC}</x14:id>
        </ext>
      </extLst>
    </cfRule>
    <cfRule type="dataBar" priority="136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{6A860D66-AB8F-4AC2-9EB2-07BC919651DF}</x14:id>
        </ext>
      </extLst>
    </cfRule>
  </conditionalFormatting>
  <conditionalFormatting sqref="V15:V22">
    <cfRule type="dataBar" priority="56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{294E5073-2F73-4D3A-B9BA-548E945AEDDA}</x14:id>
        </ext>
      </extLst>
    </cfRule>
    <cfRule type="dataBar" priority="56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{3B94B23E-56CA-4FD5-8F67-4EA03BC732D3}</x14:id>
        </ext>
      </extLst>
    </cfRule>
    <cfRule type="dataBar" priority="563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{5039588F-A127-472C-819E-112C058B4FF8}</x14:id>
        </ext>
      </extLst>
    </cfRule>
    <cfRule type="dataBar" priority="56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{BF8018C6-3CFD-4BB4-9328-09CDDE5E2061}</x14:id>
        </ext>
      </extLst>
    </cfRule>
    <cfRule type="dataBar" priority="5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{626BF5D9-4D98-4EBF-9AAE-F797B0736DA4}</x14:id>
        </ext>
      </extLst>
    </cfRule>
    <cfRule type="dataBar" priority="56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{11047C8C-3ECE-4425-BA5F-42938B0D739C}</x14:id>
        </ext>
      </extLst>
    </cfRule>
    <cfRule type="dataBar" priority="564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{9E273DCC-1B76-4EAE-8AAC-E0820787A095}</x14:id>
        </ext>
      </extLst>
    </cfRule>
    <cfRule type="dataBar" priority="56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{33711332-1DE7-43A2-A5C2-601F0956DE10}</x14:id>
        </ext>
      </extLst>
    </cfRule>
    <cfRule type="dataBar" priority="563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{E91D6AC7-A46E-4B32-93BB-F484F7760E8C}</x14:id>
        </ext>
      </extLst>
    </cfRule>
    <cfRule type="dataBar" priority="563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{DF0099DB-1658-49DD-8241-EEE3768BE9F4}</x14:id>
        </ext>
      </extLst>
    </cfRule>
    <cfRule type="dataBar" priority="563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{AFFB063A-34E7-4712-B511-9871552DF9C5}</x14:id>
        </ext>
      </extLst>
    </cfRule>
    <cfRule type="dataBar" priority="56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{FCF9F2AF-CB7C-4F81-9643-22BD4252B143}</x14:id>
        </ext>
      </extLst>
    </cfRule>
    <cfRule type="dataBar" priority="56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{0F627BB2-88CD-4C89-811D-4B8895BAF2C7}</x14:id>
        </ext>
      </extLst>
    </cfRule>
    <cfRule type="dataBar" priority="56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{10032FD2-6599-48CA-8A31-9D7832ED0A4C}</x14:id>
        </ext>
      </extLst>
    </cfRule>
    <cfRule type="dataBar" priority="56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{CC768E16-5BFC-4D90-958B-A860D8F5C464}</x14:id>
        </ext>
      </extLst>
    </cfRule>
    <cfRule type="dataBar" priority="56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{AD1290BB-154F-4728-8F57-30B80969904D}</x14:id>
        </ext>
      </extLst>
    </cfRule>
    <cfRule type="dataBar" priority="565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{8C3DB8CB-83DA-4081-BF83-560BAB417793}</x14:id>
        </ext>
      </extLst>
    </cfRule>
  </conditionalFormatting>
  <conditionalFormatting sqref="Y11">
    <cfRule type="dataBar" priority="19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{81283655-9F61-4207-A4E1-B21597FBE74D}</x14:id>
        </ext>
      </extLst>
    </cfRule>
  </conditionalFormatting>
  <conditionalFormatting sqref="Z5:Z6 AC9:AC10">
    <cfRule type="dataBar" priority="22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{8C49DE35-7BE5-4150-BE01-C30117A945F2}</x14:id>
        </ext>
      </extLst>
    </cfRule>
    <cfRule type="dataBar" priority="22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{0A8BC301-1345-42AA-BAD5-20530531819C}</x14:id>
        </ext>
      </extLst>
    </cfRule>
    <cfRule type="dataBar" priority="2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{9252D96C-8DFE-4D18-9CD4-5FDEF79D4BD1}</x14:id>
        </ext>
      </extLst>
    </cfRule>
  </conditionalFormatting>
  <conditionalFormatting sqref="Z5:Z18 AC5:AC18">
    <cfRule type="dataBar" priority="118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{F911475B-5191-410A-9E2F-45806ABC8187}</x14:id>
        </ext>
      </extLst>
    </cfRule>
    <cfRule type="dataBar" priority="11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{908C2408-8039-4551-A896-97794D22CC88}</x14:id>
        </ext>
      </extLst>
    </cfRule>
  </conditionalFormatting>
  <conditionalFormatting sqref="Z5:Z19">
    <cfRule type="dataBar" priority="11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{D3450FA7-526C-46F8-8DD5-DDF00BC25BCB}</x14:id>
        </ext>
      </extLst>
    </cfRule>
    <cfRule type="dataBar" priority="1177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{3E08BDC0-4172-453E-922D-AB7360ECD44B}</x14:id>
        </ext>
      </extLst>
    </cfRule>
    <cfRule type="dataBar" priority="11771">
      <dataBar>
        <cfvo type="min"/>
        <cfvo type="max"/>
        <color rgb="FF42D4E8"/>
      </dataBar>
      <extLst>
        <ext xmlns:x14="http://schemas.microsoft.com/office/spreadsheetml/2009/9/main" uri="{B025F937-C7B1-47D3-B67F-A62EFF666E3E}">
          <x14:id>{B38BFF81-F0CD-4F6E-BA28-5CEA149E1A40}</x14:id>
        </ext>
      </extLst>
    </cfRule>
  </conditionalFormatting>
  <conditionalFormatting sqref="Z5:Z20">
    <cfRule type="dataBar" priority="117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{809E34F3-B19B-4E6D-8529-95ADD42D837E}</x14:id>
        </ext>
      </extLst>
    </cfRule>
    <cfRule type="dataBar" priority="1177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{020EF640-E7E3-452E-8D0D-F5CA73B6D08B}</x14:id>
        </ext>
      </extLst>
    </cfRule>
  </conditionalFormatting>
  <conditionalFormatting sqref="Z5:Z21">
    <cfRule type="dataBar" priority="11866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{EFF2E138-4D9D-4A37-A84D-10165AB8AE14}</x14:id>
        </ext>
      </extLst>
    </cfRule>
  </conditionalFormatting>
  <conditionalFormatting sqref="Z5:Z22">
    <cfRule type="dataBar" priority="4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{411B95DB-967B-450B-A6FD-435925F4F8B2}</x14:id>
        </ext>
      </extLst>
    </cfRule>
    <cfRule type="dataBar" priority="1185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{EE79CCDF-6469-4D70-AA68-15D06801F207}</x14:id>
        </ext>
      </extLst>
    </cfRule>
    <cfRule type="dataBar" priority="1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{4B0FA832-C27A-454F-BE45-1D771EAEB422}</x14:id>
        </ext>
      </extLst>
    </cfRule>
    <cfRule type="dataBar" priority="1185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{2BCA0252-83E6-4750-A1D9-44A32829E004}</x14:id>
        </ext>
      </extLst>
    </cfRule>
    <cfRule type="dataBar" priority="118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{56C7A842-3993-4640-A0FB-A934F74C5B52}</x14:id>
        </ext>
      </extLst>
    </cfRule>
    <cfRule type="dataBar" priority="118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{B58DBCF4-9B7C-447E-8559-0416C263CEBB}</x14:id>
        </ext>
      </extLst>
    </cfRule>
    <cfRule type="dataBar" priority="118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{0328D3DC-EFAE-4533-89D8-9525568DC934}</x14:id>
        </ext>
      </extLst>
    </cfRule>
    <cfRule type="dataBar" priority="11854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{C9C7B885-6B18-4201-A425-349F50E7AA2A}</x14:id>
        </ext>
      </extLst>
    </cfRule>
  </conditionalFormatting>
  <conditionalFormatting sqref="Z7:Z17 AC5:AC8 AC11:AC18">
    <cfRule type="dataBar" priority="117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{BC32AF2B-D238-4F28-9B89-919A9BA43FBB}</x14:id>
        </ext>
      </extLst>
    </cfRule>
    <cfRule type="dataBar" priority="1178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{0E044444-D6F4-420C-AFA2-E6EBB59C0292}</x14:id>
        </ext>
      </extLst>
    </cfRule>
    <cfRule type="dataBar" priority="11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{4E98AF94-6802-4A7F-B528-2E3A8887A033}</x14:id>
        </ext>
      </extLst>
    </cfRule>
  </conditionalFormatting>
  <conditionalFormatting sqref="Z18">
    <cfRule type="dataBar" priority="89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{E0646241-6F24-429A-842C-3D9757B34FFC}</x14:id>
        </ext>
      </extLst>
    </cfRule>
    <cfRule type="dataBar" priority="895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{66EFEE0B-E0DF-4C66-A271-5521A30BBBF6}</x14:id>
        </ext>
      </extLst>
    </cfRule>
    <cfRule type="dataBar" priority="8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{50C48D35-56EA-46BA-903D-27DA2C42393C}</x14:id>
        </ext>
      </extLst>
    </cfRule>
  </conditionalFormatting>
  <conditionalFormatting sqref="Z19">
    <cfRule type="dataBar" priority="216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{047AFA3A-0BE9-4188-BF92-756276D2354A}</x14:id>
        </ext>
      </extLst>
    </cfRule>
    <cfRule type="dataBar" priority="2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{1AAFF697-68BC-43DB-B24D-7A52771F8C3A}</x14:id>
        </ext>
      </extLst>
    </cfRule>
    <cfRule type="dataBar" priority="216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{FA7B8441-3FDF-4989-B64E-E6E9CE45AF38}</x14:id>
        </ext>
      </extLst>
    </cfRule>
    <cfRule type="dataBar" priority="2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{2FF3EA49-9E74-4A77-B71D-991BBE1F4B00}</x14:id>
        </ext>
      </extLst>
    </cfRule>
    <cfRule type="dataBar" priority="216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{A9162E13-D1C3-4E4A-A219-2FC3F6357702}</x14:id>
        </ext>
      </extLst>
    </cfRule>
  </conditionalFormatting>
  <conditionalFormatting sqref="Z20">
    <cfRule type="dataBar" priority="25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{72565083-BFAD-4E6D-B246-38958E3C80BC}</x14:id>
        </ext>
      </extLst>
    </cfRule>
    <cfRule type="dataBar" priority="25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{528F6B2F-06FA-41D1-A859-F2FDCE1A5B6B}</x14:id>
        </ext>
      </extLst>
    </cfRule>
    <cfRule type="dataBar" priority="2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{FCC0D9F8-4C5D-492E-ACBD-0AA228606F68}</x14:id>
        </ext>
      </extLst>
    </cfRule>
    <cfRule type="dataBar" priority="25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{3CC54B0C-3F88-4D8F-B85B-BA3FC355830B}</x14:id>
        </ext>
      </extLst>
    </cfRule>
    <cfRule type="dataBar" priority="2520">
      <dataBar>
        <cfvo type="min"/>
        <cfvo type="max"/>
        <color rgb="FF42D4E8"/>
      </dataBar>
      <extLst>
        <ext xmlns:x14="http://schemas.microsoft.com/office/spreadsheetml/2009/9/main" uri="{B025F937-C7B1-47D3-B67F-A62EFF666E3E}">
          <x14:id>{66E8DDA0-C870-4908-AB1F-E72CA84249D9}</x14:id>
        </ext>
      </extLst>
    </cfRule>
    <cfRule type="dataBar" priority="251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{AA912642-2A5C-46C4-8D16-E4013E366527}</x14:id>
        </ext>
      </extLst>
    </cfRule>
    <cfRule type="dataBar" priority="25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{C4A6EA76-B8E3-483F-9461-CED0B3081124}</x14:id>
        </ext>
      </extLst>
    </cfRule>
    <cfRule type="dataBar" priority="2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{6A644074-8716-4920-993E-79860827A384}</x14:id>
        </ext>
      </extLst>
    </cfRule>
  </conditionalFormatting>
  <conditionalFormatting sqref="Z21:Z22">
    <cfRule type="dataBar" priority="1125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{6D3F4493-820D-4F81-9E94-FEBCA87DB2FA}</x14:id>
        </ext>
      </extLst>
    </cfRule>
    <cfRule type="dataBar" priority="11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{8847F160-CA1A-45E8-9ED8-35070DE4C98A}</x14:id>
        </ext>
      </extLst>
    </cfRule>
    <cfRule type="dataBar" priority="1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{745D312A-86F3-4727-8277-CDA834357DC0}</x14:id>
        </ext>
      </extLst>
    </cfRule>
    <cfRule type="dataBar" priority="112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{FCFA8DF5-9CAD-4A9D-A2C2-225CB656CD31}</x14:id>
        </ext>
      </extLst>
    </cfRule>
    <cfRule type="dataBar" priority="11257">
      <dataBar>
        <cfvo type="min"/>
        <cfvo type="max"/>
        <color rgb="FF42D4E8"/>
      </dataBar>
      <extLst>
        <ext xmlns:x14="http://schemas.microsoft.com/office/spreadsheetml/2009/9/main" uri="{B025F937-C7B1-47D3-B67F-A62EFF666E3E}">
          <x14:id>{23D9FA6B-8FB7-42C6-8A02-0C31CCDE1785}</x14:id>
        </ext>
      </extLst>
    </cfRule>
    <cfRule type="dataBar" priority="1125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{EBA76523-83F4-411E-AB23-D804717247B9}</x14:id>
        </ext>
      </extLst>
    </cfRule>
    <cfRule type="dataBar" priority="112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{0403B304-92C4-43BF-AA9E-85FDDE1D3AA0}</x14:id>
        </ext>
      </extLst>
    </cfRule>
    <cfRule type="dataBar" priority="11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{B22AF4E4-E658-421C-B7A2-7FADE9732878}</x14:id>
        </ext>
      </extLst>
    </cfRule>
    <cfRule type="dataBar" priority="1125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{91A1339A-D416-454D-B061-2775271D3CEF}</x14:id>
        </ext>
      </extLst>
    </cfRule>
    <cfRule type="dataBar" priority="112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{1C01DB70-AE99-4FB3-9EFE-2497C2DA774E}</x14:id>
        </ext>
      </extLst>
    </cfRule>
  </conditionalFormatting>
  <conditionalFormatting sqref="AA5 AB9">
    <cfRule type="dataBar" priority="112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{C7CB24D6-12EE-4056-A2D2-B899346853CD}</x14:id>
        </ext>
      </extLst>
    </cfRule>
    <cfRule type="dataBar" priority="11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{48989782-CF9F-406A-8AAA-6208689055FD}</x14:id>
        </ext>
      </extLst>
    </cfRule>
    <cfRule type="dataBar" priority="11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{ACD63F51-7B24-4BCA-9025-2F77876443AE}</x14:id>
        </ext>
      </extLst>
    </cfRule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{4FFB859A-54A7-4AD0-81CC-056470F13859}</x14:id>
        </ext>
      </extLst>
    </cfRule>
    <cfRule type="dataBar" priority="1121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{C719678C-D4D0-47CD-B25A-374F11D6E16E}</x14:id>
        </ext>
      </extLst>
    </cfRule>
    <cfRule type="dataBar" priority="112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{6D99B19C-08B7-4B20-ABBB-CDB0347B0851}</x14:id>
        </ext>
      </extLst>
    </cfRule>
    <cfRule type="dataBar" priority="1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{BC1FC357-3304-4F91-84CB-42B8ABA90FCD}</x14:id>
        </ext>
      </extLst>
    </cfRule>
    <cfRule type="dataBar" priority="11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{B3124B48-9B9A-4C71-9793-809A083D7744}</x14:id>
        </ext>
      </extLst>
    </cfRule>
  </conditionalFormatting>
  <conditionalFormatting sqref="AA7 AB11">
    <cfRule type="dataBar" priority="112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{C692775B-FB5C-482A-8294-A9B91FC1C342}</x14:id>
        </ext>
      </extLst>
    </cfRule>
    <cfRule type="dataBar" priority="111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{BCF5418C-D831-4134-9B13-0B67EE424D49}</x14:id>
        </ext>
      </extLst>
    </cfRule>
    <cfRule type="dataBar" priority="111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{6945C7CB-81E5-4B17-B17C-89DD03285654}</x14:id>
        </ext>
      </extLst>
    </cfRule>
    <cfRule type="dataBar" priority="11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{A24B00E6-1D62-4728-9F36-D891CFF2D864}</x14:id>
        </ext>
      </extLst>
    </cfRule>
    <cfRule type="dataBar" priority="1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{ABC9D4FF-6BFF-48B2-A1A2-106D296F7F41}</x14:id>
        </ext>
      </extLst>
    </cfRule>
    <cfRule type="dataBar" priority="11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{56F7FEAA-2CE7-4350-80D7-111E3A3F1715}</x14:id>
        </ext>
      </extLst>
    </cfRule>
    <cfRule type="dataBar" priority="111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{4D94906D-D9B6-4B24-880B-A98D57B5AD7C}</x14:id>
        </ext>
      </extLst>
    </cfRule>
    <cfRule type="dataBar" priority="1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{6366DC92-1DEF-4647-881D-E82BFD68FE78}</x14:id>
        </ext>
      </extLst>
    </cfRule>
  </conditionalFormatting>
  <conditionalFormatting sqref="AA8:AA10 AB12:AB15">
    <cfRule type="dataBar" priority="1181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{FA0735D6-FA46-4DA7-A390-97DE890F81EC}</x14:id>
        </ext>
      </extLst>
    </cfRule>
    <cfRule type="dataBar" priority="117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{922274D4-390F-4957-B45C-D41AC03061A0}</x14:id>
        </ext>
      </extLst>
    </cfRule>
    <cfRule type="dataBar" priority="117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{00E1D1C1-7E60-4000-9728-C5B9364755A2}</x14:id>
        </ext>
      </extLst>
    </cfRule>
    <cfRule type="dataBar" priority="117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{AF541289-E2C7-481E-BF53-BD87E0ABF3F7}</x14:id>
        </ext>
      </extLst>
    </cfRule>
    <cfRule type="dataBar" priority="117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{9297BFD3-1841-48A3-965A-3CDFD19FF919}</x14:id>
        </ext>
      </extLst>
    </cfRule>
    <cfRule type="dataBar" priority="117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{C7149599-61E9-4024-B0E3-BDEF79D9A682}</x14:id>
        </ext>
      </extLst>
    </cfRule>
    <cfRule type="dataBar" priority="118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{1290A4AD-D596-480C-A3D0-16896DE69B0D}</x14:id>
        </ext>
      </extLst>
    </cfRule>
    <cfRule type="dataBar" priority="118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{377A4C57-6122-4C25-BD03-7009F1A3612D}</x14:id>
        </ext>
      </extLst>
    </cfRule>
    <cfRule type="dataBar" priority="118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{C3E61ADB-189D-44EF-B3FD-828468451CF2}</x14:id>
        </ext>
      </extLst>
    </cfRule>
    <cfRule type="dataBar" priority="11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{6A8B539B-4E61-49C0-9AC7-AFA0E58AA8FE}</x14:id>
        </ext>
      </extLst>
    </cfRule>
    <cfRule type="dataBar" priority="1180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{935A93B5-C117-4664-A93E-904B299EE65B}</x14:id>
        </ext>
      </extLst>
    </cfRule>
    <cfRule type="dataBar" priority="11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{74C6A241-D595-4ACF-A9AD-BAD26D15A5E0}</x14:id>
        </ext>
      </extLst>
    </cfRule>
    <cfRule type="dataBar" priority="11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{EA4491DE-3765-4E80-8920-DB4D29FD8870}</x14:id>
        </ext>
      </extLst>
    </cfRule>
    <cfRule type="dataBar" priority="118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{ADD87D54-4192-4891-9803-2EBEAE5A1FC0}</x14:id>
        </ext>
      </extLst>
    </cfRule>
    <cfRule type="dataBar" priority="118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{39B7E084-5DF2-4625-9540-CAB6C6E177EC}</x14:id>
        </ext>
      </extLst>
    </cfRule>
    <cfRule type="dataBar" priority="11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{3CDE4B51-8B42-4BA7-A2B9-FE0D3E8A48FF}</x14:id>
        </ext>
      </extLst>
    </cfRule>
    <cfRule type="dataBar" priority="1181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{09E1413D-6053-4B0B-AF92-1875A0489022}</x14:id>
        </ext>
      </extLst>
    </cfRule>
  </conditionalFormatting>
  <conditionalFormatting sqref="AA14:AA16 AB23:AB27 AC24:AG25">
    <cfRule type="dataBar" priority="920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{B048ACB3-07F1-4B81-9B33-BC7B7464281C}</x14:id>
        </ext>
      </extLst>
    </cfRule>
    <cfRule type="dataBar" priority="9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{EAB70223-2A9D-477D-A329-D461E07B1001}</x14:id>
        </ext>
      </extLst>
    </cfRule>
    <cfRule type="dataBar" priority="91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{52F3FD29-032C-4DD7-9ACE-3FFDAC68C4F2}</x14:id>
        </ext>
      </extLst>
    </cfRule>
    <cfRule type="dataBar" priority="91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{202F5BF9-4023-411C-9864-187965B82215}</x14:id>
        </ext>
      </extLst>
    </cfRule>
    <cfRule type="dataBar" priority="92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{E5078F90-B4B2-46DD-99F0-B121416259F5}</x14:id>
        </ext>
      </extLst>
    </cfRule>
    <cfRule type="dataBar" priority="920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{26296193-4D76-414C-84A5-09A437ABE33C}</x14:id>
        </ext>
      </extLst>
    </cfRule>
    <cfRule type="dataBar" priority="91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{FF42DEB1-A2AD-4914-90FC-F5D74773BE41}</x14:id>
        </ext>
      </extLst>
    </cfRule>
    <cfRule type="dataBar" priority="92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{C11F6E74-8005-40B2-93FB-045EDEAF4871}</x14:id>
        </ext>
      </extLst>
    </cfRule>
    <cfRule type="dataBar" priority="920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{90067405-B5A5-46DE-B2FB-28208657947F}</x14:id>
        </ext>
      </extLst>
    </cfRule>
    <cfRule type="dataBar" priority="920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{5F356C88-C6E8-416E-8568-46EE2D6A5BDF}</x14:id>
        </ext>
      </extLst>
    </cfRule>
    <cfRule type="dataBar" priority="9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{E42FF436-EDF1-4913-BC84-12D56FAABC7E}</x14:id>
        </ext>
      </extLst>
    </cfRule>
    <cfRule type="dataBar" priority="921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{8DC022D7-AB14-41A0-A08A-CFA885DFF0D5}</x14:id>
        </ext>
      </extLst>
    </cfRule>
    <cfRule type="dataBar" priority="92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{3B12E4BC-7734-4398-8C27-109DD0CE78CB}</x14:id>
        </ext>
      </extLst>
    </cfRule>
    <cfRule type="dataBar" priority="92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{DFE18BFD-1C49-48D2-B9AD-A3D8084F15FB}</x14:id>
        </ext>
      </extLst>
    </cfRule>
    <cfRule type="dataBar" priority="9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{9854B3FD-8789-47D8-85F7-73B75A042B15}</x14:id>
        </ext>
      </extLst>
    </cfRule>
    <cfRule type="dataBar" priority="920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{A10E6BBA-D82E-46F1-B806-29C9B5D3537B}</x14:id>
        </ext>
      </extLst>
    </cfRule>
    <cfRule type="dataBar" priority="920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{D953BF12-3930-4754-AF33-6D25E7138361}</x14:id>
        </ext>
      </extLst>
    </cfRule>
  </conditionalFormatting>
  <conditionalFormatting sqref="AA18:AA19 AB31:AB35">
    <cfRule type="dataBar" priority="904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{7FD56BBD-F367-4F56-A747-A463CA1BE928}</x14:id>
        </ext>
      </extLst>
    </cfRule>
    <cfRule type="dataBar" priority="904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{4E01F02C-F195-4B58-9F5C-05E4A90EE824}</x14:id>
        </ext>
      </extLst>
    </cfRule>
    <cfRule type="dataBar" priority="904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{4DD3BA28-5652-4C64-92C9-C40B668B930E}</x14:id>
        </ext>
      </extLst>
    </cfRule>
    <cfRule type="dataBar" priority="904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{493AE5A6-861B-403A-A556-4E65BABB01B4}</x14:id>
        </ext>
      </extLst>
    </cfRule>
    <cfRule type="dataBar" priority="90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{0E49529B-F7FC-4BC8-8577-89BD1D0D0AE3}</x14:id>
        </ext>
      </extLst>
    </cfRule>
    <cfRule type="dataBar" priority="90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{A88C70B8-3DBE-41E3-88AE-B62A0F933304}</x14:id>
        </ext>
      </extLst>
    </cfRule>
    <cfRule type="dataBar" priority="90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{1700A666-A0C7-4FAE-B49B-56C26C7718AB}</x14:id>
        </ext>
      </extLst>
    </cfRule>
    <cfRule type="dataBar" priority="90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{C5C35B72-77A9-4024-A0E8-1A8DD9AD7B8D}</x14:id>
        </ext>
      </extLst>
    </cfRule>
    <cfRule type="dataBar" priority="90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{CE833ECA-0CCC-4CB7-9C2A-DACA30DA7503}</x14:id>
        </ext>
      </extLst>
    </cfRule>
    <cfRule type="dataBar" priority="905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{894C1EE1-82C0-4727-922D-359FD0C8B7E5}</x14:id>
        </ext>
      </extLst>
    </cfRule>
    <cfRule type="dataBar" priority="90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{BD1F1D36-51D1-4A93-869B-8B02C6D6537B}</x14:id>
        </ext>
      </extLst>
    </cfRule>
    <cfRule type="dataBar" priority="90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{AC925DFC-B08E-44AA-BCD0-74654A9BE261}</x14:id>
        </ext>
      </extLst>
    </cfRule>
    <cfRule type="dataBar" priority="904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{385D788E-6B7A-4C29-934A-C25FD9A24813}</x14:id>
        </ext>
      </extLst>
    </cfRule>
    <cfRule type="dataBar" priority="90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{BFD013E3-ADF1-419E-BDBF-3A17B1329145}</x14:id>
        </ext>
      </extLst>
    </cfRule>
    <cfRule type="dataBar" priority="90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{EB8D3FC2-4CE2-420C-AA00-1ABAB16646D9}</x14:id>
        </ext>
      </extLst>
    </cfRule>
    <cfRule type="dataBar" priority="904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{2ADF4746-4E58-4E12-9968-80A1CCF64D6B}</x14:id>
        </ext>
      </extLst>
    </cfRule>
    <cfRule type="dataBar" priority="90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{D64B2B6D-D11C-4E93-8C2A-B29A8CF31A78}</x14:id>
        </ext>
      </extLst>
    </cfRule>
  </conditionalFormatting>
  <conditionalFormatting sqref="AA20 AB36">
    <cfRule type="dataBar" priority="252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{72DF54A2-3C18-4289-B688-A799FD07BF81}</x14:id>
        </ext>
      </extLst>
    </cfRule>
    <cfRule type="dataBar" priority="2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{A102198D-8CFD-4C06-BEAB-DEB35C1EE254}</x14:id>
        </ext>
      </extLst>
    </cfRule>
    <cfRule type="dataBar" priority="252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{F5239128-5ADC-4B04-AB03-61D3C725A0AC}</x14:id>
        </ext>
      </extLst>
    </cfRule>
    <cfRule type="dataBar" priority="252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{09BEE467-CA62-44B9-8CB5-245F9F7477CE}</x14:id>
        </ext>
      </extLst>
    </cfRule>
    <cfRule type="dataBar" priority="25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{75767F02-A7F9-4022-A7DF-2094717005E9}</x14:id>
        </ext>
      </extLst>
    </cfRule>
    <cfRule type="dataBar" priority="25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{C378122F-8177-4E35-ADE7-06DE8B025B29}</x14:id>
        </ext>
      </extLst>
    </cfRule>
    <cfRule type="dataBar" priority="2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{EBD07A79-99E8-4FAC-B375-CAC55F2B4C57}</x14:id>
        </ext>
      </extLst>
    </cfRule>
    <cfRule type="dataBar" priority="252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{57CE5A4A-C7B8-4C2F-A289-BC4A74C40FDA}</x14:id>
        </ext>
      </extLst>
    </cfRule>
  </conditionalFormatting>
  <conditionalFormatting sqref="AB5">
    <cfRule type="dataBar" priority="723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{9832BD26-DAF8-496D-8105-263AE16A9DF1}</x14:id>
        </ext>
      </extLst>
    </cfRule>
    <cfRule type="dataBar" priority="7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{D08993A3-6AAF-46B4-85B2-C5F51C62BA56}</x14:id>
        </ext>
      </extLst>
    </cfRule>
    <cfRule type="dataBar" priority="723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{D21EFF99-1AA4-4710-99FB-0314CB2BC7C1}</x14:id>
        </ext>
      </extLst>
    </cfRule>
    <cfRule type="dataBar" priority="723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{71926A39-C234-41CB-BB34-F8E243F4807C}</x14:id>
        </ext>
      </extLst>
    </cfRule>
    <cfRule type="dataBar" priority="72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{6EA836C8-E6FD-47C0-885B-C02FEEC3E6D5}</x14:id>
        </ext>
      </extLst>
    </cfRule>
    <cfRule type="dataBar" priority="7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{4C8205DA-980C-4457-A408-2A81461F5E20}</x14:id>
        </ext>
      </extLst>
    </cfRule>
    <cfRule type="dataBar" priority="722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{F2649783-8303-4CEA-AFC4-01570BFCB234}</x14:id>
        </ext>
      </extLst>
    </cfRule>
    <cfRule type="dataBar" priority="7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{AF5323A9-C181-4A58-B91D-A85778CDA78A}</x14:id>
        </ext>
      </extLst>
    </cfRule>
    <cfRule type="dataBar" priority="7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{3C74C124-45A4-424A-BC2F-C5E51CF0D2A5}</x14:id>
        </ext>
      </extLst>
    </cfRule>
    <cfRule type="dataBar" priority="7220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{947BBFE8-015F-4495-9D03-F0174472F61B}</x14:id>
        </ext>
      </extLst>
    </cfRule>
    <cfRule type="dataBar" priority="7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{5F7CC163-C162-43A0-8B51-5FB768A1E06E}</x14:id>
        </ext>
      </extLst>
    </cfRule>
    <cfRule type="dataBar" priority="72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{07198776-1353-4CA9-A83E-32408DBE1B83}</x14:id>
        </ext>
      </extLst>
    </cfRule>
    <cfRule type="dataBar" priority="720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{B883FB30-1133-4EAE-968E-AFFCFC445FC5}</x14:id>
        </ext>
      </extLst>
    </cfRule>
    <cfRule type="dataBar" priority="720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{46A90E1A-AD90-4F17-A9CB-F86C3081ADAA}</x14:id>
        </ext>
      </extLst>
    </cfRule>
    <cfRule type="dataBar" priority="720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{1A2E5B64-7020-48E6-93A2-0C97F94B5E30}</x14:id>
        </ext>
      </extLst>
    </cfRule>
    <cfRule type="dataBar" priority="7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{16B298A1-F821-444B-A763-4C037F187F3E}</x14:id>
        </ext>
      </extLst>
    </cfRule>
    <cfRule type="dataBar" priority="72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{F32DB801-2B06-45FB-A405-301F856A2927}</x14:id>
        </ext>
      </extLst>
    </cfRule>
    <cfRule type="dataBar" priority="722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{7CD2A193-163F-4EBF-93D5-CB8E84E92497}</x14:id>
        </ext>
      </extLst>
    </cfRule>
    <cfRule type="dataBar" priority="721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{CBBA0459-4B1D-427B-ABDF-A9306757EF63}</x14:id>
        </ext>
      </extLst>
    </cfRule>
    <cfRule type="dataBar" priority="72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{B1A40850-643A-4C5E-AAD7-FF913A35AFB7}</x14:id>
        </ext>
      </extLst>
    </cfRule>
    <cfRule type="dataBar" priority="721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{075315DD-C2B7-4591-9477-7F623C77E799}</x14:id>
        </ext>
      </extLst>
    </cfRule>
    <cfRule type="dataBar" priority="72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{AC002A06-E019-4441-8419-5804EA48DD31}</x14:id>
        </ext>
      </extLst>
    </cfRule>
    <cfRule type="dataBar" priority="722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{AEF24C6B-5D9C-40C6-92F2-980AE22463FB}</x14:id>
        </ext>
      </extLst>
    </cfRule>
    <cfRule type="dataBar" priority="722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{F6FB594E-4651-44AF-A8A9-DAEBA25C19C0}</x14:id>
        </ext>
      </extLst>
    </cfRule>
    <cfRule type="dataBar" priority="72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{58CD6FDA-6B28-4AC8-B7EB-882AB7A73557}</x14:id>
        </ext>
      </extLst>
    </cfRule>
    <cfRule type="dataBar" priority="7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{BF39AAB5-CEE4-4CE7-9796-A9D52E9C55FD}</x14:id>
        </ext>
      </extLst>
    </cfRule>
    <cfRule type="dataBar" priority="721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{59FC1091-0E7E-4CB2-97E5-F749F4C4ECF1}</x14:id>
        </ext>
      </extLst>
    </cfRule>
    <cfRule type="dataBar" priority="721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{2A87CF7E-102F-47A5-B1FF-DF95959903A3}</x14:id>
        </ext>
      </extLst>
    </cfRule>
    <cfRule type="dataBar" priority="72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{B4A5CEEF-7DAB-45AA-8E80-73DE7A2B9DB3}</x14:id>
        </ext>
      </extLst>
    </cfRule>
    <cfRule type="dataBar" priority="722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{1BCB2CC5-53B1-4120-9FB8-A5331D09E3D4}</x14:id>
        </ext>
      </extLst>
    </cfRule>
  </conditionalFormatting>
  <conditionalFormatting sqref="AB6">
    <cfRule type="dataBar" priority="650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{B9B50A20-3C52-4684-A3BA-305F2BC28F38}</x14:id>
        </ext>
      </extLst>
    </cfRule>
    <cfRule type="dataBar" priority="650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{00F63833-971E-4CD4-8E6B-24B17F94CFCE}</x14:id>
        </ext>
      </extLst>
    </cfRule>
    <cfRule type="dataBar" priority="6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{E94D2A80-EEBE-4D02-BF90-C8B42EDC4FCB}</x14:id>
        </ext>
      </extLst>
    </cfRule>
    <cfRule type="dataBar" priority="650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{6AAE8884-9D20-40A6-A7DE-53848CB223F0}</x14:id>
        </ext>
      </extLst>
    </cfRule>
    <cfRule type="dataBar" priority="649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{86068B02-426F-4F7F-958F-51D8EC7D4AA8}</x14:id>
        </ext>
      </extLst>
    </cfRule>
    <cfRule type="dataBar" priority="6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{404FD8B8-7BEA-4123-80CC-8339E8294B91}</x14:id>
        </ext>
      </extLst>
    </cfRule>
    <cfRule type="dataBar" priority="64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{6DC0C019-503C-46E7-823E-A5195762DB42}</x14:id>
        </ext>
      </extLst>
    </cfRule>
    <cfRule type="dataBar" priority="64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{49232C91-3268-4268-B8D0-4564FB3C896C}</x14:id>
        </ext>
      </extLst>
    </cfRule>
  </conditionalFormatting>
  <conditionalFormatting sqref="AB7">
    <cfRule type="dataBar" priority="72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{60E980B2-0F00-42AD-B76F-835ADC1F3D2C}</x14:id>
        </ext>
      </extLst>
    </cfRule>
    <cfRule type="dataBar" priority="72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{9B4FE300-8C3D-4C91-9E36-A9FEA89B265A}</x14:id>
        </ext>
      </extLst>
    </cfRule>
    <cfRule type="dataBar" priority="725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{68B42316-8C71-4466-AC0B-47C3F22C9544}</x14:id>
        </ext>
      </extLst>
    </cfRule>
    <cfRule type="dataBar" priority="725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{CFA1D28F-43D6-4EF0-A285-1ABAC7D734D6}</x14:id>
        </ext>
      </extLst>
    </cfRule>
    <cfRule type="dataBar" priority="723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{441E7DE4-D07E-478A-85A3-3BFCB6BE1214}</x14:id>
        </ext>
      </extLst>
    </cfRule>
    <cfRule type="dataBar" priority="7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{5FA653CC-9DA5-4CBB-BBE9-DA3816807722}</x14:id>
        </ext>
      </extLst>
    </cfRule>
    <cfRule type="dataBar" priority="72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{DDBE2A17-B28A-4DC0-9CE6-2D11AF5EDE45}</x14:id>
        </ext>
      </extLst>
    </cfRule>
    <cfRule type="dataBar" priority="724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{7928A478-680A-441F-B47E-E34DAF505CFC}</x14:id>
        </ext>
      </extLst>
    </cfRule>
    <cfRule type="dataBar" priority="723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{6A5D10C6-393F-4932-A168-4DD9FD42857E}</x14:id>
        </ext>
      </extLst>
    </cfRule>
    <cfRule type="dataBar" priority="72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{7401DD3C-3F05-4E30-B8B9-CEDD3743A934}</x14:id>
        </ext>
      </extLst>
    </cfRule>
    <cfRule type="dataBar" priority="723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{6DBCE0D9-B9E3-47B2-AB00-E5A1BD427D5B}</x14:id>
        </ext>
      </extLst>
    </cfRule>
    <cfRule type="dataBar" priority="72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{A0C6281C-7948-469E-9240-BE3837EF09ED}</x14:id>
        </ext>
      </extLst>
    </cfRule>
    <cfRule type="dataBar" priority="724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{38029582-AA32-40F7-A2CB-DDA0D26AF983}</x14:id>
        </ext>
      </extLst>
    </cfRule>
    <cfRule type="dataBar" priority="724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{E6121B32-FB4E-4253-8101-AD9901934652}</x14:id>
        </ext>
      </extLst>
    </cfRule>
    <cfRule type="dataBar" priority="7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{16A797FE-7E52-4256-B51A-F1EE98E9AD59}</x14:id>
        </ext>
      </extLst>
    </cfRule>
    <cfRule type="dataBar" priority="724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{AE65C6A2-FF1B-4A25-A295-81F79914339D}</x14:id>
        </ext>
      </extLst>
    </cfRule>
    <cfRule type="dataBar" priority="7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{5C7AB09E-90DE-4305-85E2-3FF3944E43E2}</x14:id>
        </ext>
      </extLst>
    </cfRule>
  </conditionalFormatting>
  <conditionalFormatting sqref="AB8">
    <cfRule type="dataBar" priority="1048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{BD27677B-26EF-4DE2-8672-26AF483FA0A0}</x14:id>
        </ext>
      </extLst>
    </cfRule>
    <cfRule type="dataBar" priority="10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{1DF2B96E-C86A-4FC7-B0BA-CAA8B199EB94}</x14:id>
        </ext>
      </extLst>
    </cfRule>
    <cfRule type="dataBar" priority="104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{16541982-7E67-4C64-BD29-969E446DE98A}</x14:id>
        </ext>
      </extLst>
    </cfRule>
    <cfRule type="dataBar" priority="1048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{7DE8AC3B-6D0A-466E-940F-D40712C0526D}</x14:id>
        </ext>
      </extLst>
    </cfRule>
    <cfRule type="dataBar" priority="1046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{1668173F-0182-4A0F-91A3-A6C33CEADB1E}</x14:id>
        </ext>
      </extLst>
    </cfRule>
    <cfRule type="dataBar" priority="10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{6C0A34D5-4661-4CA8-B359-5615D5B76FAE}</x14:id>
        </ext>
      </extLst>
    </cfRule>
    <cfRule type="dataBar" priority="104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{A4AA5606-F482-4634-955C-D8F6A3FE404D}</x14:id>
        </ext>
      </extLst>
    </cfRule>
    <cfRule type="dataBar" priority="104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{90C0E876-A8D5-4FDD-8A9F-52ED1450EEC9}</x14:id>
        </ext>
      </extLst>
    </cfRule>
  </conditionalFormatting>
  <conditionalFormatting sqref="AB10 AA6">
    <cfRule type="dataBar" priority="1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{DE5320B1-9ADD-4514-A4E5-2866626C1625}</x14:id>
        </ext>
      </extLst>
    </cfRule>
    <cfRule type="dataBar" priority="12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{5909C2F8-C716-47D5-9155-25ED38DDA4CD}</x14:id>
        </ext>
      </extLst>
    </cfRule>
    <cfRule type="dataBar" priority="127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{241C48E3-C2F4-4CBE-8F7D-081BC09AC089}</x14:id>
        </ext>
      </extLst>
    </cfRule>
    <cfRule type="dataBar" priority="1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{D9D87AA4-7511-4F7F-A195-3244C3B3D345}</x14:id>
        </ext>
      </extLst>
    </cfRule>
    <cfRule type="dataBar" priority="128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{56D9969E-6920-4DE6-9D8B-27B7EF09F1C1}</x14:id>
        </ext>
      </extLst>
    </cfRule>
    <cfRule type="dataBar" priority="128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{56DDE058-46F4-434F-BD2F-59513C94601C}</x14:id>
        </ext>
      </extLst>
    </cfRule>
    <cfRule type="dataBar" priority="12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{E9C2EA4F-94F0-4EE2-9071-B6BFA33353E1}</x14:id>
        </ext>
      </extLst>
    </cfRule>
    <cfRule type="dataBar" priority="1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{F9204732-5DEB-497A-9538-CC19D7F8FE8B}</x14:id>
        </ext>
      </extLst>
    </cfRule>
    <cfRule type="dataBar" priority="1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{94F2D1B4-8D52-4EA8-92B8-1D4E4B772934}</x14:id>
        </ext>
      </extLst>
    </cfRule>
    <cfRule type="dataBar" priority="12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{8050AA24-431C-488F-BD80-02C74C3336DB}</x14:id>
        </ext>
      </extLst>
    </cfRule>
    <cfRule type="dataBar" priority="12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{2ABD4404-D5D7-464B-8CA3-F6D0A103EFBB}</x14:id>
        </ext>
      </extLst>
    </cfRule>
    <cfRule type="dataBar" priority="1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{0012BE36-5C99-4CE4-BBA9-0F77786147B3}</x14:id>
        </ext>
      </extLst>
    </cfRule>
    <cfRule type="dataBar" priority="12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{44A17D09-59D5-47F5-B1EE-E2A5326B3CF0}</x14:id>
        </ext>
      </extLst>
    </cfRule>
    <cfRule type="dataBar" priority="12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{68D4BBFD-284B-4E69-95E7-8A422ACC54DB}</x14:id>
        </ext>
      </extLst>
    </cfRule>
    <cfRule type="dataBar" priority="12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{8FCCC713-F39A-4587-8C16-CE060F2975E8}</x14:id>
        </ext>
      </extLst>
    </cfRule>
    <cfRule type="dataBar" priority="12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{0E24742C-976F-46AD-8DAC-F5650F3AF1DE}</x14:id>
        </ext>
      </extLst>
    </cfRule>
    <cfRule type="dataBar" priority="12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{788D52ED-3B17-41BE-809B-E70AB963E534}</x14:id>
        </ext>
      </extLst>
    </cfRule>
  </conditionalFormatting>
  <conditionalFormatting sqref="AB16 AA11">
    <cfRule type="dataBar" priority="1105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{F3DAABD9-A34C-4378-9557-0147EC58331D}</x14:id>
        </ext>
      </extLst>
    </cfRule>
    <cfRule type="dataBar" priority="110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{A2FC43CB-57F3-404A-8250-D3A60F4BCCF1}</x14:id>
        </ext>
      </extLst>
    </cfRule>
    <cfRule type="dataBar" priority="11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{61C89F5D-A676-4724-8F89-51CA2C12B1A8}</x14:id>
        </ext>
      </extLst>
    </cfRule>
    <cfRule type="dataBar" priority="11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{30F3B5D2-C1B0-4F79-892C-81EA4C249841}</x14:id>
        </ext>
      </extLst>
    </cfRule>
    <cfRule type="dataBar" priority="1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{0A709315-D5FB-4B2E-8346-72D70989A0BF}</x14:id>
        </ext>
      </extLst>
    </cfRule>
    <cfRule type="dataBar" priority="1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{34C57184-0412-41FD-850F-F6E858B46B8A}</x14:id>
        </ext>
      </extLst>
    </cfRule>
    <cfRule type="dataBar" priority="111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{6B188707-A9E8-49A8-A2FC-2A4370FDC0A2}</x14:id>
        </ext>
      </extLst>
    </cfRule>
    <cfRule type="dataBar" priority="11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{BC152ABE-F7D0-4EE0-9BE7-0F4AB2BFD687}</x14:id>
        </ext>
      </extLst>
    </cfRule>
  </conditionalFormatting>
  <conditionalFormatting sqref="AB17:AB21 AA12:AA13">
    <cfRule type="dataBar" priority="806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{557C2C08-8D59-45C8-A6FD-229888F893B6}</x14:id>
        </ext>
      </extLst>
    </cfRule>
    <cfRule type="dataBar" priority="8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{A425463C-DC08-46A8-82FB-CD366371BF17}</x14:id>
        </ext>
      </extLst>
    </cfRule>
    <cfRule type="dataBar" priority="806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{430BB1A2-A1D8-4011-867C-5A61A4115283}</x14:id>
        </ext>
      </extLst>
    </cfRule>
    <cfRule type="dataBar" priority="807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{8B1DF0CE-26F5-4396-9D4C-B62D43920758}</x14:id>
        </ext>
      </extLst>
    </cfRule>
    <cfRule type="dataBar" priority="80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{05097278-9525-4AF8-AD00-4AB1BA5B32EB}</x14:id>
        </ext>
      </extLst>
    </cfRule>
    <cfRule type="dataBar" priority="806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{779C7AE7-EDD2-4055-BC64-82C9099C0D44}</x14:id>
        </ext>
      </extLst>
    </cfRule>
    <cfRule type="dataBar" priority="807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{CA37E47E-AAC6-4CB5-8B00-1AAE71C5517A}</x14:id>
        </ext>
      </extLst>
    </cfRule>
    <cfRule type="dataBar" priority="80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{840698A2-9979-4802-8608-379F0C52F16F}</x14:id>
        </ext>
      </extLst>
    </cfRule>
    <cfRule type="dataBar" priority="80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{20A88E59-3913-482A-903C-C1843835D11B}</x14:id>
        </ext>
      </extLst>
    </cfRule>
    <cfRule type="dataBar" priority="80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{C530C353-EE04-476C-ADD1-C62CB308386D}</x14:id>
        </ext>
      </extLst>
    </cfRule>
    <cfRule type="dataBar" priority="807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{84A86371-1E08-47EE-87D5-2604DF76057E}</x14:id>
        </ext>
      </extLst>
    </cfRule>
    <cfRule type="dataBar" priority="806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{5D9362E7-4627-4CA4-9EE3-5A1CF4FA8653}</x14:id>
        </ext>
      </extLst>
    </cfRule>
    <cfRule type="dataBar" priority="80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{745ACAFC-6E37-48E3-B139-179BF5495701}</x14:id>
        </ext>
      </extLst>
    </cfRule>
    <cfRule type="dataBar" priority="808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{000AF103-F258-497C-A0C2-D43C5389A33D}</x14:id>
        </ext>
      </extLst>
    </cfRule>
    <cfRule type="dataBar" priority="807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{53D9D59B-8667-4D7F-AFB7-6C7F88A2F177}</x14:id>
        </ext>
      </extLst>
    </cfRule>
    <cfRule type="dataBar" priority="807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{938BEDA7-9779-46AD-A1CB-1D0A94676D7D}</x14:id>
        </ext>
      </extLst>
    </cfRule>
    <cfRule type="dataBar" priority="808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{C93B3936-3228-4FD1-8A80-4AE2A2014AE9}</x14:id>
        </ext>
      </extLst>
    </cfRule>
  </conditionalFormatting>
  <conditionalFormatting sqref="AB22">
    <cfRule type="dataBar" priority="1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{911A34C7-6353-45E6-B87C-4777C58C30B7}</x14:id>
        </ext>
      </extLst>
    </cfRule>
    <cfRule type="dataBar" priority="11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{6DEB2C7A-9F31-40C4-8045-4F99CB655C6C}</x14:id>
        </ext>
      </extLst>
    </cfRule>
    <cfRule type="dataBar" priority="11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{72128127-4715-4B80-86A3-852E03A121A4}</x14:id>
        </ext>
      </extLst>
    </cfRule>
    <cfRule type="dataBar" priority="1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{1BA971C0-5372-4938-B704-8F7B0F410B04}</x14:id>
        </ext>
      </extLst>
    </cfRule>
    <cfRule type="dataBar" priority="109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{33CB9FAF-F6AA-4CBF-9B77-E5494338F2BD}</x14:id>
        </ext>
      </extLst>
    </cfRule>
    <cfRule type="dataBar" priority="109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{0D9C5F4A-7204-4EB9-AFAA-DA39C2C8B8A1}</x14:id>
        </ext>
      </extLst>
    </cfRule>
    <cfRule type="dataBar" priority="109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{FED836D1-3CE0-48F3-997B-489C8F9E8DF0}</x14:id>
        </ext>
      </extLst>
    </cfRule>
    <cfRule type="dataBar" priority="110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{C7471DCD-C66A-4FEA-BB2C-2D7508DA177C}</x14:id>
        </ext>
      </extLst>
    </cfRule>
  </conditionalFormatting>
  <conditionalFormatting sqref="AB28">
    <cfRule type="dataBar" priority="86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{84B16B80-FF4A-4094-B335-F32235B8FCAC}</x14:id>
        </ext>
      </extLst>
    </cfRule>
    <cfRule type="dataBar" priority="86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{0213F4ED-0DA4-4A71-B078-84C557A7E46C}</x14:id>
        </ext>
      </extLst>
    </cfRule>
    <cfRule type="dataBar" priority="863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{18323EA7-F093-49D0-B207-68AE074E71B5}</x14:id>
        </ext>
      </extLst>
    </cfRule>
    <cfRule type="dataBar" priority="863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{B00A7257-2475-418B-8A4D-EEACE61A614E}</x14:id>
        </ext>
      </extLst>
    </cfRule>
    <cfRule type="dataBar" priority="86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{A01649A7-57E0-4006-8980-E704555BD2F4}</x14:id>
        </ext>
      </extLst>
    </cfRule>
    <cfRule type="dataBar" priority="8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{52CE0289-A265-4398-AB68-0127406411D0}</x14:id>
        </ext>
      </extLst>
    </cfRule>
    <cfRule type="dataBar" priority="864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{606B7C9A-AF4E-4088-A334-48DCD5E80479}</x14:id>
        </ext>
      </extLst>
    </cfRule>
    <cfRule type="dataBar" priority="864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{DB2828E8-09B7-4EDC-9E93-C2EFA2506787}</x14:id>
        </ext>
      </extLst>
    </cfRule>
  </conditionalFormatting>
  <conditionalFormatting sqref="AB29:AB30 AA17">
    <cfRule type="dataBar" priority="932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{FA00D5D9-8E04-4BA0-99BE-7257BF5348DA}</x14:id>
        </ext>
      </extLst>
    </cfRule>
    <cfRule type="dataBar" priority="933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{A76CCE5B-C612-445F-99C7-7B517B69E54F}</x14:id>
        </ext>
      </extLst>
    </cfRule>
    <cfRule type="dataBar" priority="933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{89DE1C90-BDFF-4D0D-B354-07DBFD9AA837}</x14:id>
        </ext>
      </extLst>
    </cfRule>
    <cfRule type="dataBar" priority="933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{408DB75F-4649-4014-BFBE-203A90ECED16}</x14:id>
        </ext>
      </extLst>
    </cfRule>
    <cfRule type="dataBar" priority="9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{F43AD649-63B2-49BA-AC45-2C0235B77BFB}</x14:id>
        </ext>
      </extLst>
    </cfRule>
    <cfRule type="dataBar" priority="933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{26433D26-1056-48B6-9D14-7BED9FDFB594}</x14:id>
        </ext>
      </extLst>
    </cfRule>
    <cfRule type="dataBar" priority="932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{75DCD696-0077-433B-A51D-7458BEA4A28A}</x14:id>
        </ext>
      </extLst>
    </cfRule>
    <cfRule type="dataBar" priority="932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{56FFDE5E-4521-42FE-8FBF-21406028A921}</x14:id>
        </ext>
      </extLst>
    </cfRule>
    <cfRule type="dataBar" priority="934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{75967E70-BEA1-4A6B-A141-E7C22BB4BD24}</x14:id>
        </ext>
      </extLst>
    </cfRule>
    <cfRule type="dataBar" priority="934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{EBA436A4-19FB-4B53-ACBB-8A1E40FF9DA0}</x14:id>
        </ext>
      </extLst>
    </cfRule>
    <cfRule type="dataBar" priority="9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{39164D8B-DECD-496B-BB9A-73AFB615BC9B}</x14:id>
        </ext>
      </extLst>
    </cfRule>
    <cfRule type="dataBar" priority="933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{AF4601A0-8FF4-48F8-B67D-82579AC13DA5}</x14:id>
        </ext>
      </extLst>
    </cfRule>
    <cfRule type="dataBar" priority="93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{0202AC9F-D89F-46DC-AC4D-87055234C5AA}</x14:id>
        </ext>
      </extLst>
    </cfRule>
    <cfRule type="dataBar" priority="9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{383EE615-A932-4DC1-B986-4966C8294986}</x14:id>
        </ext>
      </extLst>
    </cfRule>
    <cfRule type="dataBar" priority="9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{9D68CE56-8CF7-4593-AEFE-286089065A39}</x14:id>
        </ext>
      </extLst>
    </cfRule>
    <cfRule type="dataBar" priority="933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{56D62B95-7351-4C54-A124-66E4D7F3E11F}</x14:id>
        </ext>
      </extLst>
    </cfRule>
    <cfRule type="dataBar" priority="9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{CC567F74-00A2-4C56-A2A7-88B4018DA1D2}</x14:id>
        </ext>
      </extLst>
    </cfRule>
  </conditionalFormatting>
  <conditionalFormatting sqref="AD11">
    <cfRule type="dataBar" priority="4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{0A719E80-502A-4FB5-B34D-F2527E3950BC}</x14:id>
        </ext>
      </extLst>
    </cfRule>
  </conditionalFormatting>
  <conditionalFormatting sqref="AF5:AF21">
    <cfRule type="dataBar" priority="114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{9420F916-2F5D-40C0-9203-7DF5DACB8D95}</x14:id>
        </ext>
      </extLst>
    </cfRule>
    <cfRule type="dataBar" priority="114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{284F1DEE-C2C9-4781-89E4-CA60084B7EDB}</x14:id>
        </ext>
      </extLst>
    </cfRule>
    <cfRule type="dataBar" priority="11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{5DB37BF7-64DD-4418-9485-B506D668CA32}</x14:id>
        </ext>
      </extLst>
    </cfRule>
    <cfRule type="dataBar" priority="114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{B957E9A2-08D2-4399-BF3A-41D43A1B0CBB}</x14:id>
        </ext>
      </extLst>
    </cfRule>
    <cfRule type="dataBar" priority="1147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{39BB18DF-D727-4FFB-A420-1A0390EFB13C}</x14:id>
        </ext>
      </extLst>
    </cfRule>
    <cfRule type="dataBar" priority="1147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{9EA501C2-CDDE-4F3E-86B6-AC69E4398D4E}</x14:id>
        </ext>
      </extLst>
    </cfRule>
    <cfRule type="dataBar" priority="1146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{6E8A95F8-310B-47EE-866D-A222F1D2ADD5}</x14:id>
        </ext>
      </extLst>
    </cfRule>
    <cfRule type="dataBar" priority="1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{D2C3D626-3446-4C05-8084-30E0A931A075}</x14:id>
        </ext>
      </extLst>
    </cfRule>
  </conditionalFormatting>
  <conditionalFormatting sqref="AF5:AF22">
    <cfRule type="dataBar" priority="1149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{17E89C4D-EE26-4249-8FB9-FCF6B5F2B603}</x14:id>
        </ext>
      </extLst>
    </cfRule>
    <cfRule type="dataBar" priority="114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{800A29FF-6031-43B7-B105-C45696267487}</x14:id>
        </ext>
      </extLst>
    </cfRule>
    <cfRule type="dataBar" priority="1148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{3373B27B-F1FE-4744-9BBB-B9C6E84811F2}</x14:id>
        </ext>
      </extLst>
    </cfRule>
    <cfRule type="dataBar" priority="1148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{D9356DB0-91E4-4A7E-A547-C7C835965CF6}</x14:id>
        </ext>
      </extLst>
    </cfRule>
    <cfRule type="dataBar" priority="114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{CB4E37DC-6A09-4B94-85CB-8F6C070229DB}</x14:id>
        </ext>
      </extLst>
    </cfRule>
    <cfRule type="dataBar" priority="114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{CBB5A3E8-4E43-4D0F-86FE-F38093D272D5}</x14:id>
        </ext>
      </extLst>
    </cfRule>
    <cfRule type="dataBar" priority="114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{B2871CE3-8E20-419B-9AB2-E67BD0B614C2}</x14:id>
        </ext>
      </extLst>
    </cfRule>
    <cfRule type="dataBar" priority="3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{6E15656F-0FED-45F4-861C-D16F1CE3B937}</x14:id>
        </ext>
      </extLst>
    </cfRule>
    <cfRule type="dataBar" priority="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{E0F8776E-7978-451E-AE5A-9D33B5E2B8E9}</x14:id>
        </ext>
      </extLst>
    </cfRule>
  </conditionalFormatting>
  <conditionalFormatting sqref="AF22">
    <cfRule type="dataBar" priority="1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{27177289-CBAF-4FC2-8545-DEBC7C546DA4}</x14:id>
        </ext>
      </extLst>
    </cfRule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{6A18C649-4A8A-483C-948E-9CF7E9CB4E7E}</x14:id>
        </ext>
      </extLst>
    </cfRule>
    <cfRule type="dataBar" priority="11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{224DC310-1747-46ED-9E08-DF189AEF2CC9}</x14:id>
        </ext>
      </extLst>
    </cfRule>
    <cfRule type="dataBar" priority="11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{BF80B8DE-D2D2-444E-A2D7-5F7D35E334CD}</x14:id>
        </ext>
      </extLst>
    </cfRule>
    <cfRule type="dataBar" priority="1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{C18F8A69-6520-4536-B600-18E1CF4563A6}</x14:id>
        </ext>
      </extLst>
    </cfRule>
    <cfRule type="dataBar" priority="1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{10D6ACAA-08A9-4748-9E22-1898CA44C944}</x14:id>
        </ext>
      </extLst>
    </cfRule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{C7AEED90-B1B4-4B61-9ADB-33958484A034}</x14:id>
        </ext>
      </extLst>
    </cfRule>
  </conditionalFormatting>
  <conditionalFormatting sqref="AG8">
    <cfRule type="dataBar" priority="11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{581BE9F2-91C4-4C45-ACF2-94368331F637}</x14:id>
        </ext>
      </extLst>
    </cfRule>
    <cfRule type="dataBar" priority="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{5D0CA67E-CA8C-46A6-B177-65BC4F91AB7B}</x14:id>
        </ext>
      </extLst>
    </cfRule>
    <cfRule type="dataBar" priority="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{55514D61-5420-47AB-BD1C-BA0C8E41BF0F}</x14:id>
        </ext>
      </extLst>
    </cfRule>
    <cfRule type="dataBar" priority="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{40FE6B9A-10B7-4C0A-B3E0-D8B9D482DFA8}</x14:id>
        </ext>
      </extLst>
    </cfRule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{9F2E407C-83C0-49A7-BBD7-1834505B804C}</x14:id>
        </ext>
      </extLst>
    </cfRule>
    <cfRule type="dataBar" priority="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{E6FEF9BF-2368-480B-B003-0F8301B80B79}</x14:id>
        </ext>
      </extLst>
    </cfRule>
    <cfRule type="dataBar" priority="1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{11E9A76C-9B78-4086-AE52-73826D0F9C1A}</x14:id>
        </ext>
      </extLst>
    </cfRule>
    <cfRule type="dataBar" priority="1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{E38FD2C9-16AC-46DF-92E0-4C0955397015}</x14:id>
        </ext>
      </extLst>
    </cfRule>
    <cfRule type="dataBar" priority="1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{465EC278-6B8C-46C0-B6D3-9FB266A60A13}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{2D207B43-E81D-452D-B6A1-AA5ECD2F43BC}</x14:id>
        </ext>
      </extLst>
    </cfRule>
    <cfRule type="dataBar" priority="10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{166F4381-B1C4-4373-B7C0-5101B3D20C02}</x14:id>
        </ext>
      </extLst>
    </cfRule>
    <cfRule type="dataBar" priority="11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{F59F1309-FA91-49AF-9802-6BBF4B8C0A12}</x14:id>
        </ext>
      </extLst>
    </cfRule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{C760F26D-B452-4FAE-B85D-B815CCC83BC5}</x14:id>
        </ext>
      </extLst>
    </cfRule>
    <cfRule type="dataBar" priority="1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{BCE5DA89-4587-4184-B809-5EF6400CADB4}</x14:id>
        </ext>
      </extLst>
    </cfRule>
    <cfRule type="dataBar" priority="1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{7AA24715-3CC5-4BDB-820C-C529FDCF25B1}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{F736F32B-271B-453A-B6B6-42039FCFF289}</x14:id>
        </ext>
      </extLst>
    </cfRule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{6AC41DBB-848B-44B4-8B69-4D5FEA72376F}</x14:id>
        </ext>
      </extLst>
    </cfRule>
  </conditionalFormatting>
  <conditionalFormatting sqref="AG17:AG19 AH22 AH24:AH26">
    <cfRule type="dataBar" priority="1031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{C32E0CE8-9501-439A-9CB8-C65285051AD9}</x14:id>
        </ext>
      </extLst>
    </cfRule>
    <cfRule type="dataBar" priority="10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{3F62ABB6-3DB3-47EA-84E9-B8A47CB6053D}</x14:id>
        </ext>
      </extLst>
    </cfRule>
    <cfRule type="dataBar" priority="1030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{6CF200D5-D918-4BB0-BE5B-791F122667CB}</x14:id>
        </ext>
      </extLst>
    </cfRule>
    <cfRule type="dataBar" priority="102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{FC37E0DB-53F6-4B08-B6B1-1C5D085F0242}</x14:id>
        </ext>
      </extLst>
    </cfRule>
    <cfRule type="dataBar" priority="1030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{AD2859F8-1E5D-4994-BB8A-443758BEF8FD}</x14:id>
        </ext>
      </extLst>
    </cfRule>
    <cfRule type="dataBar" priority="10301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{656C2B0D-FA42-483F-9340-5CBDD2CD27DC}</x14:id>
        </ext>
      </extLst>
    </cfRule>
    <cfRule type="dataBar" priority="1029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{0DB7CE4E-7C16-44F0-B7AF-83D72B97554E}</x14:id>
        </ext>
      </extLst>
    </cfRule>
    <cfRule type="dataBar" priority="1029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{C2F4D199-BE7A-467E-AF5C-132601BCFDB9}</x14:id>
        </ext>
      </extLst>
    </cfRule>
    <cfRule type="dataBar" priority="10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{A2811116-78CD-4C31-9661-ED5396FFEFFF}</x14:id>
        </ext>
      </extLst>
    </cfRule>
    <cfRule type="dataBar" priority="10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{944C9E39-B8F9-49BD-98DA-56A32261120D}</x14:id>
        </ext>
      </extLst>
    </cfRule>
    <cfRule type="dataBar" priority="103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{4B5DEF7D-53DC-44F3-B692-0D2D2A525165}</x14:id>
        </ext>
      </extLst>
    </cfRule>
    <cfRule type="dataBar" priority="103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{2EF0E9FF-FFB5-4643-8528-40090D412B2A}</x14:id>
        </ext>
      </extLst>
    </cfRule>
    <cfRule type="dataBar" priority="1030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{07472730-4CE0-4BF2-B19A-25A2AEA12E8A}</x14:id>
        </ext>
      </extLst>
    </cfRule>
    <cfRule type="dataBar" priority="10303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{2399AC42-DD46-4DF5-A1A9-BF13A57C91AF}</x14:id>
        </ext>
      </extLst>
    </cfRule>
    <cfRule type="dataBar" priority="1030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{E712A854-378A-4B9B-9AF1-EC360DE75EE3}</x14:id>
        </ext>
      </extLst>
    </cfRule>
    <cfRule type="dataBar" priority="10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{4F630C38-B72D-4D59-99B2-CFF1D2C7662E}</x14:id>
        </ext>
      </extLst>
    </cfRule>
    <cfRule type="dataBar" priority="1031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{297538C5-8D79-4D2F-A19C-82C0CD679DDC}</x14:id>
        </ext>
      </extLst>
    </cfRule>
  </conditionalFormatting>
  <conditionalFormatting sqref="AG20 AH27">
    <cfRule type="dataBar" priority="2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{87E048AC-7BF6-48A5-9D92-4E65BB567ED4}</x14:id>
        </ext>
      </extLst>
    </cfRule>
    <cfRule type="dataBar" priority="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{971C3ED5-C445-4A51-BC21-C021790D73F2}</x14:id>
        </ext>
      </extLst>
    </cfRule>
    <cfRule type="dataBar" priority="2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{FBAA7EE3-5822-4FD4-9C8E-B340255041AE}</x14:id>
        </ext>
      </extLst>
    </cfRule>
    <cfRule type="dataBar" priority="2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{59EB7C06-5643-47DB-BA13-35298A20B246}</x14:id>
        </ext>
      </extLst>
    </cfRule>
    <cfRule type="dataBar" priority="25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{E1EE586C-88FB-42A2-915D-43987BE11847}</x14:id>
        </ext>
      </extLst>
    </cfRule>
    <cfRule type="dataBar" priority="25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{FB8B9882-F0E7-4AAD-9F85-C94DA1F50494}</x14:id>
        </ext>
      </extLst>
    </cfRule>
    <cfRule type="dataBar" priority="25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{D694E52F-482E-4C93-953F-44F918D9676A}</x14:id>
        </ext>
      </extLst>
    </cfRule>
    <cfRule type="dataBar" priority="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{F53F5CE2-52F2-4FE1-81C1-0174334CF200}</x14:id>
        </ext>
      </extLst>
    </cfRule>
  </conditionalFormatting>
  <conditionalFormatting sqref="AG9:AH11 AH12 AG5:AG7">
    <cfRule type="dataBar" priority="3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{96313B46-139F-4125-8BDE-33BDDEA7AF5E}</x14:id>
        </ext>
      </extLst>
    </cfRule>
    <cfRule type="dataBar" priority="3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{C1767DFB-2069-4201-A7BD-06F927244DDD}</x14:id>
        </ext>
      </extLst>
    </cfRule>
    <cfRule type="dataBar" priority="32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{96DC5399-756D-4F20-96A2-8D56C227BAE2}</x14:id>
        </ext>
      </extLst>
    </cfRule>
    <cfRule type="dataBar" priority="3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{F0AB6A55-CEB5-4131-9EF3-A9194E2E203F}</x14:id>
        </ext>
      </extLst>
    </cfRule>
    <cfRule type="dataBar" priority="3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{E622A059-BA66-40CA-89E3-1E12801DCE1D}</x14:id>
        </ext>
      </extLst>
    </cfRule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{8D894E77-10BB-43E8-97E5-240F9D91F5CD}</x14:id>
        </ext>
      </extLst>
    </cfRule>
    <cfRule type="dataBar" priority="3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{A7BDF2EC-E628-47EA-B572-FA0F3B31099A}</x14:id>
        </ext>
      </extLst>
    </cfRule>
    <cfRule type="dataBar" priority="33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{416A6C98-915D-4EF8-B288-A4E57B05EA23}</x14:id>
        </ext>
      </extLst>
    </cfRule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{AEE5DC1B-0594-46F2-8009-A31BA775FE5F}</x14:id>
        </ext>
      </extLst>
    </cfRule>
    <cfRule type="dataBar" priority="32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{E2CBED6C-7672-4E89-B7DA-9DBE108CDB3D}</x14:id>
        </ext>
      </extLst>
    </cfRule>
    <cfRule type="dataBar" priority="32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{8338525F-D927-46B4-9671-AF3E47F0F1E2}</x14:id>
        </ext>
      </extLst>
    </cfRule>
    <cfRule type="dataBar" priority="33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{41B9BF34-CC6D-4D0E-BFD8-CD368D154581}</x14:id>
        </ext>
      </extLst>
    </cfRule>
    <cfRule type="dataBar" priority="33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{1B96030C-B2B9-41EB-9ECC-864D32C5D1BF}</x14:id>
        </ext>
      </extLst>
    </cfRule>
    <cfRule type="dataBar" priority="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{1086BB64-5436-4843-A5DA-CDCE03D078A7}</x14:id>
        </ext>
      </extLst>
    </cfRule>
    <cfRule type="dataBar" priority="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{758ADE40-4EE6-48E3-924A-5E9BCB8DAB57}</x14:id>
        </ext>
      </extLst>
    </cfRule>
    <cfRule type="dataBar" priority="3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{11658077-6789-44A7-8EB9-1D7BE877D596}</x14:id>
        </ext>
      </extLst>
    </cfRule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{B8FC2DE6-6A0E-4184-98CE-4AD9DD1DF3E2}</x14:id>
        </ext>
      </extLst>
    </cfRule>
  </conditionalFormatting>
  <conditionalFormatting sqref="AH13">
    <cfRule type="dataBar" priority="21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{C27C048A-61E8-48A0-8022-0460924B669B}</x14:id>
        </ext>
      </extLst>
    </cfRule>
    <cfRule type="dataBar" priority="21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{044271D8-C3E1-4246-94F0-40F1F7D7CCB6}</x14:id>
        </ext>
      </extLst>
    </cfRule>
    <cfRule type="dataBar" priority="219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{A1B508C0-C7D4-4AEF-AD15-05A4F3FD5951}</x14:id>
        </ext>
      </extLst>
    </cfRule>
    <cfRule type="dataBar" priority="21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{E6A0F7A2-E226-4D20-AE12-60F539541DF2}</x14:id>
        </ext>
      </extLst>
    </cfRule>
    <cfRule type="dataBar" priority="2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{104FCB8D-86E2-42F8-9491-E76536228733}</x14:id>
        </ext>
      </extLst>
    </cfRule>
    <cfRule type="dataBar" priority="21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{8F3A8EFD-E299-4055-B159-FE410A145E58}</x14:id>
        </ext>
      </extLst>
    </cfRule>
    <cfRule type="dataBar" priority="21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{B507562E-295D-4241-85C2-E548E866635A}</x14:id>
        </ext>
      </extLst>
    </cfRule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{D3DECD3F-E7BE-4DB3-ACC7-9F4489344A83}</x14:id>
        </ext>
      </extLst>
    </cfRule>
  </conditionalFormatting>
  <conditionalFormatting sqref="AH14:AH20 AG12:AG16">
    <cfRule type="dataBar" priority="1152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{77BE2D9D-90AE-4546-AA93-1972FFBA9513}</x14:id>
        </ext>
      </extLst>
    </cfRule>
    <cfRule type="dataBar" priority="1152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{F6C7F6B9-672B-407A-B7C2-82B1DAD4F5EB}</x14:id>
        </ext>
      </extLst>
    </cfRule>
    <cfRule type="dataBar" priority="1152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{BC45F62B-8C80-4130-8A81-3B4BF711B1BE}</x14:id>
        </ext>
      </extLst>
    </cfRule>
    <cfRule type="dataBar" priority="11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{3A2A4CB0-DB0B-47CD-AE5B-81BFB6E7D735}</x14:id>
        </ext>
      </extLst>
    </cfRule>
    <cfRule type="dataBar" priority="1153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{55C5061A-E852-4FD0-A81B-F9DD6A037F99}</x14:id>
        </ext>
      </extLst>
    </cfRule>
    <cfRule type="dataBar" priority="11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{DEE54109-D5A7-443C-A642-745F7A202442}</x14:id>
        </ext>
      </extLst>
    </cfRule>
    <cfRule type="dataBar" priority="11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{48BE6E0C-D73D-4408-8A0C-6051979E3273}</x14:id>
        </ext>
      </extLst>
    </cfRule>
    <cfRule type="dataBar" priority="115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{16F290A2-8A82-44CB-8B8F-F03CCFE27575}</x14:id>
        </ext>
      </extLst>
    </cfRule>
    <cfRule type="dataBar" priority="115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{921F1773-D243-4A5A-9ACA-FE58C3C0E787}</x14:id>
        </ext>
      </extLst>
    </cfRule>
    <cfRule type="dataBar" priority="11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{E0AD371D-D814-44E2-BFC6-9E6D5689F1DE}</x14:id>
        </ext>
      </extLst>
    </cfRule>
    <cfRule type="dataBar" priority="1153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{643AE2C3-D754-4478-8428-850957CD6D23}</x14:id>
        </ext>
      </extLst>
    </cfRule>
    <cfRule type="dataBar" priority="1152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{0A4F5C35-8B09-47E6-9FDE-FE559143891D}</x14:id>
        </ext>
      </extLst>
    </cfRule>
    <cfRule type="dataBar" priority="115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{1EFE8624-CF82-4B4C-8F0F-628DF91A8D7D}</x14:id>
        </ext>
      </extLst>
    </cfRule>
    <cfRule type="dataBar" priority="115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{28CF5AA4-0696-4CF5-95D0-519487B259C6}</x14:id>
        </ext>
      </extLst>
    </cfRule>
    <cfRule type="dataBar" priority="115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{26EF4304-252A-476B-87F1-794D11DA0FF8}</x14:id>
        </ext>
      </extLst>
    </cfRule>
    <cfRule type="dataBar" priority="115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{39632B26-88FC-4144-9DE0-2BD527B18754}</x14:id>
        </ext>
      </extLst>
    </cfRule>
    <cfRule type="dataBar" priority="11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{EB895077-9E26-44E4-A009-B436F59DC91B}</x14:id>
        </ext>
      </extLst>
    </cfRule>
  </conditionalFormatting>
  <conditionalFormatting sqref="AH21">
    <cfRule type="dataBar" priority="1010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{FBA7E8BC-E289-4879-BE81-D98C3D211A8C}</x14:id>
        </ext>
      </extLst>
    </cfRule>
    <cfRule type="dataBar" priority="1010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{F906B5CD-A2B8-4D47-8B39-6F7D7536A3CB}</x14:id>
        </ext>
      </extLst>
    </cfRule>
    <cfRule type="dataBar" priority="100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{6F441AB7-9A2A-4ABB-BCD8-49EE4903AF47}</x14:id>
        </ext>
      </extLst>
    </cfRule>
    <cfRule type="dataBar" priority="1010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{4FCC96E9-E784-4A8E-9BA4-FDF262F432DD}</x14:id>
        </ext>
      </extLst>
    </cfRule>
    <cfRule type="dataBar" priority="1009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{0478B450-F248-4372-81E6-5F3927F2D0EC}</x14:id>
        </ext>
      </extLst>
    </cfRule>
    <cfRule type="dataBar" priority="10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{924D3306-BD99-4933-A716-06B7F3DF4C67}</x14:id>
        </ext>
      </extLst>
    </cfRule>
    <cfRule type="dataBar" priority="100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{868771CA-088B-4AD0-ABFE-FE1DACFFD13F}</x14:id>
        </ext>
      </extLst>
    </cfRule>
    <cfRule type="dataBar" priority="10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{C6F70F03-DFB0-4BED-9D2D-3A49D7F8929A}</x14:id>
        </ext>
      </extLst>
    </cfRule>
  </conditionalFormatting>
  <conditionalFormatting sqref="AH28">
    <cfRule type="dataBar" priority="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{EFA493D3-7F8F-4A4C-B3DB-E2A0620E6D7D}</x14:id>
        </ext>
      </extLst>
    </cfRule>
    <cfRule type="dataBar" priority="23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{5FAD34DA-6849-462F-B38F-FB9096F54417}</x14:id>
        </ext>
      </extLst>
    </cfRule>
    <cfRule type="dataBar" priority="23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{29C3CD29-AF46-4B43-8F1F-4C450BBD4FCE}</x14:id>
        </ext>
      </extLst>
    </cfRule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{7B743F68-A5E9-48D6-BF2D-A16CB92FC4E7}</x14:id>
        </ext>
      </extLst>
    </cfRule>
    <cfRule type="dataBar" priority="2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{4F25EA2E-3558-4AD7-8738-E02654FA626F}</x14:id>
        </ext>
      </extLst>
    </cfRule>
    <cfRule type="dataBar" priority="2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{E2C5637D-8C3C-445B-A997-33D4B5866A3D}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{6B4E61D1-5D1C-4DAA-A3E6-04196EF7997B}</x14:id>
        </ext>
      </extLst>
    </cfRule>
    <cfRule type="dataBar" priority="2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{5929E43F-4920-4058-A444-009BEBFECCE9}</x14:id>
        </ext>
      </extLst>
    </cfRule>
    <cfRule type="dataBar" priority="22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{8312482F-51DB-4AE7-A085-2589A910C5CF}</x14:id>
        </ext>
      </extLst>
    </cfRule>
    <cfRule type="dataBar" priority="22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{17F55EA3-7CF6-42E9-B5F3-7327C3E89176}</x14:id>
        </ext>
      </extLst>
    </cfRule>
    <cfRule type="dataBar" priority="22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{EA5DE48C-CC95-4826-A1EA-723E12803C0E}</x14:id>
        </ext>
      </extLst>
    </cfRule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{6D5F1084-A593-4D1C-A960-C3481E6B8A45}</x14:id>
        </ext>
      </extLst>
    </cfRule>
    <cfRule type="dataBar" priority="23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{E870DE88-28FA-486D-84D3-02AABDE29732}</x14:id>
        </ext>
      </extLst>
    </cfRule>
    <cfRule type="dataBar" priority="2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{E47F2369-CA88-4BDB-B3E5-B9E1B801394E}</x14:id>
        </ext>
      </extLst>
    </cfRule>
    <cfRule type="dataBar" priority="2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{E9020F9E-D792-40BD-A3AC-837EE332F2D3}</x14:id>
        </ext>
      </extLst>
    </cfRule>
    <cfRule type="dataBar" priority="23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{69E70249-5443-4B06-9986-3F0EFA42D5E1}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{B995AF92-1FC1-4BC1-A2B4-EA94876EAD9E}</x14:id>
        </ext>
      </extLst>
    </cfRule>
  </conditionalFormatting>
  <conditionalFormatting sqref="AH29:AH30">
    <cfRule type="dataBar" priority="954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{2AE8C1C5-EBF0-43E1-84CE-BF3B32E87E6A}</x14:id>
        </ext>
      </extLst>
    </cfRule>
    <cfRule type="dataBar" priority="9541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{33EC67CA-4240-4648-AB1C-CF4914957A48}</x14:id>
        </ext>
      </extLst>
    </cfRule>
    <cfRule type="dataBar" priority="95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{E622420E-99B7-4EA9-A673-F86F0DE071B9}</x14:id>
        </ext>
      </extLst>
    </cfRule>
    <cfRule type="dataBar" priority="954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{E5456384-0E08-4408-8FE2-29D1B03759E2}</x14:id>
        </ext>
      </extLst>
    </cfRule>
    <cfRule type="dataBar" priority="9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{96CCE559-427D-4059-9E59-6B5956E2AC13}</x14:id>
        </ext>
      </extLst>
    </cfRule>
    <cfRule type="dataBar" priority="95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{A894F2CD-3A98-47D8-AE3A-C048DDD0EE15}</x14:id>
        </ext>
      </extLst>
    </cfRule>
    <cfRule type="dataBar" priority="9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{0E0AA2C2-F29F-41E9-8F4A-ABD1AD803561}</x14:id>
        </ext>
      </extLst>
    </cfRule>
    <cfRule type="dataBar" priority="954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{75F44214-2FAD-4FC4-AD03-556D7F5D2899}</x14:id>
        </ext>
      </extLst>
    </cfRule>
  </conditionalFormatting>
  <conditionalFormatting sqref="AH31">
    <cfRule type="dataBar" priority="106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{555604DA-7955-4493-A3E5-E8CE7CCBE1A2}</x14:id>
        </ext>
      </extLst>
    </cfRule>
    <cfRule type="dataBar" priority="106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{2E2DF425-A541-42C4-8301-F97A66490A57}</x14:id>
        </ext>
      </extLst>
    </cfRule>
    <cfRule type="dataBar" priority="106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{EC126184-1406-400D-B82B-278EF8ED0B7E}</x14:id>
        </ext>
      </extLst>
    </cfRule>
    <cfRule type="dataBar" priority="106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{FD9CCE5F-C8C1-44EF-8576-94F815653048}</x14:id>
        </ext>
      </extLst>
    </cfRule>
    <cfRule type="dataBar" priority="1066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{B0E059CA-0B73-4559-855C-D8B825D66216}</x14:id>
        </ext>
      </extLst>
    </cfRule>
    <cfRule type="dataBar" priority="106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{D4082313-27B8-4B59-9641-4F387E9916E1}</x14:id>
        </ext>
      </extLst>
    </cfRule>
    <cfRule type="dataBar" priority="10642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{0FB6B05E-BF39-4948-AA66-830D222A6187}</x14:id>
        </ext>
      </extLst>
    </cfRule>
    <cfRule type="dataBar" priority="106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{77CD4FFA-323B-4A0C-BA42-A5AF1E378C9F}</x14:id>
        </ext>
      </extLst>
    </cfRule>
    <cfRule type="dataBar" priority="106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{233E9FBD-FC04-4B60-997A-79D5FAC32DAC}</x14:id>
        </ext>
      </extLst>
    </cfRule>
    <cfRule type="dataBar" priority="106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{048A21F3-BDF8-4EA0-8DF8-25B39206808C}</x14:id>
        </ext>
      </extLst>
    </cfRule>
    <cfRule type="dataBar" priority="106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{383EE1C2-A7E3-43A3-8438-CB53B338456D}</x14:id>
        </ext>
      </extLst>
    </cfRule>
    <cfRule type="dataBar" priority="1064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{1F3F2B7E-FFC8-4650-A968-923CEBF0DD33}</x14:id>
        </ext>
      </extLst>
    </cfRule>
    <cfRule type="dataBar" priority="1064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{DEF4CBFC-4231-4459-BB94-F1C47B7FB834}</x14:id>
        </ext>
      </extLst>
    </cfRule>
    <cfRule type="dataBar" priority="10644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{27CEA037-A953-44CD-90C6-A929FCBC521E}</x14:id>
        </ext>
      </extLst>
    </cfRule>
    <cfRule type="dataBar" priority="106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{BDF67821-24C3-42EA-9F72-5BB34B5C2F4E}</x14:id>
        </ext>
      </extLst>
    </cfRule>
    <cfRule type="dataBar" priority="1066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{3D0FDF7D-31D6-4D77-BE9E-883E0A792F9B}</x14:id>
        </ext>
      </extLst>
    </cfRule>
    <cfRule type="dataBar" priority="106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{65B42B3F-17D0-44B6-9AB2-4B41A5197F46}</x14:id>
        </ext>
      </extLst>
    </cfRule>
  </conditionalFormatting>
  <conditionalFormatting sqref="AH32:AH34 AG21">
    <cfRule type="dataBar" priority="971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{05D38420-4929-451A-A906-5C67431D7551}</x14:id>
        </ext>
      </extLst>
    </cfRule>
    <cfRule type="dataBar" priority="971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{BB0D5E14-554A-403C-9113-A9F17D8850C7}</x14:id>
        </ext>
      </extLst>
    </cfRule>
    <cfRule type="dataBar" priority="97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{3FB930B4-40D5-4AD9-BEF1-F36500DC02CE}</x14:id>
        </ext>
      </extLst>
    </cfRule>
    <cfRule type="dataBar" priority="9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{689F5A5E-79F7-49DA-9B8A-FBCF018F07E2}</x14:id>
        </ext>
      </extLst>
    </cfRule>
    <cfRule type="dataBar" priority="97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{4B8677A4-846D-4D32-895E-CC2415CDDAEE}</x14:id>
        </ext>
      </extLst>
    </cfRule>
    <cfRule type="dataBar" priority="972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{F2D9C7F5-E164-4016-9BBA-87A5B012D2BD}</x14:id>
        </ext>
      </extLst>
    </cfRule>
    <cfRule type="dataBar" priority="97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{6B9C53F5-732F-453D-A13D-9377A95556DD}</x14:id>
        </ext>
      </extLst>
    </cfRule>
    <cfRule type="dataBar" priority="97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{DF2390C2-528B-47EF-9335-57D66F5E2E80}</x14:id>
        </ext>
      </extLst>
    </cfRule>
  </conditionalFormatting>
  <conditionalFormatting sqref="AI5">
    <cfRule type="dataBar" priority="2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{518A174B-2359-49A4-A6F9-63411435D18F}</x14:id>
        </ext>
      </extLst>
    </cfRule>
  </conditionalFormatting>
  <conditionalFormatting sqref="AI10">
    <cfRule type="dataBar" priority="217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{1871B889-5C17-4466-BECC-9CC97C8AAE87}</x14:id>
        </ext>
      </extLst>
    </cfRule>
  </conditionalFormatting>
  <conditionalFormatting sqref="AI11">
    <cfRule type="dataBar" priority="217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{A1302E88-6A15-43B9-98B0-AD6465C018A1}</x14:id>
        </ext>
      </extLst>
    </cfRule>
  </conditionalFormatting>
  <conditionalFormatting sqref="AI12">
    <cfRule type="dataBar" priority="217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{278C812C-3982-42E7-B436-69A27F2A8C2F}</x14:id>
        </ext>
      </extLst>
    </cfRule>
  </conditionalFormatting>
  <conditionalFormatting sqref="AI17">
    <cfRule type="dataBar" priority="217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{25D8F9C2-3F96-4E4D-B3DF-4E832CDE1633}</x14:id>
        </ext>
      </extLst>
    </cfRule>
  </conditionalFormatting>
  <conditionalFormatting sqref="AI19">
    <cfRule type="dataBar" priority="21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{0B5A63F4-7DED-4ACB-AD42-C77001A1C1E1}</x14:id>
        </ext>
      </extLst>
    </cfRule>
  </conditionalFormatting>
  <conditionalFormatting sqref="AI20">
    <cfRule type="dataBar" priority="20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{879441FA-861D-47AE-9003-E928D9839694}</x14:id>
        </ext>
      </extLst>
    </cfRule>
  </conditionalFormatting>
  <conditionalFormatting sqref="AI25">
    <cfRule type="dataBar" priority="210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{A9F1684C-019B-4108-AC36-37BDFA3A20F3}</x14:id>
        </ext>
      </extLst>
    </cfRule>
  </conditionalFormatting>
  <conditionalFormatting sqref="AI26">
    <cfRule type="dataBar" priority="204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{C6CB281D-C292-4889-8502-C53E7C88B82E}</x14:id>
        </ext>
      </extLst>
    </cfRule>
  </conditionalFormatting>
  <conditionalFormatting sqref="AJ5">
    <cfRule type="dataBar" priority="226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{57928321-A393-4904-8BB7-DCF7B6695F29}</x14:id>
        </ext>
      </extLst>
    </cfRule>
    <cfRule type="dataBar" priority="227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{02D7AE90-9FAC-4582-8B06-9D734C006AC1}</x14:id>
        </ext>
      </extLst>
    </cfRule>
    <cfRule type="dataBar" priority="226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{22C42C9C-8A76-4B65-95BA-4B4DB7761593}</x14:id>
        </ext>
      </extLst>
    </cfRule>
    <cfRule type="dataBar" priority="2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{FF9E4F6F-A285-49B0-8D75-301AC4EC7B90}</x14:id>
        </ext>
      </extLst>
    </cfRule>
  </conditionalFormatting>
  <conditionalFormatting sqref="AJ5:AJ15 AJ17:AJ22">
    <cfRule type="dataBar" priority="573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{C3860DC7-79F5-42AA-8B61-0EEDD5D2F5BE}</x14:id>
        </ext>
      </extLst>
    </cfRule>
    <cfRule type="dataBar" priority="573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{E5529ABF-AD00-45FE-A9EE-B8C62F0F4444}</x14:id>
        </ext>
      </extLst>
    </cfRule>
    <cfRule type="dataBar" priority="5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{F69A03B7-DA76-4557-BD3A-7C0DC0ADB0E4}</x14:id>
        </ext>
      </extLst>
    </cfRule>
    <cfRule type="dataBar" priority="573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{245D548E-76B3-4854-8BDE-3A70EC47E9BD}</x14:id>
        </ext>
      </extLst>
    </cfRule>
    <cfRule type="dataBar" priority="573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{F3C3DD7A-7BA3-4CDD-87DC-AD7F9BF27041}</x14:id>
        </ext>
      </extLst>
    </cfRule>
  </conditionalFormatting>
  <conditionalFormatting sqref="AJ5:AJ22 AJ24:AJ27">
    <cfRule type="dataBar" priority="115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{FD82C782-05D9-4FDE-A2DA-3794872F6B92}</x14:id>
        </ext>
      </extLst>
    </cfRule>
    <cfRule type="dataBar" priority="1158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{E4FCE76C-631A-400D-91EF-F06B87125687}</x14:id>
        </ext>
      </extLst>
    </cfRule>
  </conditionalFormatting>
  <conditionalFormatting sqref="AJ5:AJ22 AJ24:AJ31">
    <cfRule type="dataBar" priority="1158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{2DE42D25-D858-4153-B3AB-F0DB6B4CFE66}</x14:id>
        </ext>
      </extLst>
    </cfRule>
  </conditionalFormatting>
  <conditionalFormatting sqref="AJ5:AJ22">
    <cfRule type="dataBar" priority="115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{EB7B5E0E-E89C-45BE-B928-C1462E1EA367}</x14:id>
        </ext>
      </extLst>
    </cfRule>
    <cfRule type="dataBar" priority="1158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{F3043A19-EBBB-4B91-92EC-520DCEB6B47A}</x14:id>
        </ext>
      </extLst>
    </cfRule>
  </conditionalFormatting>
  <conditionalFormatting sqref="AJ6:AJ15 AJ17:AJ22">
    <cfRule type="dataBar" priority="572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{5E923174-246D-4E01-842C-1DE765818C3F}</x14:id>
        </ext>
      </extLst>
    </cfRule>
    <cfRule type="dataBar" priority="57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{187A00F3-7095-49EC-9370-0B337DE18B92}</x14:id>
        </ext>
      </extLst>
    </cfRule>
    <cfRule type="dataBar" priority="571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{9E8A30C7-3A00-491E-8419-34C121135329}</x14:id>
        </ext>
      </extLst>
    </cfRule>
    <cfRule type="dataBar" priority="5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{ECCD8D7C-4904-40A3-81B4-7674DFDCDE92}</x14:id>
        </ext>
      </extLst>
    </cfRule>
  </conditionalFormatting>
  <conditionalFormatting sqref="AJ16">
    <cfRule type="dataBar" priority="222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{4B3EBACD-6EB1-417E-9D94-0F84CBDA688B}</x14:id>
        </ext>
      </extLst>
    </cfRule>
    <cfRule type="dataBar" priority="222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{E53BFA4B-4558-4BAE-A62E-D8904980CEB2}</x14:id>
        </ext>
      </extLst>
    </cfRule>
    <cfRule type="dataBar" priority="222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{19066AD2-D00A-4B47-B5E4-87955421D4C9}</x14:id>
        </ext>
      </extLst>
    </cfRule>
    <cfRule type="dataBar" priority="22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{70A9BC75-3438-4B5E-B782-70A25DEF1442}</x14:id>
        </ext>
      </extLst>
    </cfRule>
    <cfRule type="dataBar" priority="2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{2C846667-E294-4784-9D1F-0F1F8B2692F8}</x14:id>
        </ext>
      </extLst>
    </cfRule>
    <cfRule type="dataBar" priority="222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{A6AA3378-0B80-4E9F-A004-EED1EF67A036}</x14:id>
        </ext>
      </extLst>
    </cfRule>
    <cfRule type="dataBar" priority="222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{4237D091-BDDF-4F25-A4DC-60E5FC230479}</x14:id>
        </ext>
      </extLst>
    </cfRule>
    <cfRule type="dataBar" priority="222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{1234C57A-3FF4-42EE-ACFA-69E8A8FE9883}</x14:id>
        </ext>
      </extLst>
    </cfRule>
    <cfRule type="dataBar" priority="2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{92562E71-03AE-439F-8445-C8F1266E6FEF}</x14:id>
        </ext>
      </extLst>
    </cfRule>
    <cfRule type="dataBar" priority="222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{737CCE8D-757B-40E5-9182-33DAD5955269}</x14:id>
        </ext>
      </extLst>
    </cfRule>
  </conditionalFormatting>
  <conditionalFormatting sqref="AJ17:AJ22 AJ5:AJ15">
    <cfRule type="dataBar" priority="575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{1B6F6B78-0DBF-43E9-BD31-9CAB82E7077E}</x14:id>
        </ext>
      </extLst>
    </cfRule>
  </conditionalFormatting>
  <conditionalFormatting sqref="AJ24">
    <cfRule type="dataBar" priority="215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{6EFB359E-4411-4B41-85E5-5F10537551E0}</x14:id>
        </ext>
      </extLst>
    </cfRule>
    <cfRule type="dataBar" priority="21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{235DE492-D61C-4BDE-B075-97FAB29723AB}</x14:id>
        </ext>
      </extLst>
    </cfRule>
    <cfRule type="dataBar" priority="215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{679A3762-A953-4E7C-983D-3DEA9B4A5B21}</x14:id>
        </ext>
      </extLst>
    </cfRule>
    <cfRule type="dataBar" priority="2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{9716EF3D-83BF-4C91-AB57-08C4AA48D08A}</x14:id>
        </ext>
      </extLst>
    </cfRule>
    <cfRule type="dataBar" priority="214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{14643F81-6E06-43B7-9FE8-9F1ADE2C1D0D}</x14:id>
        </ext>
      </extLst>
    </cfRule>
    <cfRule type="dataBar" priority="21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{CEB1EC5B-B94B-4E25-B63B-0EC053AA653F}</x14:id>
        </ext>
      </extLst>
    </cfRule>
    <cfRule type="dataBar" priority="2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{16A5B287-D84D-4071-BAFB-B91FA8F2E1F1}</x14:id>
        </ext>
      </extLst>
    </cfRule>
    <cfRule type="dataBar" priority="215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{374DA263-3D8F-4514-92E9-94D1EE5584A8}</x14:id>
        </ext>
      </extLst>
    </cfRule>
    <cfRule type="dataBar" priority="215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{7724CF14-C807-4022-A1FB-DB5647585D96}</x14:id>
        </ext>
      </extLst>
    </cfRule>
    <cfRule type="dataBar" priority="215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{CBF4771F-3CF3-4FF6-B4DC-2331ECCF75EB}</x14:id>
        </ext>
      </extLst>
    </cfRule>
    <cfRule type="dataBar" priority="215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{D46FD857-ED49-4D2E-A0E7-B697D05150B0}</x14:id>
        </ext>
      </extLst>
    </cfRule>
    <cfRule type="dataBar" priority="2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{F1A57E70-C8BA-46DC-A497-24E5548934B9}</x14:id>
        </ext>
      </extLst>
    </cfRule>
  </conditionalFormatting>
  <conditionalFormatting sqref="AJ25">
    <cfRule type="dataBar" priority="20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{4FE398E4-6C8A-4BFF-8BC9-27E55D49F888}</x14:id>
        </ext>
      </extLst>
    </cfRule>
    <cfRule type="dataBar" priority="20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{AA374402-10E0-4116-B821-176C8389CBDA}</x14:id>
        </ext>
      </extLst>
    </cfRule>
    <cfRule type="dataBar" priority="20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{52496BE5-043C-423E-A58D-95037C220A05}</x14:id>
        </ext>
      </extLst>
    </cfRule>
    <cfRule type="dataBar" priority="20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{599CF005-3F5A-48D5-8F47-4966D6B70AA4}</x14:id>
        </ext>
      </extLst>
    </cfRule>
    <cfRule type="dataBar" priority="20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{CA5F8E7A-460D-48E4-AFA5-D52A44F8E506}</x14:id>
        </ext>
      </extLst>
    </cfRule>
    <cfRule type="dataBar" priority="20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{A7354438-3276-4E05-ACE7-E936984FF872}</x14:id>
        </ext>
      </extLst>
    </cfRule>
    <cfRule type="dataBar" priority="20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{D313ABED-CC32-4A65-94AE-04DE8AEC3CC6}</x14:id>
        </ext>
      </extLst>
    </cfRule>
    <cfRule type="dataBar" priority="2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{491E4FAB-25E6-42D3-8591-1870D9BF390A}</x14:id>
        </ext>
      </extLst>
    </cfRule>
    <cfRule type="dataBar" priority="20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{9ABFC17F-5BE3-4CD0-B1FD-19535B99B8FA}</x14:id>
        </ext>
      </extLst>
    </cfRule>
    <cfRule type="dataBar" priority="20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{CE699A71-0A10-4A60-A7DB-1B4064A8EA5C}</x14:id>
        </ext>
      </extLst>
    </cfRule>
    <cfRule type="dataBar" priority="20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{F8C2089B-64BB-450B-86BD-FDB9612F04E2}</x14:id>
        </ext>
      </extLst>
    </cfRule>
    <cfRule type="dataBar" priority="2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{6A780693-C327-485B-9039-06B61521C3CE}</x14:id>
        </ext>
      </extLst>
    </cfRule>
  </conditionalFormatting>
  <conditionalFormatting sqref="AJ26">
    <cfRule type="dataBar" priority="201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{2010D0C3-7513-4634-AF6E-07E0CBB20E5A}</x14:id>
        </ext>
      </extLst>
    </cfRule>
    <cfRule type="dataBar" priority="201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{9756C052-088C-47C8-8782-BBC340B5ADEF}</x14:id>
        </ext>
      </extLst>
    </cfRule>
    <cfRule type="dataBar" priority="200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{18FC2AE7-9189-4F51-B386-EB267C30B8C6}</x14:id>
        </ext>
      </extLst>
    </cfRule>
    <cfRule type="dataBar" priority="201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{6DA7D129-E6A9-4975-81E1-72DAABF2A5B2}</x14:id>
        </ext>
      </extLst>
    </cfRule>
    <cfRule type="dataBar" priority="2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{C61CD8D2-741B-4316-8A33-63F9907434AD}</x14:id>
        </ext>
      </extLst>
    </cfRule>
    <cfRule type="dataBar" priority="20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{2E301894-261E-49EC-9898-2AAF5C645B6B}</x14:id>
        </ext>
      </extLst>
    </cfRule>
    <cfRule type="dataBar" priority="201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{F52C1CA6-73C1-4297-B1E4-B48D2D2A85D3}</x14:id>
        </ext>
      </extLst>
    </cfRule>
    <cfRule type="dataBar" priority="200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{6CC3C06A-E92A-4BAD-8030-C10F0FA9611F}</x14:id>
        </ext>
      </extLst>
    </cfRule>
    <cfRule type="dataBar" priority="20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{019AD364-0527-456A-9C40-C397AD259787}</x14:id>
        </ext>
      </extLst>
    </cfRule>
    <cfRule type="dataBar" priority="20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{27B5738F-E766-4E10-A25F-2061E9A9247D}</x14:id>
        </ext>
      </extLst>
    </cfRule>
    <cfRule type="dataBar" priority="2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{420D9DFE-527B-49C3-A495-727582B93ECE}</x14:id>
        </ext>
      </extLst>
    </cfRule>
    <cfRule type="dataBar" priority="201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{0C37F7E5-78DA-454A-A964-8C718CBB5A10}</x14:id>
        </ext>
      </extLst>
    </cfRule>
  </conditionalFormatting>
  <conditionalFormatting sqref="AJ27">
    <cfRule type="dataBar" priority="260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{92008DB1-6B02-41A9-A0A5-84828E3C3186}</x14:id>
        </ext>
      </extLst>
    </cfRule>
    <cfRule type="dataBar" priority="2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{9676F99C-ECCB-4BFF-B456-33A55E06FF1B}</x14:id>
        </ext>
      </extLst>
    </cfRule>
    <cfRule type="dataBar" priority="25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{6E5396BD-EF09-4CD6-B88A-4FEB5E8589EE}</x14:id>
        </ext>
      </extLst>
    </cfRule>
    <cfRule type="dataBar" priority="25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{B0072E07-1592-4567-9F55-139311F1536A}</x14:id>
        </ext>
      </extLst>
    </cfRule>
    <cfRule type="dataBar" priority="25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{D53D2767-7162-4C2D-ACE9-3044817AB102}</x14:id>
        </ext>
      </extLst>
    </cfRule>
    <cfRule type="dataBar" priority="2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{50C2C7C5-EFDA-4AF5-AA55-E44444611217}</x14:id>
        </ext>
      </extLst>
    </cfRule>
    <cfRule type="dataBar" priority="25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{78BE3A32-5CCE-4C65-A810-1A73FEA6C3A1}</x14:id>
        </ext>
      </extLst>
    </cfRule>
    <cfRule type="dataBar" priority="260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{F922363A-FDBB-42B2-984F-902D23FCAD1A}</x14:id>
        </ext>
      </extLst>
    </cfRule>
    <cfRule type="dataBar" priority="260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{AEC1A738-3F96-4BC1-87BD-DACE7CEA2F38}</x14:id>
        </ext>
      </extLst>
    </cfRule>
    <cfRule type="dataBar" priority="260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{5271CDA5-D656-4F29-BD80-94B14C92D7CB}</x14:id>
        </ext>
      </extLst>
    </cfRule>
    <cfRule type="dataBar" priority="2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{2149C2EF-1014-4D0C-9823-E7D9835A2630}</x14:id>
        </ext>
      </extLst>
    </cfRule>
    <cfRule type="dataBar" priority="260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{2837F917-6584-47E8-A5C6-B604ADD10380}</x14:id>
        </ext>
      </extLst>
    </cfRule>
  </conditionalFormatting>
  <conditionalFormatting sqref="AJ28:AJ31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{9BCA98E9-4B51-43C7-8330-938DB48B4AFB}</x14:id>
        </ext>
      </extLst>
    </cfRule>
    <cfRule type="dataBar" priority="3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{04F82045-95C5-4F06-8DC4-60930C12DF27}</x14:id>
        </ext>
      </extLst>
    </cfRule>
    <cfRule type="dataBar" priority="35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{33A46BFC-1827-46EF-B331-62A30CBD0A2D}</x14:id>
        </ext>
      </extLst>
    </cfRule>
    <cfRule type="dataBar" priority="35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{4F78CCCE-8E57-4EE4-8B10-E1A4D3CC5FEF}</x14:id>
        </ext>
      </extLst>
    </cfRule>
    <cfRule type="dataBar" priority="3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{67B6B942-D984-4857-B891-18B9F1F33619}</x14:id>
        </ext>
      </extLst>
    </cfRule>
    <cfRule type="dataBar" priority="36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{BED8228D-C1FA-4985-BED8-68959D8B9B4E}</x14:id>
        </ext>
      </extLst>
    </cfRule>
    <cfRule type="dataBar" priority="3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{3A1B7108-8CD4-4B69-A3FC-B38619D9BB09}</x14:id>
        </ext>
      </extLst>
    </cfRule>
    <cfRule type="dataBar" priority="35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{9C0E433D-26DF-4AA2-B056-F3A706A60699}</x14:id>
        </ext>
      </extLst>
    </cfRule>
    <cfRule type="dataBar" priority="360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{B62702B9-FF84-46F8-B877-49224C0CE27E}</x14:id>
        </ext>
      </extLst>
    </cfRule>
    <cfRule type="dataBar" priority="35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{C7D38C62-5A4A-46A2-9D81-F12BE842F17A}</x14:id>
        </ext>
      </extLst>
    </cfRule>
    <cfRule type="dataBar" priority="3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{E4489D3D-4345-4B28-AE9A-E9D034596B69}</x14:id>
        </ext>
      </extLst>
    </cfRule>
    <cfRule type="dataBar" priority="3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{86E345A7-F5B7-454F-8343-267F4232BBCB}</x14:id>
        </ext>
      </extLst>
    </cfRule>
    <cfRule type="dataBar" priority="3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{5FB8BC23-1C0C-44DC-A106-429C0C9088B2}</x14:id>
        </ext>
      </extLst>
    </cfRule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{51F0A0D3-4614-4920-8BA6-9989DED6F88F}</x14:id>
        </ext>
      </extLst>
    </cfRule>
  </conditionalFormatting>
  <conditionalFormatting sqref="AK29:AK31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{943982A4-25E5-4D6E-BF5B-5E26C0BAB112}</x14:id>
        </ext>
      </extLst>
    </cfRule>
    <cfRule type="dataBar" priority="15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{C23B4112-9B7A-477D-B5DC-37E7065FFBB9}</x14:id>
        </ext>
      </extLst>
    </cfRule>
    <cfRule type="dataBar" priority="1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{90C9C009-3B93-4904-8ED8-FC6D2B9976B2}</x14:id>
        </ext>
      </extLst>
    </cfRule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{78545C9C-76BC-4381-84CD-ED0BCA882922}</x14:id>
        </ext>
      </extLst>
    </cfRule>
    <cfRule type="dataBar" priority="15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{10438CD0-47CA-467D-8B97-BD2D053F7BC9}</x14:id>
        </ext>
      </extLst>
    </cfRule>
    <cfRule type="dataBar" priority="14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{43475391-D9ED-484D-8456-B27AFAA3FA3C}</x14:id>
        </ext>
      </extLst>
    </cfRule>
    <cfRule type="dataBar" priority="15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{F46F7A2D-0FF2-42F4-85DA-E4F4CB7ED1CA}</x14:id>
        </ext>
      </extLst>
    </cfRule>
    <cfRule type="dataBar" priority="15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{95A969D4-4178-4E16-9104-A5DC84D8AF6A}</x14:id>
        </ext>
      </extLst>
    </cfRule>
  </conditionalFormatting>
  <conditionalFormatting sqref="AK5:AL5">
    <cfRule type="dataBar" priority="51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{3AEE0A3D-322D-4D59-BD1B-C4BD904A54AB}</x14:id>
        </ext>
      </extLst>
    </cfRule>
    <cfRule type="dataBar" priority="5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{6A971E9C-7D44-4D90-B111-CE23381209DB}</x14:id>
        </ext>
      </extLst>
    </cfRule>
    <cfRule type="dataBar" priority="51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{1E0CF143-B89E-4007-BE8A-1C4EB358ABF4}</x14:id>
        </ext>
      </extLst>
    </cfRule>
    <cfRule type="dataBar" priority="50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{8C6F14DD-2C63-446D-ADCA-79735D4078E2}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{9BD7C761-A869-413D-8098-DD376A545579}</x14:id>
        </ext>
      </extLst>
    </cfRule>
    <cfRule type="dataBar" priority="50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{B95C21F5-3C93-44D0-A7C2-E39FA00FCB92}</x14:id>
        </ext>
      </extLst>
    </cfRule>
    <cfRule type="dataBar" priority="50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{18E6AA4C-AC10-494A-955F-C79753D93F4C}</x14:id>
        </ext>
      </extLst>
    </cfRule>
    <cfRule type="dataBar" priority="505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{272F8998-0925-4616-A250-276781B6008C}</x14:id>
        </ext>
      </extLst>
    </cfRule>
  </conditionalFormatting>
  <conditionalFormatting sqref="AK6:AL13">
    <cfRule type="dataBar" priority="1161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{39AD91FB-6C0A-4D5A-97BC-282E83C1DD52}</x14:id>
        </ext>
      </extLst>
    </cfRule>
    <cfRule type="dataBar" priority="1161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{AC56F99C-34EB-4C8B-8AEB-CF21A185F761}</x14:id>
        </ext>
      </extLst>
    </cfRule>
    <cfRule type="dataBar" priority="1161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{DECCA8C0-C891-4942-B556-91794FD5FCCA}</x14:id>
        </ext>
      </extLst>
    </cfRule>
    <cfRule type="dataBar" priority="11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{AADEA8DE-75D2-4325-8038-5FECFC9F3C6E}</x14:id>
        </ext>
      </extLst>
    </cfRule>
    <cfRule type="dataBar" priority="116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{1E4085D6-1A06-482B-99B5-82B0193750A2}</x14:id>
        </ext>
      </extLst>
    </cfRule>
    <cfRule type="dataBar" priority="116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{E0304AFA-67B1-469B-AF2B-1B44045C308B}</x14:id>
        </ext>
      </extLst>
    </cfRule>
    <cfRule type="dataBar" priority="11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{F8CB342B-8642-46EB-AE6D-46034BD24D63}</x14:id>
        </ext>
      </extLst>
    </cfRule>
    <cfRule type="dataBar" priority="116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{D3F17F70-6E3F-4B95-A658-84CA8AD772DC}</x14:id>
        </ext>
      </extLst>
    </cfRule>
    <cfRule type="dataBar" priority="116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{BE780398-70CD-4FF9-927B-177088E6CE4A}</x14:id>
        </ext>
      </extLst>
    </cfRule>
    <cfRule type="dataBar" priority="11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{9FD55BF1-8413-41CC-A101-FF297F481380}</x14:id>
        </ext>
      </extLst>
    </cfRule>
    <cfRule type="dataBar" priority="116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{70D0577D-0E6E-4AB8-9865-57CB30A35C8B}</x14:id>
        </ext>
      </extLst>
    </cfRule>
    <cfRule type="dataBar" priority="116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{8736B1FD-9719-422A-BF61-00E3B35BD8E0}</x14:id>
        </ext>
      </extLst>
    </cfRule>
    <cfRule type="dataBar" priority="1161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{15364655-4558-476D-AE47-04A795CA316F}</x14:id>
        </ext>
      </extLst>
    </cfRule>
    <cfRule type="dataBar" priority="1161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{BB300BB0-CCCC-47BC-8829-1687F37715F7}</x14:id>
        </ext>
      </extLst>
    </cfRule>
    <cfRule type="dataBar" priority="1161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{22A3F9AF-80B2-4169-8AF0-E78326C497C5}</x14:id>
        </ext>
      </extLst>
    </cfRule>
    <cfRule type="dataBar" priority="11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{215A9FD1-E4D3-4923-8EE7-87CDC0EE91F9}</x14:id>
        </ext>
      </extLst>
    </cfRule>
    <cfRule type="dataBar" priority="1162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{B986C106-3516-4B8E-B871-FCDF3246C735}</x14:id>
        </ext>
      </extLst>
    </cfRule>
  </conditionalFormatting>
  <conditionalFormatting sqref="AK14:AL14">
    <cfRule type="dataBar" priority="50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{76FD2197-88C8-4832-B33E-49763A0B0987}</x14:id>
        </ext>
      </extLst>
    </cfRule>
    <cfRule type="dataBar" priority="50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{09FD2278-66D3-4568-93F2-1EBD30181082}</x14:id>
        </ext>
      </extLst>
    </cfRule>
    <cfRule type="dataBar" priority="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{11661E4B-E6D4-4543-B070-840E8897F715}</x14:id>
        </ext>
      </extLst>
    </cfRule>
    <cfRule type="dataBar" priority="49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{39024BB8-C8A5-41AE-BA0B-8BBC53ABE387}</x14:id>
        </ext>
      </extLst>
    </cfRule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{B720AF38-EB13-40B5-9594-27C7025C7A00}</x14:id>
        </ext>
      </extLst>
    </cfRule>
    <cfRule type="dataBar" priority="50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{A4F27ACF-100D-48DC-ABB7-7E61AA128EAC}</x14:id>
        </ext>
      </extLst>
    </cfRule>
    <cfRule type="dataBar" priority="49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{B6E2F380-99A0-4384-A98F-66EDE92AD4B4}</x14:id>
        </ext>
      </extLst>
    </cfRule>
    <cfRule type="dataBar" priority="49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{F479B8BB-14DD-420A-96BB-633959D3EE00}</x14:id>
        </ext>
      </extLst>
    </cfRule>
  </conditionalFormatting>
  <conditionalFormatting sqref="AK15:AL17">
    <cfRule type="dataBar" priority="57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{65EE6A70-B53B-4EFA-8550-5D2E78CE4E72}</x14:id>
        </ext>
      </extLst>
    </cfRule>
    <cfRule type="dataBar" priority="5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{FDA6C83A-C634-4985-B5C3-4AD3997C1255}</x14:id>
        </ext>
      </extLst>
    </cfRule>
    <cfRule type="dataBar" priority="59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{B7100D9A-60A8-44C3-8FD9-8B126DC57413}</x14:id>
        </ext>
      </extLst>
    </cfRule>
    <cfRule type="dataBar" priority="5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{1305BD93-25EE-460A-8BFF-642E57B6339F}</x14:id>
        </ext>
      </extLst>
    </cfRule>
    <cfRule type="dataBar" priority="58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{3275B8D0-3318-4B24-8E01-52C3076C48BA}</x14:id>
        </ext>
      </extLst>
    </cfRule>
    <cfRule type="dataBar" priority="58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{F1F1D645-7C8E-4AE8-A3ED-871999A4B0B1}</x14:id>
        </ext>
      </extLst>
    </cfRule>
    <cfRule type="dataBar" priority="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{15F8FEA4-4955-416F-B4AE-EB14CF5B0B67}</x14:id>
        </ext>
      </extLst>
    </cfRule>
    <cfRule type="dataBar" priority="58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{5E894228-4806-420E-AD86-FAE932D67306}</x14:id>
        </ext>
      </extLst>
    </cfRule>
    <cfRule type="dataBar" priority="58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{516BE97A-13B4-49C9-BF23-A9874A0A7E78}</x14:id>
        </ext>
      </extLst>
    </cfRule>
    <cfRule type="dataBar" priority="58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{5176C609-0EFD-4DC4-B61E-6D919EE246E2}</x14:id>
        </ext>
      </extLst>
    </cfRule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{438FCEEB-D973-446C-A24E-30C09597331D}</x14:id>
        </ext>
      </extLst>
    </cfRule>
    <cfRule type="dataBar" priority="59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{F0FDBF21-8E17-45C4-9F0F-51E07C4E631E}</x14:id>
        </ext>
      </extLst>
    </cfRule>
    <cfRule type="dataBar" priority="58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{D690FD1B-BE7D-4E7B-805A-74EF320B20B4}</x14:id>
        </ext>
      </extLst>
    </cfRule>
    <cfRule type="dataBar" priority="5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{A8D048AB-920B-402B-B271-4E2CF02BD980}</x14:id>
        </ext>
      </extLst>
    </cfRule>
    <cfRule type="dataBar" priority="5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{36D2DF29-42B0-4428-83F7-0975C45EB99E}</x14:id>
        </ext>
      </extLst>
    </cfRule>
    <cfRule type="dataBar" priority="59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{498173B7-D927-4D6F-BE3B-65E08568028C}</x14:id>
        </ext>
      </extLst>
    </cfRule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{DC35EA6F-63AF-4C6C-A33D-DC0B4D1A7C82}</x14:id>
        </ext>
      </extLst>
    </cfRule>
    <cfRule type="dataBar" priority="59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{036EE12D-9D14-4056-9FB7-7309BF9CB65E}</x14:id>
        </ext>
      </extLst>
    </cfRule>
    <cfRule type="dataBar" priority="59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{7C8293F6-CFF0-43DA-866D-6A72338C84AD}</x14:id>
        </ext>
      </extLst>
    </cfRule>
    <cfRule type="dataBar" priority="59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{3EAA3BFC-A036-4025-8720-0B5BD8CF66D5}</x14:id>
        </ext>
      </extLst>
    </cfRule>
    <cfRule type="dataBar" priority="59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{13912C01-BAE4-428C-81CA-DA9180ECEFD8}</x14:id>
        </ext>
      </extLst>
    </cfRule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{C0E82B69-91A3-44AB-83D7-4442546EE063}</x14:id>
        </ext>
      </extLst>
    </cfRule>
    <cfRule type="dataBar" priority="60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{C1F0CDEB-0415-4443-A714-4CDD33549140}</x14:id>
        </ext>
      </extLst>
    </cfRule>
    <cfRule type="dataBar" priority="60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{A16AB5D9-98F2-4817-AD45-A6A991AE9122}</x14:id>
        </ext>
      </extLst>
    </cfRule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{5B5DBBC8-B692-413A-911F-948F6F3F883C}</x14:id>
        </ext>
      </extLst>
    </cfRule>
    <cfRule type="dataBar" priority="57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{08DFD072-A717-4F75-822A-72E3DC57D68F}</x14:id>
        </ext>
      </extLst>
    </cfRule>
    <cfRule type="dataBar" priority="57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{1B7DBC31-BEEC-44C5-B61E-C483A1B6E173}</x14:id>
        </ext>
      </extLst>
    </cfRule>
    <cfRule type="dataBar" priority="57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{AD29E469-067B-4F75-8D03-A11130D23977}</x14:id>
        </ext>
      </extLst>
    </cfRule>
    <cfRule type="dataBar" priority="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{180B59B3-1DA0-4BD3-AD25-65589D05F1B4}</x14:id>
        </ext>
      </extLst>
    </cfRule>
    <cfRule type="dataBar" priority="57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{CACF22B3-D721-4AFB-A1A8-7DAA35A4FEF0}</x14:id>
        </ext>
      </extLst>
    </cfRule>
  </conditionalFormatting>
  <conditionalFormatting sqref="AK18:AL19">
    <cfRule type="dataBar" priority="575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{EF7D9AD3-8DB7-4501-B576-ACD07C1A52B1}</x14:id>
        </ext>
      </extLst>
    </cfRule>
    <cfRule type="dataBar" priority="57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{CB15952C-3B12-4433-A067-0D7AAF0BDACD}</x14:id>
        </ext>
      </extLst>
    </cfRule>
    <cfRule type="dataBar" priority="576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{6A7B1540-92B3-43A7-8BF8-33C8791F5F6B}</x14:id>
        </ext>
      </extLst>
    </cfRule>
    <cfRule type="dataBar" priority="5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{E4949ACF-DD35-4018-8969-6BC6C328B857}</x14:id>
        </ext>
      </extLst>
    </cfRule>
    <cfRule type="dataBar" priority="576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{3D455514-548A-493A-8B5A-3ECF88B10873}</x14:id>
        </ext>
      </extLst>
    </cfRule>
    <cfRule type="dataBar" priority="576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{4B862CE3-DE01-425A-BDD4-A446B6490E65}</x14:id>
        </ext>
      </extLst>
    </cfRule>
    <cfRule type="dataBar" priority="576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{D232F872-508A-476C-A9F6-CC7A46CE9854}</x14:id>
        </ext>
      </extLst>
    </cfRule>
    <cfRule type="dataBar" priority="57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{96CBCC5E-39BC-469B-A52B-C65D499DADE5}</x14:id>
        </ext>
      </extLst>
    </cfRule>
  </conditionalFormatting>
  <conditionalFormatting sqref="AK20:AL20">
    <cfRule type="dataBar" priority="54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{0EB3A787-051C-4E39-ABC9-7423CEBD2C12}</x14:id>
        </ext>
      </extLst>
    </cfRule>
    <cfRule type="dataBar" priority="5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{A07F7784-BFCD-4479-8731-67D7221B4B08}</x14:id>
        </ext>
      </extLst>
    </cfRule>
    <cfRule type="dataBar" priority="5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{D9EAD270-F134-48C5-A93D-B29F2C650159}</x14:id>
        </ext>
      </extLst>
    </cfRule>
    <cfRule type="dataBar" priority="57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{1861C917-BF14-449C-91AE-9B2637463BB9}</x14:id>
        </ext>
      </extLst>
    </cfRule>
    <cfRule type="dataBar" priority="57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{DA566A72-AE46-41BF-8CC7-88C45C208CBB}</x14:id>
        </ext>
      </extLst>
    </cfRule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{F1D1197F-468D-4EF9-8DCA-DF4EBEEFECD1}</x14:id>
        </ext>
      </extLst>
    </cfRule>
    <cfRule type="dataBar" priority="56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{49F20C7D-82F6-4493-AFDB-D725AC73BB6D}</x14:id>
        </ext>
      </extLst>
    </cfRule>
    <cfRule type="dataBar" priority="56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{AE837C30-73AF-4FC1-8FD3-64B8CB569116}</x14:id>
        </ext>
      </extLst>
    </cfRule>
    <cfRule type="dataBar" priority="56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{46DFA141-43E3-49DE-8421-8EB06D321778}</x14:id>
        </ext>
      </extLst>
    </cfRule>
    <cfRule type="dataBar" priority="56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{D87F88D1-9CF5-4B9A-AD73-22E1A99FBD67}</x14:id>
        </ext>
      </extLst>
    </cfRule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{6650EE68-2273-4D9B-B477-366547B27DEF}</x14:id>
        </ext>
      </extLst>
    </cfRule>
    <cfRule type="dataBar" priority="56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{DE215C9C-3193-41F5-9AAC-CF1F0E3602D0}</x14:id>
        </ext>
      </extLst>
    </cfRule>
    <cfRule type="dataBar" priority="5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{60E2C37A-DD08-4938-B221-7B32D4CAE68F}</x14:id>
        </ext>
      </extLst>
    </cfRule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{3DF93602-BF13-4783-81B5-27BDC9F927ED}</x14:id>
        </ext>
      </extLst>
    </cfRule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{604C3BD9-CFB9-4566-8B07-1094F28142BE}</x14:id>
        </ext>
      </extLst>
    </cfRule>
    <cfRule type="dataBar" priority="56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{AEBDF69C-074C-489E-9F1E-02F2D496D82B}</x14:id>
        </ext>
      </extLst>
    </cfRule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{A1684CB0-8700-4663-A933-91B9A855024A}</x14:id>
        </ext>
      </extLst>
    </cfRule>
    <cfRule type="dataBar" priority="55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{8668E37A-5AEF-4397-8907-BFBE39A3AAF5}</x14:id>
        </ext>
      </extLst>
    </cfRule>
    <cfRule type="dataBar" priority="55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{213F550A-281D-497F-8C73-0FC901CDE82D}</x14:id>
        </ext>
      </extLst>
    </cfRule>
    <cfRule type="dataBar" priority="55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{08A8C551-93BB-409F-ABD5-DE08B76695B2}</x14:id>
        </ext>
      </extLst>
    </cfRule>
    <cfRule type="dataBar" priority="55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{D97574E1-EC01-45C7-AD46-C4CFCD537CAA}</x14:id>
        </ext>
      </extLst>
    </cfRule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{B0E8BF99-F706-4E23-A443-454CAA9ED16F}</x14:id>
        </ext>
      </extLst>
    </cfRule>
    <cfRule type="dataBar" priority="5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{782B9BC6-5C35-4908-B462-0F83E45FD66B}</x14:id>
        </ext>
      </extLst>
    </cfRule>
    <cfRule type="dataBar" priority="5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{581C3E6B-72AB-4035-A222-991D9B813DC4}</x14:id>
        </ext>
      </extLst>
    </cfRule>
    <cfRule type="dataBar" priority="5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{5B941CED-0249-4892-AA95-798AA2D79A06}</x14:id>
        </ext>
      </extLst>
    </cfRule>
    <cfRule type="dataBar" priority="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{3E971941-6C97-40A4-ACD8-72E978AD2CCC}</x14:id>
        </ext>
      </extLst>
    </cfRule>
    <cfRule type="dataBar" priority="54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{86AB9AA6-8779-49CA-A4EA-7BBA73A801E1}</x14:id>
        </ext>
      </extLst>
    </cfRule>
    <cfRule type="dataBar" priority="5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{0CF4F48B-822F-437D-A0A9-40960692D10B}</x14:id>
        </ext>
      </extLst>
    </cfRule>
    <cfRule type="dataBar" priority="5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{AA122A80-9779-490D-8680-F4960B6F5A0F}</x14:id>
        </ext>
      </extLst>
    </cfRule>
    <cfRule type="dataBar" priority="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{AA8A4812-3020-4B63-90EC-1B2E01839E0D}</x14:id>
        </ext>
      </extLst>
    </cfRule>
  </conditionalFormatting>
  <conditionalFormatting sqref="AK21:AL21">
    <cfRule type="dataBar" priority="482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{96D0A6D2-066B-4411-82CA-4042AD965643}</x14:id>
        </ext>
      </extLst>
    </cfRule>
    <cfRule type="dataBar" priority="48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{420D1E75-E1CA-43D4-AD25-31085E59286B}</x14:id>
        </ext>
      </extLst>
    </cfRule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{8142E528-B704-4329-AAF1-49BDCADD483E}</x14:id>
        </ext>
      </extLst>
    </cfRule>
    <cfRule type="dataBar" priority="48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{CD034827-EE20-4130-8AB8-F87D8D39EAE5}</x14:id>
        </ext>
      </extLst>
    </cfRule>
    <cfRule type="dataBar" priority="48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{30310A66-6DD1-441B-997D-9375E82A0825}</x14:id>
        </ext>
      </extLst>
    </cfRule>
    <cfRule type="dataBar" priority="48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{C19AF000-9E4C-4CFD-B21D-F42C8F7AF070}</x14:id>
        </ext>
      </extLst>
    </cfRule>
    <cfRule type="dataBar" priority="481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{A08C10F9-C93D-4F7F-9618-946373636117}</x14:id>
        </ext>
      </extLst>
    </cfRule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{05C963CE-0780-4DCC-BF49-DAA751AAD3D2}</x14:id>
        </ext>
      </extLst>
    </cfRule>
  </conditionalFormatting>
  <conditionalFormatting sqref="AK22:AL22 AK24:AL26 AF23:AL23">
    <cfRule type="dataBar" priority="51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{8CBCE94C-7185-460D-B23B-43068D1E1B04}</x14:id>
        </ext>
      </extLst>
    </cfRule>
    <cfRule type="dataBar" priority="54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{8F7A072F-4275-41EB-805D-89B145A78606}</x14:id>
        </ext>
      </extLst>
    </cfRule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{8E080F48-972C-4C17-AEB5-103B3904205D}</x14:id>
        </ext>
      </extLst>
    </cfRule>
    <cfRule type="dataBar" priority="53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{96947F2F-5517-481C-969D-E51870D19CD0}</x14:id>
        </ext>
      </extLst>
    </cfRule>
    <cfRule type="dataBar" priority="53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{2EA6C555-C13A-4D71-A5F6-B85E301D6760}</x14:id>
        </ext>
      </extLst>
    </cfRule>
    <cfRule type="dataBar" priority="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{B5CE4159-ACA3-4F7C-A8F8-2E56E27F7D7B}</x14:id>
        </ext>
      </extLst>
    </cfRule>
    <cfRule type="dataBar" priority="54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{8C8535CF-E637-44C7-A0DE-D53EAEC5A5B7}</x14:id>
        </ext>
      </extLst>
    </cfRule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{98FCC173-EC34-4397-8500-99650482E850}</x14:id>
        </ext>
      </extLst>
    </cfRule>
    <cfRule type="dataBar" priority="51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{9507B535-8A5B-4624-B20A-C6FDB2C9C578}</x14:id>
        </ext>
      </extLst>
    </cfRule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{D6E55F24-411D-493D-ABFD-91513F02AF5E}</x14:id>
        </ext>
      </extLst>
    </cfRule>
    <cfRule type="dataBar" priority="51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{CD52A58E-F223-44E7-83F7-5681FC443C39}</x14:id>
        </ext>
      </extLst>
    </cfRule>
    <cfRule type="dataBar" priority="52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{703C1667-8192-4C04-880C-1E7A6D015801}</x14:id>
        </ext>
      </extLst>
    </cfRule>
    <cfRule type="dataBar" priority="51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{2CE51D47-DDC0-44D0-A995-444FE7E40123}</x14:id>
        </ext>
      </extLst>
    </cfRule>
    <cfRule type="dataBar" priority="52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{0F0F5E4C-B2B1-4A4B-BACC-B8D41AD72085}</x14:id>
        </ext>
      </extLst>
    </cfRule>
    <cfRule type="dataBar" priority="53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{425E415B-64E4-435E-9CC2-BA6B64AFFFA0}</x14:id>
        </ext>
      </extLst>
    </cfRule>
    <cfRule type="dataBar" priority="52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{2A04567E-DEAA-43B2-AAD9-C5B1AB2CEB5C}</x14:id>
        </ext>
      </extLst>
    </cfRule>
    <cfRule type="dataBar" priority="52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{8030C9B0-1B8D-49DD-9200-05B31690D949}</x14:id>
        </ext>
      </extLst>
    </cfRule>
    <cfRule type="dataBar" priority="51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{EA5938DD-9FE9-40C6-8073-254FF06D0C8B}</x14:id>
        </ext>
      </extLst>
    </cfRule>
    <cfRule type="dataBar" priority="52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{75D61061-2CD5-4737-879D-EAB689C3FBE2}</x14:id>
        </ext>
      </extLst>
    </cfRule>
    <cfRule type="dataBar" priority="52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{F13E9E09-8443-4AEC-B15E-B3176FB68BC7}</x14:id>
        </ext>
      </extLst>
    </cfRule>
    <cfRule type="dataBar" priority="52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{B2238594-C051-49DB-BE46-299A6573806A}</x14:id>
        </ext>
      </extLst>
    </cfRule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{8EFC325C-6BCC-4792-9FB2-8C2577C1A95E}</x14:id>
        </ext>
      </extLst>
    </cfRule>
    <cfRule type="dataBar" priority="53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{030EC080-D2B3-4E30-B625-EF8DCFC4FD1E}</x14:id>
        </ext>
      </extLst>
    </cfRule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{1194E469-AF0A-42F2-B5F4-9198CA36CA43}</x14:id>
        </ext>
      </extLst>
    </cfRule>
    <cfRule type="dataBar" priority="5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{90FC3C71-D393-4955-9994-44793FD74B75}</x14:id>
        </ext>
      </extLst>
    </cfRule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{FFCB73F7-C0E8-485F-85B8-992458303437}</x14:id>
        </ext>
      </extLst>
    </cfRule>
    <cfRule type="dataBar" priority="5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{E4C80676-E9C6-455D-AA55-7650365CEE7C}</x14:id>
        </ext>
      </extLst>
    </cfRule>
    <cfRule type="dataBar" priority="53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{2A473EA1-D18A-477B-A53E-65336225E8E8}</x14:id>
        </ext>
      </extLst>
    </cfRule>
    <cfRule type="dataBar" priority="53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{509E0C18-6A6D-45B4-A32A-0EFA99B78E3A}</x14:id>
        </ext>
      </extLst>
    </cfRule>
    <cfRule type="dataBar" priority="5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{DB6D6433-88AF-4A89-A3FF-C374FE9A8714}</x14:id>
        </ext>
      </extLst>
    </cfRule>
  </conditionalFormatting>
  <conditionalFormatting sqref="AK27:AL27">
    <cfRule type="dataBar" priority="26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{DE4B26CA-2DCF-4380-96A5-186198B55D09}</x14:id>
        </ext>
      </extLst>
    </cfRule>
    <cfRule type="dataBar" priority="261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{03623DE6-FD3A-4291-948C-D9F10D7DEE91}</x14:id>
        </ext>
      </extLst>
    </cfRule>
    <cfRule type="dataBar" priority="261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{6915A5B5-A035-4D50-BA4E-125C2C0CD8A8}</x14:id>
        </ext>
      </extLst>
    </cfRule>
    <cfRule type="dataBar" priority="260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{0C453B22-B1CB-4CEE-86D5-B00CF38B48EF}</x14:id>
        </ext>
      </extLst>
    </cfRule>
    <cfRule type="dataBar" priority="260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{BD635B4D-CD69-4346-88EE-6FD10AF3BB7B}</x14:id>
        </ext>
      </extLst>
    </cfRule>
    <cfRule type="dataBar" priority="26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{36A97772-CE99-493B-8621-FDDE0BFDB3A2}</x14:id>
        </ext>
      </extLst>
    </cfRule>
    <cfRule type="dataBar" priority="261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{2D4D1A61-EC91-42A7-840C-425C1F0C9D84}</x14:id>
        </ext>
      </extLst>
    </cfRule>
    <cfRule type="dataBar" priority="261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{E6E6B39C-7F42-4DBA-BB4B-55B80BCC850D}</x14:id>
        </ext>
      </extLst>
    </cfRule>
  </conditionalFormatting>
  <conditionalFormatting sqref="AO5:AO22 AQ5:AQ33 AO23:AP23">
    <cfRule type="dataBar" priority="1164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{651C5D01-741B-4676-B75A-EC012B6E9BE3}</x14:id>
        </ext>
      </extLst>
    </cfRule>
    <cfRule type="dataBar" priority="116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{F9DE4A35-D541-40B2-AF81-3E2EF5982AF5}</x14:id>
        </ext>
      </extLst>
    </cfRule>
  </conditionalFormatting>
  <conditionalFormatting sqref="AO5:AO22">
    <cfRule type="dataBar" priority="1165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{9AAFCA5C-AD5A-4B72-A473-246EC35DE238}</x14:id>
        </ext>
      </extLst>
    </cfRule>
    <cfRule type="dataBar" priority="116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{1D555C50-AC45-42F9-864B-4BA0AD9DFD6B}</x14:id>
        </ext>
      </extLst>
    </cfRule>
    <cfRule type="dataBar" priority="2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{2CD4AEA1-869A-4927-844D-91AB4F3AA19E}</x14:id>
        </ext>
      </extLst>
    </cfRule>
    <cfRule type="dataBar" priority="8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{EFF3DFAE-65F4-4A35-919F-14C765AA4063}</x14:id>
        </ext>
      </extLst>
    </cfRule>
    <cfRule type="dataBar" priority="1165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{7EB7134B-7B65-45D1-B701-7EA9320787A8}</x14:id>
        </ext>
      </extLst>
    </cfRule>
    <cfRule type="dataBar" priority="1165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{BC60EB40-C98A-4A92-B79C-77D8F8E3195F}</x14:id>
        </ext>
      </extLst>
    </cfRule>
    <cfRule type="dataBar" priority="11656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{E2A6203E-D104-465C-BAAB-B8A011E93FD6}</x14:id>
        </ext>
      </extLst>
    </cfRule>
  </conditionalFormatting>
  <conditionalFormatting sqref="AO19:AO22 AO5:AO17 AQ31 AQ5:AQ18 AQ20:AQ29 AO23:AP23">
    <cfRule type="dataBar" priority="231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{7602D407-5FEC-4899-B3E3-6BEDE08AA36C}</x14:id>
        </ext>
      </extLst>
    </cfRule>
    <cfRule type="dataBar" priority="2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{318605B1-396A-436E-80FF-3A2557F4221D}</x14:id>
        </ext>
      </extLst>
    </cfRule>
    <cfRule type="dataBar" priority="231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{0EE70A15-6FC0-47A6-BADC-94CA6D658A8D}</x14:id>
        </ext>
      </extLst>
    </cfRule>
  </conditionalFormatting>
  <conditionalFormatting sqref="AP5:AP9">
    <cfRule type="dataBar" priority="25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{612191AA-0F57-4A40-AFF4-CDC1C5BB1440}</x14:id>
        </ext>
      </extLst>
    </cfRule>
    <cfRule type="dataBar" priority="2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{5E50A4C1-5353-44C3-BED8-A6E510C6C7DE}</x14:id>
        </ext>
      </extLst>
    </cfRule>
    <cfRule type="dataBar" priority="25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{DF235366-8B52-4764-8072-5451C9E0605E}</x14:id>
        </ext>
      </extLst>
    </cfRule>
    <cfRule type="dataBar" priority="256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{D4AAC686-9840-479E-A87F-A18CBCC45807}</x14:id>
        </ext>
      </extLst>
    </cfRule>
    <cfRule type="dataBar" priority="25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{274CEC2B-B6FF-4873-B543-0619C327A29C}</x14:id>
        </ext>
      </extLst>
    </cfRule>
    <cfRule type="dataBar" priority="254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{E1F18A5C-B477-4742-A39F-10F76609B091}</x14:id>
        </ext>
      </extLst>
    </cfRule>
    <cfRule type="dataBar" priority="255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{78C7AA8E-79C9-4BD4-BAAC-FE03FF54D701}</x14:id>
        </ext>
      </extLst>
    </cfRule>
    <cfRule type="dataBar" priority="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{392EEA9D-AA91-4749-97F0-AA74F9903DE3}</x14:id>
        </ext>
      </extLst>
    </cfRule>
    <cfRule type="dataBar" priority="2555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{50622C2E-209F-41FC-A079-135C4C4BB4C3}</x14:id>
        </ext>
      </extLst>
    </cfRule>
    <cfRule type="dataBar" priority="2552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{51010BB3-A7A4-4712-B59B-AA0FB1ADA8D0}</x14:id>
        </ext>
      </extLst>
    </cfRule>
    <cfRule type="dataBar" priority="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{6559BC87-8424-4974-A912-6ECCE5B3F0AA}</x14:id>
        </ext>
      </extLst>
    </cfRule>
    <cfRule type="dataBar" priority="254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{8E069B92-C78F-48DE-AC91-7089A8419B66}</x14:id>
        </ext>
      </extLst>
    </cfRule>
    <cfRule type="dataBar" priority="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{A89523DF-6831-48CC-9B8C-4081018A9B5A}</x14:id>
        </ext>
      </extLst>
    </cfRule>
    <cfRule type="dataBar" priority="255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{C2CA271D-9263-4F23-A010-1336B7BA37AB}</x14:id>
        </ext>
      </extLst>
    </cfRule>
    <cfRule type="dataBar" priority="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{6EB79F94-4B3E-4FE9-8580-3D00415ECDA6}</x14:id>
        </ext>
      </extLst>
    </cfRule>
    <cfRule type="dataBar" priority="2553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{75B19C10-8B2A-4FDF-A6D6-16835AAA613F}</x14:id>
        </ext>
      </extLst>
    </cfRule>
    <cfRule type="dataBar" priority="255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{DB79932B-1F58-4440-9E92-FA9882B1FD6E}</x14:id>
        </ext>
      </extLst>
    </cfRule>
  </conditionalFormatting>
  <conditionalFormatting sqref="AP10:AP11">
    <cfRule type="dataBar" priority="92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{A6A6B056-2E5C-4D2D-9C99-4BF57733875C}</x14:id>
        </ext>
      </extLst>
    </cfRule>
    <cfRule type="dataBar" priority="93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{C301A4FA-1D4A-4971-BD39-897DD7F14985}</x14:id>
        </ext>
      </extLst>
    </cfRule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{30588234-6508-41C9-8C9F-549F1BA964DC}</x14:id>
        </ext>
      </extLst>
    </cfRule>
    <cfRule type="dataBar" priority="92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{53EA12DA-73F3-48CD-BAA5-1602FE1549E0}</x14:id>
        </ext>
      </extLst>
    </cfRule>
    <cfRule type="dataBar" priority="92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{B1237770-E82F-41B5-9A7E-8982675C8A99}</x14:id>
        </ext>
      </extLst>
    </cfRule>
    <cfRule type="dataBar" priority="9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{A38B0941-2973-4C5A-906E-902E0E32E9F4}</x14:id>
        </ext>
      </extLst>
    </cfRule>
    <cfRule type="dataBar" priority="92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{CA9142D0-124F-434F-AC88-60A34FEA9C66}</x14:id>
        </ext>
      </extLst>
    </cfRule>
    <cfRule type="dataBar" priority="92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{137FDCE2-E6A1-46EB-BFFA-077FC225EFB5}</x14:id>
        </ext>
      </extLst>
    </cfRule>
  </conditionalFormatting>
  <conditionalFormatting sqref="AP12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{FA3105CD-7524-4B2E-A3BC-BAB411951918}</x14:id>
        </ext>
      </extLst>
    </cfRule>
    <cfRule type="dataBar" priority="10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{A7732BE1-7BF9-42D9-9486-ED8EE511A67A}</x14:id>
        </ext>
      </extLst>
    </cfRule>
    <cfRule type="dataBar" priority="107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{54AB9DBC-B759-4F51-840A-124E394B0D0E}</x14:id>
        </ext>
      </extLst>
    </cfRule>
    <cfRule type="dataBar" priority="10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{3A8D80A2-E832-484C-8D5F-566076591252}</x14:id>
        </ext>
      </extLst>
    </cfRule>
    <cfRule type="dataBar" priority="106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{91243DEA-0BC7-4A57-80F8-9746C26DF4B1}</x14:id>
        </ext>
      </extLst>
    </cfRule>
    <cfRule type="dataBar" priority="106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{FA15CAE1-14CA-4B52-B0AB-E92B21323B96}</x14:id>
        </ext>
      </extLst>
    </cfRule>
    <cfRule type="dataBar" priority="10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{ED2929BF-B63E-4E39-8FEB-F04103B87912}</x14:id>
        </ext>
      </extLst>
    </cfRule>
    <cfRule type="dataBar" priority="107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{D8CB2B31-998C-465C-A295-D23F98ACE535}</x14:id>
        </ext>
      </extLst>
    </cfRule>
    <cfRule type="dataBar" priority="105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{11BB92B9-B989-4974-9267-63DAAB915958}</x14:id>
        </ext>
      </extLst>
    </cfRule>
    <cfRule type="dataBar" priority="10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{12966267-8FC9-4B40-B187-56560587F81C}</x14:id>
        </ext>
      </extLst>
    </cfRule>
    <cfRule type="dataBar" priority="10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{412D57FB-B9D7-4EB8-AB6C-E6BBFCF6F401}</x14:id>
        </ext>
      </extLst>
    </cfRule>
    <cfRule type="dataBar" priority="10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{9BACF968-2558-48FD-A606-CDE486BE2E34}</x14:id>
        </ext>
      </extLst>
    </cfRule>
    <cfRule type="dataBar" priority="10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{8E7C8C31-B805-4345-B00F-3C660067CD03}</x14:id>
        </ext>
      </extLst>
    </cfRule>
    <cfRule type="dataBar" priority="106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{15ABA23E-9480-4CED-8718-AB0F38244CD3}</x14:id>
        </ext>
      </extLst>
    </cfRule>
    <cfRule type="dataBar" priority="10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{46AA8377-6703-4B96-90F8-266654A34EFA}</x14:id>
        </ext>
      </extLst>
    </cfRule>
    <cfRule type="dataBar" priority="106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{1BC22C93-B896-4557-B0A2-2585F32ABFDB}</x14:id>
        </ext>
      </extLst>
    </cfRule>
    <cfRule type="dataBar" priority="106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{766A00FD-4AD2-467B-8FE8-657B7F819783}</x14:id>
        </ext>
      </extLst>
    </cfRule>
    <cfRule type="dataBar" priority="106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{64DB8EBB-44B9-48F7-91C9-AFE0C49944C1}</x14:id>
        </ext>
      </extLst>
    </cfRule>
    <cfRule type="dataBar" priority="1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{0F88D189-4FBD-42C3-A2F4-EAE800F3636E}</x14:id>
        </ext>
      </extLst>
    </cfRule>
    <cfRule type="dataBar" priority="107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{63BD677F-4C98-4FC5-8B50-6698027F1A01}</x14:id>
        </ext>
      </extLst>
    </cfRule>
    <cfRule type="dataBar" priority="107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{4F26CA10-1E6B-4D4C-903E-35D57EC08A32}</x14:id>
        </ext>
      </extLst>
    </cfRule>
    <cfRule type="dataBar" priority="106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{0EDA3251-5176-4928-A7EA-1ACFDD380746}</x14:id>
        </ext>
      </extLst>
    </cfRule>
    <cfRule type="dataBar" priority="107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{4E3B0B2B-1F44-45FD-AF9D-2FE2FE44E320}</x14:id>
        </ext>
      </extLst>
    </cfRule>
    <cfRule type="dataBar" priority="107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{D2115DBF-1EC8-489D-A181-72E4890FB3C1}</x14:id>
        </ext>
      </extLst>
    </cfRule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{322629A9-C4D8-4BAC-AC4D-84BE5014014E}</x14:id>
        </ext>
      </extLst>
    </cfRule>
    <cfRule type="dataBar" priority="105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{7781D13D-7C89-45AF-B09A-516979F1479D}</x14:id>
        </ext>
      </extLst>
    </cfRule>
    <cfRule type="dataBar" priority="105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{F207F7AD-E800-45F9-893B-F82B99F200D6}</x14:id>
        </ext>
      </extLst>
    </cfRule>
    <cfRule type="dataBar" priority="105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{8E8E9C08-0E0B-449D-BF31-41249F43AD04}</x14:id>
        </ext>
      </extLst>
    </cfRule>
    <cfRule type="dataBar" priority="10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{78267F37-CC5D-4D28-A7B4-97200E05B259}</x14:id>
        </ext>
      </extLst>
    </cfRule>
    <cfRule type="dataBar" priority="105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{FE1C79F6-C84D-4D26-BDAC-5D98AD39B8C6}</x14:id>
        </ext>
      </extLst>
    </cfRule>
  </conditionalFormatting>
  <conditionalFormatting sqref="AP13">
    <cfRule type="dataBar" priority="92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{2EF63FF5-FEF0-4E0E-BF64-340E7B632054}</x14:id>
        </ext>
      </extLst>
    </cfRule>
    <cfRule type="dataBar" priority="91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{73D39C04-E77C-4D58-BB05-DE39673FB27B}</x14:id>
        </ext>
      </extLst>
    </cfRule>
    <cfRule type="dataBar" priority="91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{01A1A1FC-5D2D-4A8B-B2BC-F461B694EF8E}</x14:id>
        </ext>
      </extLst>
    </cfRule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{03660B9E-51D7-4FBF-B820-CB62B19A7A54}</x14:id>
        </ext>
      </extLst>
    </cfRule>
    <cfRule type="dataBar" priority="915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{511E900A-11F0-4C41-AF11-1CF9436CCD1D}</x14:id>
        </ext>
      </extLst>
    </cfRule>
    <cfRule type="dataBar" priority="92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{BA01825A-D11A-4AE1-A285-F3CFBFAAF22A}</x14:id>
        </ext>
      </extLst>
    </cfRule>
    <cfRule type="dataBar" priority="9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{4FAF7A43-4120-4A11-A90A-B017765D60A4}</x14:id>
        </ext>
      </extLst>
    </cfRule>
    <cfRule type="dataBar" priority="91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{13E5FD41-B68A-4CE7-AB17-7095EF6117FD}</x14:id>
        </ext>
      </extLst>
    </cfRule>
  </conditionalFormatting>
  <conditionalFormatting sqref="AP14:AP15">
    <cfRule type="dataBar" priority="11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{46D1A317-8BF9-4D93-AFEC-8B6D7B69E682}</x14:id>
        </ext>
      </extLst>
    </cfRule>
    <cfRule type="dataBar" priority="116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{A023118D-FD1F-4B41-934B-D9D8CDDAEE3A}</x14:id>
        </ext>
      </extLst>
    </cfRule>
    <cfRule type="dataBar" priority="116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{FA269930-383C-43B4-A010-5326CBD59E89}</x14:id>
        </ext>
      </extLst>
    </cfRule>
    <cfRule type="dataBar" priority="1167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{FC136B37-1DB0-430A-AB5E-9D0327D43DAD}</x14:id>
        </ext>
      </extLst>
    </cfRule>
    <cfRule type="dataBar" priority="11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{58E6194F-985E-4CC9-BD5D-797619A8EC08}</x14:id>
        </ext>
      </extLst>
    </cfRule>
    <cfRule type="dataBar" priority="1167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{35EEA410-85F7-4373-B70F-32941E3B4B71}</x14:id>
        </ext>
      </extLst>
    </cfRule>
    <cfRule type="dataBar" priority="1167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{E276DB78-72DE-41A3-83B0-45F5BB306B2E}</x14:id>
        </ext>
      </extLst>
    </cfRule>
    <cfRule type="dataBar" priority="1167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{B32B93A8-9B96-4BCC-BF7F-CEC744438A54}</x14:id>
        </ext>
      </extLst>
    </cfRule>
    <cfRule type="dataBar" priority="11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{A2D3F9E0-30F1-43BA-93D2-26C3F62D8C51}</x14:id>
        </ext>
      </extLst>
    </cfRule>
    <cfRule type="dataBar" priority="1167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{159831FB-0541-43E4-B04B-F70C51CA6D32}</x14:id>
        </ext>
      </extLst>
    </cfRule>
    <cfRule type="dataBar" priority="1168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{E2F40E7A-CD30-40E5-86E1-B2EA8A32D872}</x14:id>
        </ext>
      </extLst>
    </cfRule>
    <cfRule type="dataBar" priority="1168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{6BDD3E07-399B-45FF-B750-789DC917D915}</x14:id>
        </ext>
      </extLst>
    </cfRule>
    <cfRule type="dataBar" priority="116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{AE8551C7-A75E-4544-9507-66DFE0330473}</x14:id>
        </ext>
      </extLst>
    </cfRule>
    <cfRule type="dataBar" priority="1168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{A26816F6-D5DA-4857-9992-F5F3B8C43043}</x14:id>
        </ext>
      </extLst>
    </cfRule>
    <cfRule type="dataBar" priority="1168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{EA31753C-C093-4CC0-9B91-912FA29D55E2}</x14:id>
        </ext>
      </extLst>
    </cfRule>
    <cfRule type="dataBar" priority="1168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{A1C2B7B1-4FC8-4DA9-B184-00DDC9C3AF3A}</x14:id>
        </ext>
      </extLst>
    </cfRule>
    <cfRule type="dataBar" priority="1168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{E0C75E9D-CE4C-4A7C-97CC-16CC56FAD324}</x14:id>
        </ext>
      </extLst>
    </cfRule>
    <cfRule type="dataBar" priority="11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{B9E583DC-C51A-4E00-8726-8496F719AB7A}</x14:id>
        </ext>
      </extLst>
    </cfRule>
    <cfRule type="dataBar" priority="1168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{28572496-C4D7-4D2C-993D-0FA0676207A9}</x14:id>
        </ext>
      </extLst>
    </cfRule>
    <cfRule type="dataBar" priority="11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{E9916535-7613-4592-97C6-4D1FAC5E0D57}</x14:id>
        </ext>
      </extLst>
    </cfRule>
    <cfRule type="dataBar" priority="116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{2C0E9E1D-2809-431B-9FBF-D89D243D7112}</x14:id>
        </ext>
      </extLst>
    </cfRule>
    <cfRule type="dataBar" priority="116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{C184E877-E8FF-4195-9093-EB4588D65D1E}</x14:id>
        </ext>
      </extLst>
    </cfRule>
    <cfRule type="dataBar" priority="1169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{5CBA13B6-534E-4B40-8DE7-4CC1F9BAD6D0}</x14:id>
        </ext>
      </extLst>
    </cfRule>
    <cfRule type="dataBar" priority="11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{A5DA210F-2D18-426C-BE50-9B673B1E6603}</x14:id>
        </ext>
      </extLst>
    </cfRule>
    <cfRule type="dataBar" priority="1169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{FE88BFD9-4167-427D-8CCA-809B818A5548}</x14:id>
        </ext>
      </extLst>
    </cfRule>
    <cfRule type="dataBar" priority="1169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{56295649-7E60-479F-A8F7-69A318A838B6}</x14:id>
        </ext>
      </extLst>
    </cfRule>
    <cfRule type="dataBar" priority="1169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{835E8852-E5BE-4FD2-A4FD-BA6B0E720FF0}</x14:id>
        </ext>
      </extLst>
    </cfRule>
    <cfRule type="dataBar" priority="1169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{F76F195C-4BD9-4DB3-9350-9A918EC805BD}</x14:id>
        </ext>
      </extLst>
    </cfRule>
    <cfRule type="dataBar" priority="1169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{7BF8D200-BBE9-40FD-A4E3-446C281C8356}</x14:id>
        </ext>
      </extLst>
    </cfRule>
    <cfRule type="dataBar" priority="1170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{3BEC6AF4-7F2B-4866-947A-B5CCE1CEA0C8}</x14:id>
        </ext>
      </extLst>
    </cfRule>
  </conditionalFormatting>
  <conditionalFormatting sqref="AP16:AP17">
    <cfRule type="dataBar" priority="1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{E80A059B-8A7C-4417-BD68-FE1813895134}</x14:id>
        </ext>
      </extLst>
    </cfRule>
    <cfRule type="dataBar" priority="99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{BFF36DEC-2179-4C52-9531-36E0E0D07230}</x14:id>
        </ext>
      </extLst>
    </cfRule>
    <cfRule type="dataBar" priority="99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{C24BE7EA-5813-4B10-BF55-8DE0BDCD8D8D}</x14:id>
        </ext>
      </extLst>
    </cfRule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{59550555-0154-41E2-A34E-5A48D4EF4206}</x14:id>
        </ext>
      </extLst>
    </cfRule>
    <cfRule type="dataBar" priority="99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{A7E89D52-EDDA-4B51-9F27-302C6E17BB51}</x14:id>
        </ext>
      </extLst>
    </cfRule>
    <cfRule type="dataBar" priority="100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{722C0699-8E63-4174-BED4-FD36D897F1CB}</x14:id>
        </ext>
      </extLst>
    </cfRule>
    <cfRule type="dataBar" priority="1005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{774A1C89-81DF-48C2-91CE-E1BD51708D5C}</x14:id>
        </ext>
      </extLst>
    </cfRule>
    <cfRule type="dataBar" priority="1003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{DF719AF2-0869-4546-A888-3DAFF4A5BDBD}</x14:id>
        </ext>
      </extLst>
    </cfRule>
    <cfRule type="dataBar" priority="1006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{24DA5470-8BA6-4265-9B31-AFE3B0AD8B82}</x14:id>
        </ext>
      </extLst>
    </cfRule>
    <cfRule type="dataBar" priority="1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{AE878E3B-4E33-40C6-819E-F38A9182CACE}</x14:id>
        </ext>
      </extLst>
    </cfRule>
    <cfRule type="dataBar" priority="10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{66E97672-E816-4B93-B710-A5F66F71181D}</x14:id>
        </ext>
      </extLst>
    </cfRule>
    <cfRule type="dataBar" priority="10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{E19EC9D0-0EB9-4AA8-ACAC-701DC63CC411}</x14:id>
        </ext>
      </extLst>
    </cfRule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{818B70E1-E262-412A-8564-B26A02CD8162}</x14:id>
        </ext>
      </extLst>
    </cfRule>
    <cfRule type="dataBar" priority="10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{0775986C-C60E-48AF-8FA5-8C0985093B90}</x14:id>
        </ext>
      </extLst>
    </cfRule>
    <cfRule type="dataBar" priority="10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{1602C0D7-E0EF-435F-9979-4DE0740FAD03}</x14:id>
        </ext>
      </extLst>
    </cfRule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{DED60C46-18DE-425C-A778-E62F21A7E972}</x14:id>
        </ext>
      </extLst>
    </cfRule>
    <cfRule type="dataBar" priority="1015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{C313F14B-5247-406E-9417-45F2CF78BD8F}</x14:id>
        </ext>
      </extLst>
    </cfRule>
    <cfRule type="dataBar" priority="101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{85B5911E-85A3-4F3F-B4EF-766EC7F94B6C}</x14:id>
        </ext>
      </extLst>
    </cfRule>
    <cfRule type="dataBar" priority="1017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{E2941904-4A27-47FA-97AD-921B56435E22}</x14:id>
        </ext>
      </extLst>
    </cfRule>
    <cfRule type="dataBar" priority="1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{74A4F5F5-06E6-414D-A469-359B87B900E5}</x14:id>
        </ext>
      </extLst>
    </cfRule>
    <cfRule type="dataBar" priority="101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{139F2188-631E-44CE-A24F-F81F745B7F04}</x14:id>
        </ext>
      </extLst>
    </cfRule>
    <cfRule type="dataBar" priority="102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{DAB62AD5-A991-421D-9049-400FBF850C30}</x14:id>
        </ext>
      </extLst>
    </cfRule>
    <cfRule type="dataBar" priority="100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{F3D78687-95A7-4A36-8845-718A11158E7E}</x14:id>
        </ext>
      </extLst>
    </cfRule>
    <cfRule type="dataBar" priority="1004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{BE66E0FA-A935-4207-84FF-B8110EB16670}</x14:id>
        </ext>
      </extLst>
    </cfRule>
    <cfRule type="dataBar" priority="101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{E6B04EBF-D288-47CD-9FA9-8CEA6BD1CD9A}</x14:id>
        </ext>
      </extLst>
    </cfRule>
    <cfRule type="dataBar" priority="99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{3C6B5FA9-40B1-4C33-8D15-B62A6E09402C}</x14:id>
        </ext>
      </extLst>
    </cfRule>
    <cfRule type="dataBar" priority="99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{B11323EE-ABC3-4EB0-BB0C-9F4D0229E5DB}</x14:id>
        </ext>
      </extLst>
    </cfRule>
    <cfRule type="dataBar" priority="99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{BF17D7A0-542D-4BB6-B789-CE6E14941017}</x14:id>
        </ext>
      </extLst>
    </cfRule>
    <cfRule type="dataBar" priority="9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{C0266D0A-EAF4-4A72-AC59-74DC3580D29C}</x14:id>
        </ext>
      </extLst>
    </cfRule>
    <cfRule type="dataBar" priority="99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{344DBFDE-FE60-4D2D-A1C5-43E7D1F9C4D3}</x14:id>
        </ext>
      </extLst>
    </cfRule>
  </conditionalFormatting>
  <conditionalFormatting sqref="AP18">
    <cfRule type="dataBar" priority="88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{DBEDC057-F5B3-433D-A72B-5F2F7187AD47}</x14:id>
        </ext>
      </extLst>
    </cfRule>
    <cfRule type="dataBar" priority="88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{6871B7D3-B7DE-4DBF-8AE4-1AD4B8B7496E}</x14:id>
        </ext>
      </extLst>
    </cfRule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{DF2DB66B-5C10-4618-95FB-71D244C8E236}</x14:id>
        </ext>
      </extLst>
    </cfRule>
    <cfRule type="dataBar" priority="88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{DECB9D00-9564-4E96-AC5A-AF4A579CBE65}</x14:id>
        </ext>
      </extLst>
    </cfRule>
    <cfRule type="dataBar" priority="884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{5C2F9E75-A8C9-4C2C-811A-AAC9D1DD3197}</x14:id>
        </ext>
      </extLst>
    </cfRule>
    <cfRule type="dataBar" priority="8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{0366EC9F-1D36-4D0C-B71F-168AABEB87C7}</x14:id>
        </ext>
      </extLst>
    </cfRule>
    <cfRule type="dataBar" priority="883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{E23D9301-7BED-423C-804F-13C249F0A552}</x14:id>
        </ext>
      </extLst>
    </cfRule>
    <cfRule type="dataBar" priority="89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{91F8D2BB-2A7C-4E85-8178-D9105987309B}</x14:id>
        </ext>
      </extLst>
    </cfRule>
  </conditionalFormatting>
  <conditionalFormatting sqref="AP19">
    <cfRule type="dataBar" priority="91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{49316936-5836-4B40-A191-FB688DF60712}</x14:id>
        </ext>
      </extLst>
    </cfRule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{00EBD378-EAD7-4075-AA0F-35C3672DDCEE}</x14:id>
        </ext>
      </extLst>
    </cfRule>
    <cfRule type="dataBar" priority="91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{008179C2-6A0E-4EA6-8471-2D9ADACD21CE}</x14:id>
        </ext>
      </extLst>
    </cfRule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{13E88830-9420-4381-842A-619959E4A13D}</x14:id>
        </ext>
      </extLst>
    </cfRule>
    <cfRule type="dataBar" priority="90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{12A6EA99-3A68-4023-AE15-948A34F13D23}</x14:id>
        </ext>
      </extLst>
    </cfRule>
    <cfRule type="dataBar" priority="90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{D67D119D-8E2B-4D0B-9376-A19D82DADDB7}</x14:id>
        </ext>
      </extLst>
    </cfRule>
    <cfRule type="dataBar" priority="90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{C64DC4F2-5FA7-476C-AFC4-47138521070A}</x14:id>
        </ext>
      </extLst>
    </cfRule>
    <cfRule type="dataBar" priority="91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{2E112CD3-239F-44C8-B9D2-B37C112A8F32}</x14:id>
        </ext>
      </extLst>
    </cfRule>
  </conditionalFormatting>
  <conditionalFormatting sqref="AP20"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{72A73194-8D6E-43A5-AA27-6FC274B5DD0E}</x14:id>
        </ext>
      </extLst>
    </cfRule>
    <cfRule type="dataBar" priority="90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{2A444269-A2F2-41C1-9B6D-112D0BC7ED9B}</x14:id>
        </ext>
      </extLst>
    </cfRule>
    <cfRule type="dataBar" priority="90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{A9684082-4111-4C5D-B653-962A52DB953D}</x14:id>
        </ext>
      </extLst>
    </cfRule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{EDAE64BF-8E30-41B6-995F-CC10EE26B25F}</x14:id>
        </ext>
      </extLst>
    </cfRule>
    <cfRule type="dataBar" priority="90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{E0A7936B-2F25-4326-B0B2-0230C559B9A7}</x14:id>
        </ext>
      </extLst>
    </cfRule>
    <cfRule type="dataBar" priority="90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{79ED6B45-2507-4E48-8DF2-F3598EC3DC29}</x14:id>
        </ext>
      </extLst>
    </cfRule>
    <cfRule type="dataBar" priority="89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{D9DDBF4A-CCDF-48BD-B64D-EC53345710AC}</x14:id>
        </ext>
      </extLst>
    </cfRule>
    <cfRule type="dataBar" priority="90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{98E9D44C-F7FF-445E-80B9-3123DAB2C1B4}</x14:id>
        </ext>
      </extLst>
    </cfRule>
  </conditionalFormatting>
  <conditionalFormatting sqref="AP21:AP22">
    <cfRule type="dataBar" priority="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{5917C962-A2CD-496F-905A-5C28FCF8F7A6}</x14:id>
        </ext>
      </extLst>
    </cfRule>
    <cfRule type="dataBar" priority="253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{92403768-7A3B-49C9-9D00-CDD684D7152B}</x14:id>
        </ext>
      </extLst>
    </cfRule>
    <cfRule type="dataBar" priority="2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{5C61E10D-2A05-4071-BE0F-A2A00E0C74EB}</x14:id>
        </ext>
      </extLst>
    </cfRule>
    <cfRule type="dataBar" priority="253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{221CBF3C-D175-4CD6-8823-7434023F125C}</x14:id>
        </ext>
      </extLst>
    </cfRule>
    <cfRule type="dataBar" priority="253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{833BF876-6E58-43EC-AEC0-8930288BB4C4}</x14:id>
        </ext>
      </extLst>
    </cfRule>
    <cfRule type="dataBar" priority="253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{3DF517B0-6926-4F20-8AD1-1A9E89F68949}</x14:id>
        </ext>
      </extLst>
    </cfRule>
    <cfRule type="dataBar" priority="253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{6BE5699F-2B45-4328-A28A-D14AC0DC10F3}</x14:id>
        </ext>
      </extLst>
    </cfRule>
    <cfRule type="dataBar" priority="254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{4FDF9964-0867-4ACA-8BCE-0A89F2952247}</x14:id>
        </ext>
      </extLst>
    </cfRule>
    <cfRule type="dataBar" priority="25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{9958F257-A591-4223-930E-0C28BB466B76}</x14:id>
        </ext>
      </extLst>
    </cfRule>
    <cfRule type="dataBar" priority="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{91E1B8E0-C614-4B4F-8A41-E86DA255A521}</x14:id>
        </ext>
      </extLst>
    </cfRule>
    <cfRule type="dataBar" priority="254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{0398727B-61EB-4066-B020-FE667D9446B8}</x14:id>
        </ext>
      </extLst>
    </cfRule>
    <cfRule type="dataBar" priority="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{9F42D80D-60D0-4807-9A1C-044E0D24A9DD}</x14:id>
        </ext>
      </extLst>
    </cfRule>
    <cfRule type="dataBar" priority="254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{E0810BA3-1AAF-4BA7-BD0E-63FA74EC1AF6}</x14:id>
        </ext>
      </extLst>
    </cfRule>
    <cfRule type="dataBar" priority="25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{3106C6D5-64E9-4A32-9D8D-98B490316F67}</x14:id>
        </ext>
      </extLst>
    </cfRule>
    <cfRule type="dataBar" priority="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{7A3C3AEC-DE7E-4914-8228-F3906A26D76B}</x14:id>
        </ext>
      </extLst>
    </cfRule>
    <cfRule type="dataBar" priority="253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{84B05EA0-6079-43D4-B052-4EBAD8DD9709}</x14:id>
        </ext>
      </extLst>
    </cfRule>
    <cfRule type="dataBar" priority="25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{12B4C34C-66C3-4F91-802E-D88CD9E60AF2}</x14:id>
        </ext>
      </extLst>
    </cfRule>
  </conditionalFormatting>
  <conditionalFormatting sqref="AQ19 AO18">
    <cfRule type="dataBar" priority="228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{AE9C5703-81DC-43DE-9756-ABFBFD838E1B}</x14:id>
        </ext>
      </extLst>
    </cfRule>
    <cfRule type="dataBar" priority="228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{7C8F01D3-06A5-4983-8921-697A739B7DC9}</x14:id>
        </ext>
      </extLst>
    </cfRule>
    <cfRule type="dataBar" priority="2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{2D530AB0-62B9-4157-BE6A-D7007E6E548F}</x14:id>
        </ext>
      </extLst>
    </cfRule>
  </conditionalFormatting>
  <conditionalFormatting sqref="AQ30">
    <cfRule type="dataBar" priority="2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{606E6336-5D52-4A76-A8CD-590BA8516AE2}</x14:id>
        </ext>
      </extLst>
    </cfRule>
    <cfRule type="dataBar" priority="22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{EBA9F330-08B8-47C1-A3C2-B260DA14EFD2}</x14:id>
        </ext>
      </extLst>
    </cfRule>
    <cfRule type="dataBar" priority="22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{490A10B4-3145-4E52-9C47-F353348C05FC}</x14:id>
        </ext>
      </extLst>
    </cfRule>
    <cfRule type="dataBar" priority="2237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{902C2108-DC1F-4260-AEA8-ADFFB89BE4F6}</x14:id>
        </ext>
      </extLst>
    </cfRule>
  </conditionalFormatting>
  <conditionalFormatting sqref="AQ31:AQ33 AO5:AO22 AQ5:AQ29 AO23:AP23">
    <cfRule type="dataBar" priority="231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{4EC5E647-9F00-4ADC-A123-C59904CF7ECF}</x14:id>
        </ext>
      </extLst>
    </cfRule>
  </conditionalFormatting>
  <conditionalFormatting sqref="AQ32:AQ33">
    <cfRule type="dataBar" priority="230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{4AE51CB6-15EC-4733-82D3-1C600996BF46}</x14:id>
        </ext>
      </extLst>
    </cfRule>
    <cfRule type="dataBar" priority="230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{7709A749-39FC-4A20-B39F-9FE6C338407C}</x14:id>
        </ext>
      </extLst>
    </cfRule>
    <cfRule type="dataBar" priority="2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{C7D74D8B-2147-4370-888C-D40F611CE522}</x14:id>
        </ext>
      </extLst>
    </cfRule>
  </conditionalFormatting>
  <conditionalFormatting sqref="AT5:AT22 AV5:AV23 AT23:AU23">
    <cfRule type="dataBar" priority="11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{D96FEA55-40F9-4605-87F2-EAFC779F55B1}</x14:id>
        </ext>
      </extLst>
    </cfRule>
    <cfRule type="dataBar" priority="1171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{D5613376-5C15-4F55-B178-CCFF29AD34ED}</x14:id>
        </ext>
      </extLst>
    </cfRule>
  </conditionalFormatting>
  <conditionalFormatting sqref="AT5:AT22">
    <cfRule type="dataBar" priority="1172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{8D7E2D8A-1662-4C35-AD46-A77649E086CE}</x14:id>
        </ext>
      </extLst>
    </cfRule>
    <cfRule type="dataBar" priority="1172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{463D529D-5099-4A5C-8BA9-2D4506E32C96}</x14:id>
        </ext>
      </extLst>
    </cfRule>
    <cfRule type="dataBar" priority="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{AF18A143-C1CF-4632-9270-E5D1C53FEEB5}</x14:id>
        </ext>
      </extLst>
    </cfRule>
    <cfRule type="dataBar" priority="11728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{743B5E2A-6E2E-490B-BDFC-DA9E8397F73A}</x14:id>
        </ext>
      </extLst>
    </cfRule>
    <cfRule type="dataBar" priority="1172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{069E8196-2E62-4170-8ED3-046A55AE3E86}</x14:id>
        </ext>
      </extLst>
    </cfRule>
    <cfRule type="dataBar" priority="1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{F123B2A1-11F4-4D9F-A0BB-3EE450BDC99D}</x14:id>
        </ext>
      </extLst>
    </cfRule>
    <cfRule type="dataBar" priority="117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{40154EEA-0CBA-4EED-8DDE-6BB7634329EB}</x14:id>
        </ext>
      </extLst>
    </cfRule>
  </conditionalFormatting>
  <conditionalFormatting sqref="AT14 AV14">
    <cfRule type="dataBar" priority="2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{92D855DE-31D0-4335-B41E-55A689EF8917}</x14:id>
        </ext>
      </extLst>
    </cfRule>
    <cfRule type="dataBar" priority="228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{28D1F3F7-D141-4959-AF9C-D6CDDD1DB05D}</x14:id>
        </ext>
      </extLst>
    </cfRule>
    <cfRule type="dataBar" priority="228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{0EF9E568-AA7D-4F43-92DC-6089607307A5}</x14:id>
        </ext>
      </extLst>
    </cfRule>
  </conditionalFormatting>
  <conditionalFormatting sqref="AT16:AT22 AT5:AT13 AV5:AV13 AV16:AV23 AT23:AU23">
    <cfRule type="dataBar" priority="5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{90E2E3D0-ADCC-4A94-BC63-F0CF63CE667F}</x14:id>
        </ext>
      </extLst>
    </cfRule>
    <cfRule type="dataBar" priority="584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{61DD61E4-EABC-45A2-B51F-ECBAB3286998}</x14:id>
        </ext>
      </extLst>
    </cfRule>
    <cfRule type="dataBar" priority="584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{EAEE04DF-0C0A-4433-86EA-2416FE21703A}</x14:id>
        </ext>
      </extLst>
    </cfRule>
  </conditionalFormatting>
  <conditionalFormatting sqref="AT16:AT22 AT5:AT14 AV5:AV14 AV16:AV23 AT23:AU23">
    <cfRule type="dataBar" priority="586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{7E25CF36-7B39-4125-A90B-400A3EF3A363}</x14:id>
        </ext>
      </extLst>
    </cfRule>
  </conditionalFormatting>
  <conditionalFormatting sqref="AU5:AU7">
    <cfRule type="dataBar" priority="86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{F71089F7-E6FD-4A9D-A571-04C5EF5CF837}</x14:id>
        </ext>
      </extLst>
    </cfRule>
    <cfRule type="dataBar" priority="8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{886650EC-7CAC-4248-9EB9-4C9F71FEE9FF}</x14:id>
        </ext>
      </extLst>
    </cfRule>
    <cfRule type="dataBar" priority="86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{B5797471-609D-4C8B-8355-0A065A7B5AAC}</x14:id>
        </ext>
      </extLst>
    </cfRule>
    <cfRule type="dataBar" priority="86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{716C20C1-0F31-401F-9CD7-154B68634964}</x14:id>
        </ext>
      </extLst>
    </cfRule>
    <cfRule type="dataBar" priority="86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{57B06FA2-F15E-4D9B-A5F2-56599E3362C1}</x14:id>
        </ext>
      </extLst>
    </cfRule>
    <cfRule type="dataBar" priority="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{150C0287-C55D-4A6B-8BB2-C50EB9298320}</x14:id>
        </ext>
      </extLst>
    </cfRule>
    <cfRule type="dataBar" priority="85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{9A42EAEE-538D-4188-84FB-C909D24F3A6D}</x14:id>
        </ext>
      </extLst>
    </cfRule>
    <cfRule type="dataBar" priority="85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{D2E6188B-A196-4BB6-AB2E-FBEA06A5A239}</x14:id>
        </ext>
      </extLst>
    </cfRule>
    <cfRule type="dataBar" priority="85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{FC44FCFA-582D-48D8-B8D6-580FC653837D}</x14:id>
        </ext>
      </extLst>
    </cfRule>
    <cfRule type="dataBar" priority="8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{E11FF8C3-1412-4065-B5A7-F94296828ED3}</x14:id>
        </ext>
      </extLst>
    </cfRule>
    <cfRule type="dataBar" priority="85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{CD8A22FE-F892-4114-A4FA-9C8B605D446B}</x14:id>
        </ext>
      </extLst>
    </cfRule>
    <cfRule type="dataBar" priority="85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{31D70072-22C9-43F9-B91F-6A30E2F04AF3}</x14:id>
        </ext>
      </extLst>
    </cfRule>
    <cfRule type="dataBar" priority="8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{8374F067-377C-475E-BF92-02102AAFCD23}</x14:id>
        </ext>
      </extLst>
    </cfRule>
    <cfRule type="dataBar" priority="86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{A74CF764-7CBE-4F3D-8F71-F86EC8C97D0A}</x14:id>
        </ext>
      </extLst>
    </cfRule>
    <cfRule type="dataBar" priority="88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{2DB9DBBB-1060-40F9-8B4B-B76DD13EA593}</x14:id>
        </ext>
      </extLst>
    </cfRule>
    <cfRule type="dataBar" priority="86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{5A25FA0C-4B83-4597-A66E-B0F3A18F8CBD}</x14:id>
        </ext>
      </extLst>
    </cfRule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{2706E93F-F04B-49A7-B5AF-06B7B9F2BD63}</x14:id>
        </ext>
      </extLst>
    </cfRule>
    <cfRule type="dataBar" priority="88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{36F33DC1-7927-43C6-BE17-FD8A4B063F24}</x14:id>
        </ext>
      </extLst>
    </cfRule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{FD8449E1-35FD-4965-AA5D-A6E3FF76E7CA}</x14:id>
        </ext>
      </extLst>
    </cfRule>
    <cfRule type="dataBar" priority="87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{5E574BFC-5263-4376-8161-7CC66BEC6A94}</x14:id>
        </ext>
      </extLst>
    </cfRule>
    <cfRule type="dataBar" priority="87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{284A741E-0B13-452E-9382-D520F19A83E8}</x14:id>
        </ext>
      </extLst>
    </cfRule>
    <cfRule type="dataBar" priority="87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{CDB7B434-7836-40F3-8029-9B368365C284}</x14:id>
        </ext>
      </extLst>
    </cfRule>
    <cfRule type="dataBar" priority="87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{DBF8C1AA-02D4-4647-AD71-48BA00BD1BCC}</x14:id>
        </ext>
      </extLst>
    </cfRule>
    <cfRule type="dataBar" priority="87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{1F9748B7-70B4-45CD-8390-21B5352DF3E6}</x14:id>
        </ext>
      </extLst>
    </cfRule>
    <cfRule type="dataBar" priority="87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{59E2EFC0-4277-45D6-A2B2-BE34967C5977}</x14:id>
        </ext>
      </extLst>
    </cfRule>
    <cfRule type="dataBar" priority="8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{711A262D-297D-485E-ADAA-2BB0C15E90AF}</x14:id>
        </ext>
      </extLst>
    </cfRule>
    <cfRule type="dataBar" priority="8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{B5569281-9FB9-4237-A085-D78DDDA1FF29}</x14:id>
        </ext>
      </extLst>
    </cfRule>
    <cfRule type="dataBar" priority="87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{6B9712D0-72C0-44DF-A346-5FFB95CAEFEA}</x14:id>
        </ext>
      </extLst>
    </cfRule>
    <cfRule type="dataBar" priority="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{C1EF4DF1-21DF-48DF-AFE8-88D589D6B58A}</x14:id>
        </ext>
      </extLst>
    </cfRule>
    <cfRule type="dataBar" priority="86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{FBD8CEC8-A202-4016-ABF1-90B15152FC8E}</x14:id>
        </ext>
      </extLst>
    </cfRule>
  </conditionalFormatting>
  <conditionalFormatting sqref="AU8:AU11">
    <cfRule type="dataBar" priority="85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{DF6910FE-A285-4984-9F9B-038EA94A917E}</x14:id>
        </ext>
      </extLst>
    </cfRule>
    <cfRule type="dataBar" priority="85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{5024D3BD-C348-4E37-BE95-BE5E236306A8}</x14:id>
        </ext>
      </extLst>
    </cfRule>
    <cfRule type="dataBar" priority="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{EF910626-B55B-48BE-B509-6883E475724D}</x14:id>
        </ext>
      </extLst>
    </cfRule>
    <cfRule type="dataBar" priority="84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{16B15363-9223-4F9C-9214-731D4A592C8E}</x14:id>
        </ext>
      </extLst>
    </cfRule>
    <cfRule type="dataBar" priority="84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{31BF3291-F248-4B7F-AC0B-ECEB25629A58}</x14:id>
        </ext>
      </extLst>
    </cfRule>
    <cfRule type="dataBar" priority="84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{3B85CFC3-F95E-4A1A-9BC4-C4F561011173}</x14:id>
        </ext>
      </extLst>
    </cfRule>
    <cfRule type="dataBar" priority="84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{EA74B900-F814-4A6B-B5D6-B75B8F3F7DB5}</x14:id>
        </ext>
      </extLst>
    </cfRule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{0B573E5A-E972-4D89-A60A-A53D697A5E11}</x14:id>
        </ext>
      </extLst>
    </cfRule>
    <cfRule type="dataBar" priority="84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{19E1A853-6A01-40A3-B038-A3F2CB08829C}</x14:id>
        </ext>
      </extLst>
    </cfRule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{3C23A00F-2E2D-4428-A85A-482DBAA54E3C}</x14:id>
        </ext>
      </extLst>
    </cfRule>
    <cfRule type="dataBar" priority="84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{E95C86FD-6AE7-44FB-80AF-08AC515055AF}</x14:id>
        </ext>
      </extLst>
    </cfRule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{9B1974C6-7A1B-4E4A-ADFB-10BA67FB748C}</x14:id>
        </ext>
      </extLst>
    </cfRule>
    <cfRule type="dataBar" priority="84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{9A53A8DC-6902-485E-B829-E4979A068574}</x14:id>
        </ext>
      </extLst>
    </cfRule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{50F2758C-0266-4EC7-975C-0681DD247567}</x14:id>
        </ext>
      </extLst>
    </cfRule>
    <cfRule type="dataBar" priority="83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{3F38CA28-860F-4F4B-857F-BFC31F3B781D}</x14:id>
        </ext>
      </extLst>
    </cfRule>
    <cfRule type="dataBar" priority="83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{AB36FC0E-914A-40D6-818F-09590FD96198}</x14:id>
        </ext>
      </extLst>
    </cfRule>
    <cfRule type="dataBar" priority="83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{A0209A39-C5AD-4120-B776-4C3A1E0C3A72}</x14:id>
        </ext>
      </extLst>
    </cfRule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{B8D7E825-2F0B-462A-A03D-DEA99CFB6BAC}</x14:id>
        </ext>
      </extLst>
    </cfRule>
    <cfRule type="dataBar" priority="83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{59C2A251-5F3F-45E0-ADAA-AF314800824F}</x14:id>
        </ext>
      </extLst>
    </cfRule>
    <cfRule type="dataBar" priority="82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{B1FFE7AC-98B3-4F6A-AFC7-BF7D815E7FB9}</x14:id>
        </ext>
      </extLst>
    </cfRule>
    <cfRule type="dataBar" priority="82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{8447DFFC-B3ED-462A-A451-E21565D8FE95}</x14:id>
        </ext>
      </extLst>
    </cfRule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{DDD14845-BC3B-495B-A155-C016DF014B9A}</x14:id>
        </ext>
      </extLst>
    </cfRule>
    <cfRule type="dataBar" priority="82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{E52C2BB9-6B2A-4557-9607-9CA390B6A563}</x14:id>
        </ext>
      </extLst>
    </cfRule>
    <cfRule type="dataBar" priority="82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{9CFF3511-FD58-4F5B-95E5-BB12EAFB1026}</x14:id>
        </ext>
      </extLst>
    </cfRule>
    <cfRule type="dataBar" priority="8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{A51D5FD4-3B24-4B3F-ACD7-A5F220008D46}</x14:id>
        </ext>
      </extLst>
    </cfRule>
    <cfRule type="dataBar" priority="82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{F42D01B4-FB81-4ADC-9451-D25C2741F798}</x14:id>
        </ext>
      </extLst>
    </cfRule>
    <cfRule type="dataBar" priority="83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{A44D68FB-8E29-456B-B04B-9A6447A47BFE}</x14:id>
        </ext>
      </extLst>
    </cfRule>
    <cfRule type="dataBar" priority="8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{45EB09BB-C31C-44B3-876C-BF01EE28E02D}</x14:id>
        </ext>
      </extLst>
    </cfRule>
    <cfRule type="dataBar" priority="8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{C66502D7-32E1-422F-B0C3-EE0E2767B776}</x14:id>
        </ext>
      </extLst>
    </cfRule>
    <cfRule type="dataBar" priority="83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{9FCFD6B5-75D3-4760-92AA-E26DFF1FFEA5}</x14:id>
        </ext>
      </extLst>
    </cfRule>
  </conditionalFormatting>
  <conditionalFormatting sqref="AU12:AU13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{4FD021D0-5F6F-4615-B7B9-0E398E449542}</x14:id>
        </ext>
      </extLst>
    </cfRule>
    <cfRule type="dataBar" priority="642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{102B5B9E-0EBC-4056-8E08-50433918E908}</x14:id>
        </ext>
      </extLst>
    </cfRule>
    <cfRule type="dataBar" priority="635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{4F114B98-8391-4BBB-AE5D-53B9685C55C9}</x14:id>
        </ext>
      </extLst>
    </cfRule>
    <cfRule type="dataBar" priority="636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{53230D47-6BD0-4419-8F0D-75397BD5508C}</x14:id>
        </ext>
      </extLst>
    </cfRule>
    <cfRule type="dataBar" priority="6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{BE7EC715-7521-47F7-99DA-0D8DE6B36008}</x14:id>
        </ext>
      </extLst>
    </cfRule>
    <cfRule type="dataBar" priority="640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{21BEFAAC-A39C-4193-9CA1-121F0DE7B856}</x14:id>
        </ext>
      </extLst>
    </cfRule>
    <cfRule type="dataBar" priority="639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{0868ACF3-C90E-485B-868F-07717E28E4FD}</x14:id>
        </ext>
      </extLst>
    </cfRule>
    <cfRule type="dataBar" priority="637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{8A401992-9B54-4DD4-B9D4-94DE189839B2}</x14:id>
        </ext>
      </extLst>
    </cfRule>
  </conditionalFormatting>
  <conditionalFormatting sqref="AU14:AU18">
    <cfRule type="dataBar" priority="11746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{F49FC3B8-5397-42DC-85D1-9B435356DEEB}</x14:id>
        </ext>
      </extLst>
    </cfRule>
    <cfRule type="dataBar" priority="1173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{AD983635-58C3-4500-BE79-59443DDCF09B}</x14:id>
        </ext>
      </extLst>
    </cfRule>
    <cfRule type="dataBar" priority="117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{54C96995-84C3-4F27-9784-AFD1C6D65E51}</x14:id>
        </ext>
      </extLst>
    </cfRule>
    <cfRule type="dataBar" priority="11738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{F5B19701-072B-4D76-8F74-E9EFA312539E}</x14:id>
        </ext>
      </extLst>
    </cfRule>
    <cfRule type="dataBar" priority="11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{7BEADD04-3D0F-4622-931B-B13D3812CB86}</x14:id>
        </ext>
      </extLst>
    </cfRule>
    <cfRule type="dataBar" priority="1174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{917E9C8F-11C5-4633-876B-3DB5CE962C80}</x14:id>
        </ext>
      </extLst>
    </cfRule>
    <cfRule type="dataBar" priority="117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{D8E633E5-8796-42E0-88D7-3C17F35A9BB0}</x14:id>
        </ext>
      </extLst>
    </cfRule>
    <cfRule type="dataBar" priority="1174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{D3CED1AC-61B0-4063-9024-85B117CF6CFD}</x14:id>
        </ext>
      </extLst>
    </cfRule>
    <cfRule type="dataBar" priority="11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{B13A8D0D-0D9F-4D49-AED8-06C6B47DC3FC}</x14:id>
        </ext>
      </extLst>
    </cfRule>
    <cfRule type="dataBar" priority="1174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{40050786-92A8-4574-954C-282A44309D93}</x14:id>
        </ext>
      </extLst>
    </cfRule>
    <cfRule type="dataBar" priority="11745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{F37DCE10-D2D8-4245-A72D-E6FE1C242954}</x14:id>
        </ext>
      </extLst>
    </cfRule>
    <cfRule type="dataBar" priority="117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{25CB6491-4AAD-4E20-8A97-9DE6FF64A995}</x14:id>
        </ext>
      </extLst>
    </cfRule>
    <cfRule type="dataBar" priority="11748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{9422EE98-FF85-49F2-B83C-BDF416C79C30}</x14:id>
        </ext>
      </extLst>
    </cfRule>
    <cfRule type="dataBar" priority="11749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{208907EC-72CB-41ED-B2DB-C259547F1237}</x14:id>
        </ext>
      </extLst>
    </cfRule>
    <cfRule type="dataBar" priority="11750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{06B45B22-53AC-43B0-8567-0C044539B10D}</x14:id>
        </ext>
      </extLst>
    </cfRule>
    <cfRule type="dataBar" priority="11751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{110DC0B9-EC92-48C4-B129-CD6319C77E60}</x14:id>
        </ext>
      </extLst>
    </cfRule>
    <cfRule type="dataBar" priority="11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{13806AD6-1B0B-4035-BC91-46B8A1546D34}</x14:id>
        </ext>
      </extLst>
    </cfRule>
    <cfRule type="dataBar" priority="1175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{28D397BC-0390-4F37-8B5C-8427D8684EBF}</x14:id>
        </ext>
      </extLst>
    </cfRule>
    <cfRule type="dataBar" priority="11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{D79DD626-2552-4A67-A046-9FFD83FF4125}</x14:id>
        </ext>
      </extLst>
    </cfRule>
    <cfRule type="dataBar" priority="11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{A0D8F6BA-4DB8-43C1-9FB0-223BFAD37461}</x14:id>
        </ext>
      </extLst>
    </cfRule>
    <cfRule type="dataBar" priority="11756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{A8D80F54-D6A0-4C0B-8A69-C49B5B84385E}</x14:id>
        </ext>
      </extLst>
    </cfRule>
    <cfRule type="dataBar" priority="11757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{F98C7982-7FAC-4D47-9490-3F61B18615A1}</x14:id>
        </ext>
      </extLst>
    </cfRule>
    <cfRule type="dataBar" priority="11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{E6AA2742-73FE-49E5-93BF-375854402030}</x14:id>
        </ext>
      </extLst>
    </cfRule>
    <cfRule type="dataBar" priority="11759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{616BB459-A45A-45FF-AAC6-CAAF1A9CF87F}</x14:id>
        </ext>
      </extLst>
    </cfRule>
    <cfRule type="dataBar" priority="1176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{F0F1E504-7175-45F0-9031-530A7430D013}</x14:id>
        </ext>
      </extLst>
    </cfRule>
    <cfRule type="dataBar" priority="11761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{13D0482B-045C-4078-AC51-BB387A1AA78D}</x14:id>
        </ext>
      </extLst>
    </cfRule>
    <cfRule type="dataBar" priority="11762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{D0126A48-F2C1-4E71-883C-34F08B05FFBA}</x14:id>
        </ext>
      </extLst>
    </cfRule>
    <cfRule type="dataBar" priority="11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{89928C2A-BF06-46E4-8705-41F3E427AF4D}</x14:id>
        </ext>
      </extLst>
    </cfRule>
    <cfRule type="dataBar" priority="11764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{70FEA475-1E3D-4A0A-93E5-2A0B0C066ACC}</x14:id>
        </ext>
      </extLst>
    </cfRule>
    <cfRule type="dataBar" priority="11765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{6784FF7C-82F5-4AF2-9290-5255520CB18D}</x14:id>
        </ext>
      </extLst>
    </cfRule>
  </conditionalFormatting>
  <conditionalFormatting sqref="AU19">
    <cfRule type="dataBar" priority="78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{ABAF9522-78CE-45DA-984D-1C575585A945}</x14:id>
        </ext>
      </extLst>
    </cfRule>
    <cfRule type="dataBar" priority="78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{1A6CEF3F-DF84-47D1-A11B-618C2D7E0031}</x14:id>
        </ext>
      </extLst>
    </cfRule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{99834285-99CD-4DE6-961F-EF3B34184DF4}</x14:id>
        </ext>
      </extLst>
    </cfRule>
    <cfRule type="dataBar" priority="77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{7787D036-068A-4A82-A308-3E934A0C8015}</x14:id>
        </ext>
      </extLst>
    </cfRule>
    <cfRule type="dataBar" priority="77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{B19130DB-1A73-4768-9F1A-FE9B9B6B10E0}</x14:id>
        </ext>
      </extLst>
    </cfRule>
    <cfRule type="dataBar" priority="76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{85490958-3E27-4AEB-8DA8-720E60AEFFEE}</x14:id>
        </ext>
      </extLst>
    </cfRule>
    <cfRule type="dataBar" priority="77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{89BCDE8A-116E-48DB-A94E-7112C09047BF}</x14:id>
        </ext>
      </extLst>
    </cfRule>
    <cfRule type="dataBar" priority="77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{75C601E2-3EB4-40C1-A69D-5708BAE04C9E}</x14:id>
        </ext>
      </extLst>
    </cfRule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{B0891AD7-6D06-4436-972E-C2E42CACCE8C}</x14:id>
        </ext>
      </extLst>
    </cfRule>
    <cfRule type="dataBar" priority="77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{B8637660-58A1-41BF-8FF9-E67E2A5885CF}</x14:id>
        </ext>
      </extLst>
    </cfRule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{B6890EB0-ABBA-426D-B787-7E9FCFFB41A9}</x14:id>
        </ext>
      </extLst>
    </cfRule>
    <cfRule type="dataBar" priority="77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{CEEE11E3-D2A7-4708-A2DE-96F441E29BAF}</x14:id>
        </ext>
      </extLst>
    </cfRule>
    <cfRule type="dataBar" priority="77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{8D4D9470-A6D3-4048-A574-20415BA34790}</x14:id>
        </ext>
      </extLst>
    </cfRule>
    <cfRule type="dataBar" priority="76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{6B147302-4212-4B71-ABE0-9508A3EDD681}</x14:id>
        </ext>
      </extLst>
    </cfRule>
    <cfRule type="dataBar" priority="76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{63543FAC-3208-4BC2-B52D-0AD84B9434C8}</x14:id>
        </ext>
      </extLst>
    </cfRule>
    <cfRule type="dataBar" priority="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{548179D7-94AB-4BBA-AA00-B3E3FA81B591}</x14:id>
        </ext>
      </extLst>
    </cfRule>
    <cfRule type="dataBar" priority="76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{7A9D7903-EC50-42D4-A2D3-40D77848FADD}</x14:id>
        </ext>
      </extLst>
    </cfRule>
    <cfRule type="dataBar" priority="79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{41D9096F-24AA-40DB-A531-BA87CD113F36}</x14:id>
        </ext>
      </extLst>
    </cfRule>
    <cfRule type="dataBar" priority="79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{B00C9991-A910-40DA-8C51-AC8180AFC990}</x14:id>
        </ext>
      </extLst>
    </cfRule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{A681EB66-C1A7-47A5-BEC8-B16F1E0FA53B}</x14:id>
        </ext>
      </extLst>
    </cfRule>
    <cfRule type="dataBar" priority="76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{1883CB45-0DD9-4510-9D52-2DA6E6300B59}</x14:id>
        </ext>
      </extLst>
    </cfRule>
    <cfRule type="dataBar" priority="78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{DBA003E1-C5B2-4216-8701-FAD42A9323C0}</x14:id>
        </ext>
      </extLst>
    </cfRule>
    <cfRule type="dataBar" priority="78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{0E9DC7F4-0DD6-4473-B23C-EDCF2EF26D60}</x14:id>
        </ext>
      </extLst>
    </cfRule>
    <cfRule type="dataBar" priority="78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{B29A8EF8-37DA-45F6-90B5-DD29B71E2D45}</x14:id>
        </ext>
      </extLst>
    </cfRule>
    <cfRule type="dataBar" priority="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{8A1739EF-695A-4097-9C39-1FFCDA77DF21}</x14:id>
        </ext>
      </extLst>
    </cfRule>
    <cfRule type="dataBar" priority="78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{79D0729D-4F88-4298-96F4-E2ADCAA6E127}</x14:id>
        </ext>
      </extLst>
    </cfRule>
    <cfRule type="dataBar" priority="76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{1A1F8A62-2BBF-47C7-9E57-B738F3ECEE49}</x14:id>
        </ext>
      </extLst>
    </cfRule>
    <cfRule type="dataBar" priority="78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{1E36D2B8-EE15-4CB5-95AF-95E9770BC240}</x14:id>
        </ext>
      </extLst>
    </cfRule>
    <cfRule type="dataBar" priority="7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{C448494B-B0B2-43C2-94E6-C37752927F4C}</x14:id>
        </ext>
      </extLst>
    </cfRule>
    <cfRule type="dataBar" priority="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{DDF0C06B-D7C1-4C6C-868E-03C4DCFDFAED}</x14:id>
        </ext>
      </extLst>
    </cfRule>
  </conditionalFormatting>
  <conditionalFormatting sqref="AU20">
    <cfRule type="dataBar" priority="628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{589E9C01-BC7F-43ED-BB4A-193B9C09EB5D}</x14:id>
        </ext>
      </extLst>
    </cfRule>
    <cfRule type="dataBar" priority="627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{E3E69CFD-52B0-46F5-9137-9F63FA79F18E}</x14:id>
        </ext>
      </extLst>
    </cfRule>
    <cfRule type="dataBar" priority="629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{5718B5FF-F63B-41C2-B642-F83952C8D48B}</x14:id>
        </ext>
      </extLst>
    </cfRule>
    <cfRule type="dataBar" priority="63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{98027D35-EFD1-41DF-B9AC-B2A38DAD81C1}</x14:id>
        </ext>
      </extLst>
    </cfRule>
    <cfRule type="dataBar" priority="634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{642BCDAB-7BF2-48AC-AA3B-FE474B0EFC11}</x14:id>
        </ext>
      </extLst>
    </cfRule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{3BAB961C-47FF-42A6-B180-26C4711C2E83}</x14:id>
        </ext>
      </extLst>
    </cfRule>
    <cfRule type="dataBar" priority="632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{25C85B31-E6CF-408B-8773-0CA16B33BA8D}</x14:id>
        </ext>
      </extLst>
    </cfRule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{41F4B835-A9AB-4755-81A8-C278C151529D}</x14:id>
        </ext>
      </extLst>
    </cfRule>
  </conditionalFormatting>
  <conditionalFormatting sqref="AU21">
    <cfRule type="dataBar" priority="737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{F7B844EC-6629-4D2A-B6F6-4A6E81010908}</x14:id>
        </ext>
      </extLst>
    </cfRule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{0589BE6F-793D-4568-8D1D-B2714B67404A}</x14:id>
        </ext>
      </extLst>
    </cfRule>
    <cfRule type="dataBar" priority="735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{A77FA23A-E79C-44F8-A7C9-9F41FD169F8D}</x14:id>
        </ext>
      </extLst>
    </cfRule>
    <cfRule type="dataBar" priority="734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{743D8CE5-DBE5-4F27-8C31-036CAD6358D6}</x14:id>
        </ext>
      </extLst>
    </cfRule>
    <cfRule type="dataBar" priority="738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{CCED0946-B967-42E7-8011-504B3AACBD57}</x14:id>
        </ext>
      </extLst>
    </cfRule>
    <cfRule type="dataBar" priority="76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{E3239F79-A8B7-49D8-A78A-4C661E93D345}</x14:id>
        </ext>
      </extLst>
    </cfRule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{3CD85793-2C82-4038-979F-239F25B2F3ED}</x14:id>
        </ext>
      </extLst>
    </cfRule>
    <cfRule type="dataBar" priority="743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{F67BEFCF-EC11-4FF7-848E-545DB299A3CC}</x14:id>
        </ext>
      </extLst>
    </cfRule>
    <cfRule type="dataBar" priority="742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{A44DCDB4-A117-4063-B116-AB27B7DCB904}</x14:id>
        </ext>
      </extLst>
    </cfRule>
    <cfRule type="dataBar" priority="73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{7536D2DB-C3CB-4200-8EFD-A07763806F27}</x14:id>
        </ext>
      </extLst>
    </cfRule>
    <cfRule type="dataBar" priority="741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{81785BE5-35DF-4C08-9A70-64386D011B81}</x14:id>
        </ext>
      </extLst>
    </cfRule>
    <cfRule type="dataBar" priority="761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{64DD4117-3F66-46F9-A4E4-41F1BF409589}</x14:id>
        </ext>
      </extLst>
    </cfRule>
    <cfRule type="dataBar" priority="7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{5547C6AC-8F6C-43E9-AA86-7AA82BFCB27A}</x14:id>
        </ext>
      </extLst>
    </cfRule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{E368BA6A-A3E6-48E8-AD27-0FEF3B0BABB5}</x14:id>
        </ext>
      </extLst>
    </cfRule>
    <cfRule type="dataBar" priority="739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{BAB9D1E3-783F-466B-8ACE-5CB92F915D04}</x14:id>
        </ext>
      </extLst>
    </cfRule>
    <cfRule type="dataBar" priority="75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{00A6D47B-FD56-4502-BBD2-E3E87E382CD8}</x14:id>
        </ext>
      </extLst>
    </cfRule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{70A4FDFC-1421-4379-8561-82E156A2A66E}</x14:id>
        </ext>
      </extLst>
    </cfRule>
    <cfRule type="dataBar" priority="759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{5E4F74C8-0B7D-4667-AA0B-0229128B2644}</x14:id>
        </ext>
      </extLst>
    </cfRule>
    <cfRule type="dataBar" priority="758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{05D99458-4FE4-48B0-9719-E7B9A2CFA5F2}</x14:id>
        </ext>
      </extLst>
    </cfRule>
    <cfRule type="dataBar" priority="757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{CE819FB2-C79E-4746-92BA-2A1BFA709CDA}</x14:id>
        </ext>
      </extLst>
    </cfRule>
    <cfRule type="dataBar" priority="756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{8B211FF5-945C-4E29-9DA7-6F284E9F7E23}</x14:id>
        </ext>
      </extLst>
    </cfRule>
    <cfRule type="dataBar" priority="7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{3B6B9DB5-8F61-4E33-89D1-CA9C51C567EF}</x14:id>
        </ext>
      </extLst>
    </cfRule>
    <cfRule type="dataBar" priority="75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{71227214-A5B7-44ED-B10E-9BB01B1D97CD}</x14:id>
        </ext>
      </extLst>
    </cfRule>
    <cfRule type="dataBar" priority="7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{F1B44227-F646-4F6A-83DF-C941BC647AFF}</x14:id>
        </ext>
      </extLst>
    </cfRule>
    <cfRule type="dataBar" priority="7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{65D8D228-D132-4670-B52D-5407DDF9611C}</x14:id>
        </ext>
      </extLst>
    </cfRule>
    <cfRule type="dataBar" priority="750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{5F91AC20-A8BA-4328-A9DE-0DE846F87903}</x14:id>
        </ext>
      </extLst>
    </cfRule>
    <cfRule type="dataBar" priority="748">
      <dataBar>
        <cfvo type="min"/>
        <cfvo type="max"/>
        <color rgb="FF02B0F2"/>
      </dataBar>
      <extLst>
        <ext xmlns:x14="http://schemas.microsoft.com/office/spreadsheetml/2009/9/main" uri="{B025F937-C7B1-47D3-B67F-A62EFF666E3E}">
          <x14:id>{1B7820AC-FD7F-4A5E-9696-43C514C018A6}</x14:id>
        </ext>
      </extLst>
    </cfRule>
    <cfRule type="dataBar" priority="747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{5AB26081-9F3C-4B2B-87E9-6E9C3222E6C4}</x14:id>
        </ext>
      </extLst>
    </cfRule>
    <cfRule type="dataBar" priority="746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{51929842-D97B-46A6-8CE6-F8865C096970}</x14:id>
        </ext>
      </extLst>
    </cfRule>
    <cfRule type="dataBar" priority="745">
      <dataBar>
        <cfvo type="min"/>
        <cfvo type="max"/>
        <color rgb="FF53BCDC"/>
      </dataBar>
      <extLst>
        <ext xmlns:x14="http://schemas.microsoft.com/office/spreadsheetml/2009/9/main" uri="{B025F937-C7B1-47D3-B67F-A62EFF666E3E}">
          <x14:id>{D0DDCBA0-D056-44B5-A162-54ECDA54BC63}</x14:id>
        </ext>
      </extLst>
    </cfRule>
  </conditionalFormatting>
  <conditionalFormatting sqref="AU22">
    <cfRule type="dataBar" priority="624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{55C31740-6913-412E-9D41-B03EC33A776B}</x14:id>
        </ext>
      </extLst>
    </cfRule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{0325EA8B-C1F4-4F22-9732-7F6300402F83}</x14:id>
        </ext>
      </extLst>
    </cfRule>
    <cfRule type="dataBar" priority="626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{D9DFFBC7-1742-455B-A313-DE4520D1DD86}</x14:id>
        </ext>
      </extLst>
    </cfRule>
    <cfRule type="dataBar" priority="623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{73005775-FCCE-4439-B00B-3BD282586BE9}</x14:id>
        </ext>
      </extLst>
    </cfRule>
    <cfRule type="dataBar" priority="619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{A950D2FB-5FB6-48BF-B3F9-47CEA2A23FFA}</x14:id>
        </ext>
      </extLst>
    </cfRule>
    <cfRule type="dataBar" priority="620">
      <dataBar>
        <cfvo type="min"/>
        <cfvo type="max"/>
        <color rgb="FF00BBDA"/>
      </dataBar>
      <extLst>
        <ext xmlns:x14="http://schemas.microsoft.com/office/spreadsheetml/2009/9/main" uri="{B025F937-C7B1-47D3-B67F-A62EFF666E3E}">
          <x14:id>{C23AD436-7BA4-4CD8-ADAE-45C75563E1C4}</x14:id>
        </ext>
      </extLst>
    </cfRule>
    <cfRule type="dataBar" priority="62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{8903DDE0-3216-47B5-9B8D-5339DA49F71F}</x14:id>
        </ext>
      </extLst>
    </cfRule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{C61A291B-DC99-415D-9DF4-CF0F24DAAEBD}</x14:id>
        </ext>
      </extLst>
    </cfRule>
  </conditionalFormatting>
  <conditionalFormatting sqref="AV15 AT15">
    <cfRule type="dataBar" priority="2230">
      <dataBar>
        <cfvo type="min"/>
        <cfvo type="max"/>
        <color rgb="FF01BADB"/>
      </dataBar>
      <extLst>
        <ext xmlns:x14="http://schemas.microsoft.com/office/spreadsheetml/2009/9/main" uri="{B025F937-C7B1-47D3-B67F-A62EFF666E3E}">
          <x14:id>{B71D7111-5AE3-4201-A4DD-CB51EAFA4683}</x14:id>
        </ext>
      </extLst>
    </cfRule>
    <cfRule type="dataBar" priority="2231">
      <dataBar>
        <cfvo type="min"/>
        <cfvo type="max"/>
        <color rgb="FF02B0F1"/>
      </dataBar>
      <extLst>
        <ext xmlns:x14="http://schemas.microsoft.com/office/spreadsheetml/2009/9/main" uri="{B025F937-C7B1-47D3-B67F-A62EFF666E3E}">
          <x14:id>{A8E49B14-4769-46DE-B3F8-6D4490A296D5}</x14:id>
        </ext>
      </extLst>
    </cfRule>
    <cfRule type="dataBar" priority="2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{1960E739-50B0-4FF7-A0A9-E9640D11B021}</x14:id>
        </ext>
      </extLst>
    </cfRule>
    <cfRule type="dataBar" priority="2233">
      <dataBar>
        <cfvo type="min"/>
        <cfvo type="max"/>
        <color rgb="FF01BBDB"/>
      </dataBar>
      <extLst>
        <ext xmlns:x14="http://schemas.microsoft.com/office/spreadsheetml/2009/9/main" uri="{B025F937-C7B1-47D3-B67F-A62EFF666E3E}">
          <x14:id>{39F831E9-A160-4BA4-97CE-56F2ECD6EB5C}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57E07E-1D0D-42AB-B0F4-BB87774292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8E1DCA-E9B0-4DE8-9070-C6B52839A2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87357F-133A-402A-B3DE-7EEEC2C7B7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7DB3F1-503C-4A5A-87A8-FC81948C3A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B5:C7 C8:C20 B8:B22</xm:sqref>
        </x14:conditionalFormatting>
        <x14:conditionalFormatting xmlns:xm="http://schemas.microsoft.com/office/excel/2006/main">
          <x14:cfRule type="dataBar" id="{3D256205-C8FA-4B1D-BACC-21E8FD073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AC7DFA-BBC1-4A15-B26C-F901E592CF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AF3498-0DA0-4513-A98A-BB676EB576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21B674-503B-431D-9081-9875FEE1D5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C21:C22 B23:B24</xm:sqref>
        </x14:conditionalFormatting>
        <x14:conditionalFormatting xmlns:xm="http://schemas.microsoft.com/office/excel/2006/main">
          <x14:cfRule type="dataBar" id="{0DC9D211-226B-4B14-8D3D-8C36DBE817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946EA90E-0FC2-4691-8C19-626BFA3557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00886E-C97D-45EE-B99E-99F8333968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EBDEB8-6A41-49AE-B1DC-19E055527C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0943AF-C3B8-48D9-92DE-5F731C5A2B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C50C75-9DD6-4751-8BC1-2CE95875A9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60726F-C63E-4641-BAC0-5A2D1038FD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F17549-9C0D-425B-93B8-3C9A72E188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E9F1EB-264F-4178-85FD-217D54A9E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622835-5302-42D6-B4CA-B0C47742E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7F2B88-AB64-406F-AE42-4330C959C6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57A504-0E9B-42AC-9195-C9E80F5248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F88DEC-AC70-4F89-822E-CEB55E324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E24:G24 H7:H12 H14:H26 F23:G23</xm:sqref>
        </x14:conditionalFormatting>
        <x14:conditionalFormatting xmlns:xm="http://schemas.microsoft.com/office/excel/2006/main">
          <x14:cfRule type="dataBar" id="{A00FB474-3CF8-4FD6-82B3-3BF89CB5F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E24:G24 H7:H26 F23:G23</xm:sqref>
        </x14:conditionalFormatting>
        <x14:conditionalFormatting xmlns:xm="http://schemas.microsoft.com/office/excel/2006/main">
          <x14:cfRule type="dataBar" id="{FE2A2331-2E19-4C71-A155-1640556CFA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B26C66-861B-4074-80C7-9667645252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B73170-2F24-480A-ABB6-8DAA2A5DF4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D771CB-C54B-4FAE-80F2-E6BAE63744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6ACF41-F336-4F1F-959D-2F11D7A0AD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449AB2-573C-4BB9-8178-FB3E1B1C6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9204B1-082D-4C77-BCEE-59EBCD320D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5EA425-5E2F-4A5D-8EB7-9DA03AF22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C8E74A-7111-4A13-AA42-83DACDE8C1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B5B84B-6040-4DE0-B3D4-C84E1AB0AF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4926DE-337F-4D10-AF1D-D53B396003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1B4A4E-A752-4A7A-854B-9F7306299A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FFC953-F185-4776-87CE-15A6358DA5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BBB7CF-ECD4-43FE-A69B-6B27364FE1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470A8D-DAF9-42D3-B156-1719F6EA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3580BB-766B-45F0-984C-D94D2EA55C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833481-A3B2-4620-A4B0-BF5A5CCD34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6E781B-8AB5-46FF-B30E-DC20A77911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F5:F20</xm:sqref>
        </x14:conditionalFormatting>
        <x14:conditionalFormatting xmlns:xm="http://schemas.microsoft.com/office/excel/2006/main">
          <x14:cfRule type="dataBar" id="{0617067E-06A6-4B60-B670-9967D7D65F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5CE75D-F30B-4524-8E35-C31C0D16C4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F5:F21</xm:sqref>
        </x14:conditionalFormatting>
        <x14:conditionalFormatting xmlns:xm="http://schemas.microsoft.com/office/excel/2006/main">
          <x14:cfRule type="dataBar" id="{AD4E9719-3C12-402C-8E8D-5838D80F63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32260E-FF36-44F1-88DF-2AEFB0E439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A0295D-3BE7-4A15-ADFF-CAF1818831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39F765-170D-4C1A-A32B-D4894691A6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9623CB-2F4A-4C0B-90F1-8756878C56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F5:F22</xm:sqref>
        </x14:conditionalFormatting>
        <x14:conditionalFormatting xmlns:xm="http://schemas.microsoft.com/office/excel/2006/main">
          <x14:cfRule type="dataBar" id="{C83F522B-7219-4F0A-8424-AA3CEB4ADE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4DBA0F-1609-42EC-A57E-03FC8B0D44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AEC06C-8D3E-4083-9623-FEAE85FE03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0D52F3-8806-41E5-BE58-4C34DDEC3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5EF5EC-83D7-4B15-AA38-6E98F43526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0A4C2A-67E6-4092-BFE9-8D35DCBBBF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249FFB-7AA8-4E13-B473-6E5A2C831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5E619E-1F53-4876-983E-94F09876C4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FF2402-A50D-478F-967D-20420933C9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31926E-33C4-4B78-837A-61CE1E345C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42FD98-76B1-418E-B2CF-E95A1CF7EC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2245A1-ED9B-49FD-AD95-5239B0951B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179D7D-DA8A-4A32-A0BC-FED9421D4E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945137-380A-4912-A3D9-05F2F60466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2C4C44-04EB-4583-9014-50CD03880A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DBDA5A-22E0-4313-9267-612781973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52ECFD-86DB-4ED0-BE12-5445922B3C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59C31F20-ED48-46E6-9BCC-3F1CB2582B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789892-0EDA-4A24-A50B-13B0C4C92D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BF6997-24F4-46A0-A6E1-CBD25734CB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2DA9E1-1766-420F-88D0-3FD9DD787E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D28720-87CF-4750-84FC-7D3966AC19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BB748D-9440-4159-9531-F022E8CDE0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85A24C-9E30-41CE-9E55-97BA627C4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78C300-F45A-4567-8823-47CD0412C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3F55FA-D4B1-4525-9738-73170FA101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CEBBEC-AF87-4E00-9392-307DBAA0B4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B54B93-80A6-44C7-95F6-D6E328603A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A782C8-0298-4932-94F5-5740206430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BE12AA-0294-492E-A3D2-2E17930C9D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B6AD6D-9B6F-42B7-9ED7-03D7312941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40913B-D1DD-4F21-8128-5CDC410F4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2E4480-3335-481A-8461-9C116B3595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43ED86-B939-47CA-8975-9775719529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C14533-A513-40AB-ABD7-C1230B8D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0FE576-0675-47DB-BB95-AAC3D5B6BA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8A9DD67A-0B82-4D7A-B72C-55D334D5AA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CD82F8-EC53-47D8-B5D4-F56D4D79BA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C79161-3BBA-4713-B28F-E9528B42F0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CFE87F-C904-448D-9C57-016722594E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71CD58-7115-49E5-BBF3-D59E00E277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AB034F-CA89-413C-A0E6-CE1A35B777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7C16EB-C1F3-4E6A-B7A1-9FF969178F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9D2AEE-245A-47F2-83E3-173C3F96DE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</xm:sqref>
        </x14:conditionalFormatting>
        <x14:conditionalFormatting xmlns:xm="http://schemas.microsoft.com/office/excel/2006/main">
          <x14:cfRule type="dataBar" id="{C977C15D-3EAE-49EC-8025-4AE20BA84B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G5:G14</xm:sqref>
        </x14:conditionalFormatting>
        <x14:conditionalFormatting xmlns:xm="http://schemas.microsoft.com/office/excel/2006/main">
          <x14:cfRule type="dataBar" id="{7E0B829C-1740-4350-9BC2-BBE290374A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B6E917-C89B-4FD3-97DF-9DE98D4F6F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CC9984-40E3-420F-B62A-B4E90E87C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D3C90C-4B33-4371-B965-F704BE7009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9BD152-E719-44A5-978C-2C96E531B8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9F4F06-517B-431F-8447-BF959F9D87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2D828F-0702-4346-8F3D-832F3A24A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43E651-964D-4FFD-97CE-9E7D497F0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</xm:sqref>
        </x14:conditionalFormatting>
        <x14:conditionalFormatting xmlns:xm="http://schemas.microsoft.com/office/excel/2006/main">
          <x14:cfRule type="dataBar" id="{D18C617D-C231-4546-B148-114122169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1A28E-7C9A-4C97-A83E-552DF06687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94FB5A-7141-41D7-8459-21D9C6B0E0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975864-B98E-4ACB-9DB7-8CD16362D1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4BDC83-1625-4D75-A9B9-76BA85FCB9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B1DB8C-C34D-40D4-B4A5-41B71D87A2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AE4741-60A6-48A6-AF50-423FA8369A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B364F4-C148-43F4-BFE6-C1FC413DE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</xm:sqref>
        </x14:conditionalFormatting>
        <x14:conditionalFormatting xmlns:xm="http://schemas.microsoft.com/office/excel/2006/main">
          <x14:cfRule type="dataBar" id="{5E89B3B7-26F3-4B3A-B016-769D0EE55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3B16FA-B8E3-4207-8102-B59D77E01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8D32B6-3D4A-475F-AD84-7E74D29C73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149B7D-6B79-45E8-AA4C-EE7526616A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AD0F2E-64C1-416D-BA7A-F57315D7DF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23CC4F-DF38-43F7-B72B-8B10B1CB64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5D8757-42F5-4780-B499-950735034B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BE18FB-7B5E-42A5-994A-C04AD8FB93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G9</xm:sqref>
        </x14:conditionalFormatting>
        <x14:conditionalFormatting xmlns:xm="http://schemas.microsoft.com/office/excel/2006/main">
          <x14:cfRule type="dataBar" id="{8D76AD1B-2E51-4777-8855-BDE2928CF2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521064-9F51-450A-AFAC-3EEDFBDA5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852CAC-D3EB-4A6E-B0FC-161967F5AB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52896D-E963-4A3E-BB53-5A649D1D88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8737BF-D832-4D65-8C04-AFF1D3CDA8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BCFD07-34BB-4481-93FA-083B412B87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B7980F-3E4F-427A-9798-4052503D7D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AA0438-170C-40B3-A483-D73978AEF0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G10</xm:sqref>
        </x14:conditionalFormatting>
        <x14:conditionalFormatting xmlns:xm="http://schemas.microsoft.com/office/excel/2006/main">
          <x14:cfRule type="dataBar" id="{A045535E-17AD-43DF-AFBE-FCF19CC252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8242E6-A003-42AE-B6AC-9BA8EF08DE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AC9660-6913-4124-B7E7-965307D4B5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E9AE39-94DA-4803-A4D2-03A64DDBC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8D621-5677-4904-A0CD-35E5BD50C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CCF0F1-8CD6-4118-A4C5-EED3FC2956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063824-3AEA-417B-B6A6-6DC7C925F1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03359B-AB1D-404B-AD26-19EDAB0695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23F9EE-ED47-4540-ABB1-3C0DEF0BC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AD79F9-B9BB-443A-94EB-0A876C9173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B6ED27-0936-4DE4-8EF9-211F22E560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8525FC-6294-44E1-B87E-661CFFCCA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42C47D-D854-4292-9E6E-561C2DD1DB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D8EB3A-D8B3-4E19-AA36-135FF5D854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0A9A74-4F38-4D94-B18F-79C79D6240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8738DD-CEE1-427E-BA1C-2C2E3264B5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5221BE-B0B1-4923-A548-4B4950243C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A6B780-6B08-490F-AF29-3EAE226586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EFD274-5A64-4565-BEA8-17F5CC363C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</xm:sqref>
        </x14:conditionalFormatting>
        <x14:conditionalFormatting xmlns:xm="http://schemas.microsoft.com/office/excel/2006/main">
          <x14:cfRule type="dataBar" id="{EFF386DD-2A8B-4B71-8C6F-2B39E43E83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E328A0-4EE4-4A21-AAF5-83B23CD887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7D37F8-7843-4652-A123-61918CE0F0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0FF7E1-EB00-4618-B6A6-C3865B1B26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55B573-D690-4E81-A1CD-0F8FAC740F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A6B7B0-D241-4414-9CFF-2CE2E69C7B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2AA330-B4DF-4302-81E0-86D80D5B54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1F00B3-91CD-4118-94B8-67C28AC978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2A3E91-DA97-4BFD-9AE7-63CA38B6E4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54C25C-1006-4468-B0E6-E7E7DA1A2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7B85E4-BD4F-4059-A4F9-6AEA1FBBCF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6E90CE-0C0A-4BFD-945C-FB39ED11C0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BC6923-7C23-4046-A56C-8D3C23D75F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E4EB54-CF08-4437-B3C9-C372202092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B8A192-56BC-404B-ABB1-E5F6EFDCB4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6C16F0-6822-47C7-AB39-917A5202B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B8F461-6C83-4AA7-8E16-1B571327B7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E8F5D9-DE81-4AE9-B44D-319D8096BA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6414CA-A3B1-4131-AFD5-0500A131B6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8931C0-1367-4C63-9C8C-649C2E76E4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F173E6-91EF-4D7C-86CD-E94A2A579A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CD5199-E3E0-4CC5-9DB3-707443FC8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6D27E5-8AE5-48AD-8C1C-F610B5A403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B450B8-F4A9-4AD2-A9A2-310E95C626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F7115E-16AC-4B1A-81DD-CE88BDC28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01751D-70AE-4697-AB84-BD0811FB35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6B8EA9-9BB5-4B44-A5A0-0F654C9C7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9001C1-4F7D-42E5-89AD-6871D1B55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5CB0A7-A814-4115-A7EB-183C15778E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48DFC4-AF68-4365-8BD4-7F90E23D50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34CBBD-50BF-4198-A407-002973B5CA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2BCE0E-8B8A-4BD7-8BA6-7AC7A68DC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C6CE8A-AF8C-4955-966D-67A71A771C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AEC481-3490-4710-8A0A-2038BEC8C8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C1D890-5C28-45CE-AD2F-8BEBE4E0AE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DEED4C-0E37-4B30-B1CA-047D04F755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4F9349-15D5-4012-A671-D99CEA1E98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087C29-A926-4009-9E6B-0C3B7F1850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124AEE-FF17-4566-8E86-9C5B7C651B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4B75C4-FF77-4CA2-9037-DB67859E5D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544174-5FD9-433F-948D-369535578D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5F0D1B-7929-479E-AB6C-E89E6BFC1C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2349A7-C5AA-475F-B575-91B8CFD64B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</xm:sqref>
        </x14:conditionalFormatting>
        <x14:conditionalFormatting xmlns:xm="http://schemas.microsoft.com/office/excel/2006/main">
          <x14:cfRule type="dataBar" id="{D77DBD60-FDCE-4F4A-A3EE-F888DEEB4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A3A692-F5F4-4DA7-A6CE-0914318C85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A0B77E-B0AE-4762-A6D3-62298F40FC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7FB8C0-EC81-491A-B26D-E0F361CFEB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C64E97-C037-4EB7-BDB9-2B694A0083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4A7D6B-C904-44DC-A529-226B22A602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622DFE-C3B2-4176-91C7-F98CCE3AD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7DD5D4-0200-4EE1-B74B-D130C4C5E7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F9FC6F-435F-4BD7-8DE2-7C67F0D69B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6981B2-9558-4332-B74A-B16A67A81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</xm:sqref>
        </x14:conditionalFormatting>
        <x14:conditionalFormatting xmlns:xm="http://schemas.microsoft.com/office/excel/2006/main">
          <x14:cfRule type="dataBar" id="{CB24C54F-F572-413C-91FF-C66DA2E294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097C3C-B411-4737-9A54-849CA4737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B2C60E-D544-4283-9283-19B5B3012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2E2685-2AB0-4B9E-A976-093D8B2632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4AAEBC-16A9-4090-BA26-164BE5D07F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0FF8EE-2D83-47EB-A53A-29A2CBE478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DEFB84-0E12-4681-93B0-C643165A3A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B0F156-EF4C-4765-9201-24E6FAC14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873116-CA5D-485C-A595-D6C29430E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2D8D76-C566-41F2-8E80-CB275F0B99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5A8B1B-839B-4A92-B21D-680911729D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15FECA-54C9-4BEE-BA8C-72215D83B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G13:G14 G5:G11</xm:sqref>
        </x14:conditionalFormatting>
        <x14:conditionalFormatting xmlns:xm="http://schemas.microsoft.com/office/excel/2006/main">
          <x14:cfRule type="dataBar" id="{7BF89A03-3FAF-4665-868F-0876C616CD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B6BB21-2281-4CD5-835B-F7D9E65A5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629B3E-E662-474A-9453-3D32BC2A01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4E5537-B9D7-4E4F-8DA1-A4CE905B52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A244A4-2CD0-418D-8CD2-A8E139FB06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C58462-705B-4918-907B-2387BBC0F3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8F00D3-C2F5-4028-A713-7C5BAFF6B8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E8DFF9-7A7C-41EA-85A4-8B62A697E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</xm:sqref>
        </x14:conditionalFormatting>
        <x14:conditionalFormatting xmlns:xm="http://schemas.microsoft.com/office/excel/2006/main">
          <x14:cfRule type="dataBar" id="{45B79B35-9252-4431-8DC4-74112A11C5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D34A33-51AA-42EE-8C12-62B9A631B4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50DD1E-239B-4CA5-8BA3-4C259DE105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FE23A9-84E4-471E-BA4E-51F34B5D1B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F247FD-B193-479C-843B-45EDD70499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B20861-611E-4492-BDA9-16BA5FD338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FA2B50-569A-490C-90D4-80AB11B1D7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576C92-FC19-4546-A913-F179F03E62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457FF2-80EB-46D2-BF09-D95DAD4F9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504FF9-AC40-4D9E-B789-458C3A6A91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39862D-CBE9-4C22-970A-33085B4260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B3B226-2692-4051-9AB7-F3E089B78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6AA3A1-296E-4A55-81BF-70584224E9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1EB8EEB5-BE42-4A26-B0EB-0F4B298329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C67EB0-EA9A-4832-8B18-4C2B308CD1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66A262-8B44-4125-8159-38992C6EFD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92B372-9E6F-455D-8E5C-7993885E79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7E2C45-52AD-473F-9777-9E024C8424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C02FEC-AB7A-4FCD-B42D-3D760B461A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B0F024-AFF3-4858-9305-BEE4375AD8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1C5C0B-11DD-490E-9EA6-570352C4ED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AABC31-264C-4844-848E-513AF7F39E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DD7DF7-40C1-4C68-A7E5-1097F4F0AE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29C4F3-32F5-42C2-B7B3-B86D88D856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EB3818-56F0-41CB-A68F-B8C0DD490E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46D526-07A1-419F-B497-881EC7221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0135AC-B133-488A-B9B4-D2FF67141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1CF598A-0C7A-4C37-AF75-3F2C96BC9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CB5775-78D9-415C-AA43-2C54E0707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422B7B-01D2-450E-9161-B294DABB72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</xm:sqref>
        </x14:conditionalFormatting>
        <x14:conditionalFormatting xmlns:xm="http://schemas.microsoft.com/office/excel/2006/main">
          <x14:cfRule type="dataBar" id="{2C14D1AC-57AB-4EBE-BDFD-7925D48BD6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6ABC5D-D449-4539-8E3A-A30982030B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B280CD-A5D5-4CE4-BC2E-5D781C5204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4DA8E6-09EC-4139-B6F0-4EA7B64074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78A3BA-D735-47E9-BDBC-5F11CB35C2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959A81-2141-47BA-9381-CEB679AB6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D14795-AE74-4609-BF12-41FC023BDE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8B9B00-C2BB-448B-B9EB-043B6F6203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0834C8-D618-4E41-97D7-657EE2107C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40A269-2C85-4CDC-B3F7-20F2EB44B5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9BC24B-2431-4279-AC1E-34474957F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653DF8-21AE-4E26-8FD6-B61930114B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E4E07A-F244-43C2-8EB9-D7912E7CE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G16:G17</xm:sqref>
        </x14:conditionalFormatting>
        <x14:conditionalFormatting xmlns:xm="http://schemas.microsoft.com/office/excel/2006/main">
          <x14:cfRule type="dataBar" id="{A2107C69-4DA1-4DDC-9337-F5FE33437B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11506F-9526-462A-8053-5D4E5BD649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FECC98-9AA9-4C71-9F59-8AE07F2C0F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4BF16C-2620-413B-B50E-39CFD38A13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780FB3-5186-446C-8447-8B3E57DA00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F6EACC-FDC7-4F1B-8DE4-4872BC4940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978DE4-2160-425A-95D2-CE4715DAA7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5E4FEC-E593-44CE-956E-04164EA7F3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665066-021E-4694-84D6-37221D843D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AFEF45-5238-48D1-A159-18AE4E086E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6125F2-4E37-4D99-A581-CA74330905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693184-07F1-42E4-B7D9-705E0C3585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441BAA-22AB-4A73-9FF7-405A059F0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G18</xm:sqref>
        </x14:conditionalFormatting>
        <x14:conditionalFormatting xmlns:xm="http://schemas.microsoft.com/office/excel/2006/main">
          <x14:cfRule type="dataBar" id="{ED6D6A09-C11C-4519-AD9F-51BFA69668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1E877C-78A1-40FE-9405-4A8BD6A886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836243-5FE2-44FE-A6BF-8FDD6FFD8C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98E7EB-B34E-4A8F-AD90-741D7C6DBD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3F129A-9F41-4890-97AC-88BAEA8794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D480B4-626E-44D0-BDCF-F584A2A5F2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BA7EC2-DB69-4BFB-B0F7-51CB277E1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09FBC1-CD47-442B-9883-FE47302818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AED2A2-97CD-4AB9-BC54-81A5756E42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6C603A-7E3A-4D20-A5F6-EC2285A05D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B8614D-C47F-4AAC-A80F-04B9FBBB84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194BD1-1334-4F59-91C4-3302C0F6FE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6DACBB-D31A-4683-A137-D6C255034C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999A6E-64AA-4D34-958A-9A953C5B67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11032E-AB98-4CFD-ACE3-F11280F523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1E10EB-4CEE-4A31-B77E-15DF698E36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E1F09F-DA92-4422-8512-2B65AB5F7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G19:G20</xm:sqref>
        </x14:conditionalFormatting>
        <x14:conditionalFormatting xmlns:xm="http://schemas.microsoft.com/office/excel/2006/main">
          <x14:cfRule type="dataBar" id="{8BA15A12-9ADB-4BAB-8758-31EC5D04D4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92EBF2-D2DF-422D-83BA-5512D5E431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A994EF-1F76-4858-B60B-7B52FACDDF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AC380E-6B88-4029-8D44-6BF2083A50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6749AE-8A13-44BA-89E4-CBF4106E24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DF0730-E6B9-4FDB-A27E-C6E5D8490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808BAC-7110-45BF-A6C5-75E1F49101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65290C-27A5-4541-AC79-608D47CDC5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0991C51B-81CB-4BE4-B2EF-045B0F6002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9287E5-FCDA-4E73-B8B9-438E006EB8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3310C1-CAB6-4D8B-8ED6-33627E914A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450D95-E040-42F9-95B0-EAA24A6271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AACFC6-24FB-4D3E-B116-05BB009374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6C9260-9387-44EC-94D8-5D946EBD9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ACBA21-0200-4254-98A4-25DE18A1E5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250F4B-568D-405A-ADD4-22E308035A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A0940B-3A63-45C3-BC0E-2F86DD644C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7E8EB9-91E3-48D0-AC20-CA4557275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495055-172B-43F1-BEEE-6F2FDC614F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H12</xm:sqref>
        </x14:conditionalFormatting>
        <x14:conditionalFormatting xmlns:xm="http://schemas.microsoft.com/office/excel/2006/main">
          <x14:cfRule type="dataBar" id="{301B79D9-9235-44AC-92B4-156A554AB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E6617A-2578-4D03-AAB6-50EEE8AF44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5FA6A3-73C4-435F-918B-E7DDACBE58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B896FA-250D-4152-A686-98A6A5D080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F14748-E1C7-4235-A239-ACCE2F4D6F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5C3D19-263E-47B9-8DEB-699CD5ED4D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3B4BE3-341F-4FBE-B190-8AB007F077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DEB9F2-C79D-4091-802D-109B43833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60888B-7F19-4AB7-BC02-F01A249F2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544D79-9CCE-4A64-A632-A42F29121D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82096A-E91D-4626-8AE6-28904E2B85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56C361-75DD-4CCC-8B45-BA1E8A1DEF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3F2776-18DC-423B-AC20-6400C89DD5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98CBE6-A001-4BC0-904A-F58CC34652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CC2B6C-0123-405C-9E35-AB0FCBB83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E1154F-8059-45B3-B3EA-8C2A9EA9B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11DBEA-529F-48EF-9460-8E9A2AFD4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3D7206-2305-45FD-828C-513FEA280D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2C7688-9106-40B4-9593-5B8BBD38B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C1CCA2-1AE1-448E-8652-D053117B93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7FFB29-EF4C-4B9B-AF18-0D266E2CA8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044AD9-64C8-46DE-85BE-4D41FEA47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B9984A-DA36-4744-8782-DCD7F6181C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H13</xm:sqref>
        </x14:conditionalFormatting>
        <x14:conditionalFormatting xmlns:xm="http://schemas.microsoft.com/office/excel/2006/main">
          <x14:cfRule type="dataBar" id="{9731F463-2B41-464E-872C-454ADD9C93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820506-D242-479E-9B65-3B6E1FC83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266E50-54B0-4B98-8DD9-E457A7263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7861E0-CB4A-4D73-90CD-B332C84E74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E96859-AE64-4440-AC84-1B944E3633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5B3F54-28BB-4D6C-BA58-8858518991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B26027-85FA-4170-9CAF-58B680A3AE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B2A7C1-7C83-4801-A023-3B240E0B45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5D9DBF-4021-4CC6-AB91-666D396B8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H17</xm:sqref>
        </x14:conditionalFormatting>
        <x14:conditionalFormatting xmlns:xm="http://schemas.microsoft.com/office/excel/2006/main">
          <x14:cfRule type="dataBar" id="{70679B32-39B8-41F0-9E29-78F1BF159C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09BCF570-4224-4C21-A991-EAC5EF7A3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J6:J9 J11:J12 J16:J25</xm:sqref>
        </x14:conditionalFormatting>
        <x14:conditionalFormatting xmlns:xm="http://schemas.microsoft.com/office/excel/2006/main">
          <x14:cfRule type="dataBar" id="{0B2ADB88-E54F-4820-82DF-11DD9899EF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8A8FA79D-99CA-457D-96E4-7CB2C05EE2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J13</xm:sqref>
        </x14:conditionalFormatting>
        <x14:conditionalFormatting xmlns:xm="http://schemas.microsoft.com/office/excel/2006/main">
          <x14:cfRule type="dataBar" id="{94065F76-CF84-4A52-8448-430BE75397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J14</xm:sqref>
        </x14:conditionalFormatting>
        <x14:conditionalFormatting xmlns:xm="http://schemas.microsoft.com/office/excel/2006/main">
          <x14:cfRule type="dataBar" id="{DF3E57C3-3C28-40B0-AD18-B628A7343A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J15</xm:sqref>
        </x14:conditionalFormatting>
        <x14:conditionalFormatting xmlns:xm="http://schemas.microsoft.com/office/excel/2006/main">
          <x14:cfRule type="dataBar" id="{BC4AB110-8FD2-43DD-A637-73AD7D3E9B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J27</xm:sqref>
        </x14:conditionalFormatting>
        <x14:conditionalFormatting xmlns:xm="http://schemas.microsoft.com/office/excel/2006/main">
          <x14:cfRule type="dataBar" id="{0151EBF6-EFA8-4A78-9760-175D95E0C7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F3C2B5-3DB9-49AB-8CF7-63FFDAF8C8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K5:K29</xm:sqref>
        </x14:conditionalFormatting>
        <x14:conditionalFormatting xmlns:xm="http://schemas.microsoft.com/office/excel/2006/main">
          <x14:cfRule type="dataBar" id="{71D1E8FE-2F86-4C05-8AC3-EBFC9064D2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407519-B2E4-48FD-95CB-AEC8B61427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974237-2483-4EB2-9ED1-011717659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8F28B0-16CC-4FE9-8644-AE2C9DEEC4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6D0F77-AD8B-473F-8564-66EF4C3A46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7988D4-983D-43D9-A46F-50E5F6845F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509C77-827F-465E-B609-0777686E10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1B87EE-8D71-452D-9221-E19F8AABF2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DFFAAC-7E4F-47F7-B2EA-73478CBC81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EAB7FF-AE45-4A4C-BC71-F6195C125D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ED8248-3317-48C2-AD5E-3F7DA6FCC8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699632-A187-4873-865A-4882BABC8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96F3C-6E2F-4222-9F99-372D443A7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3D34B2-7706-46C3-93A0-70D0C43876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F16656-CC70-4AD3-9021-218B4A001B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F1E3EB-BA67-4216-879B-D3D4D531A2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C503D4-DA67-4F18-A010-FC3CB7C19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K28:K29</xm:sqref>
        </x14:conditionalFormatting>
        <x14:conditionalFormatting xmlns:xm="http://schemas.microsoft.com/office/excel/2006/main">
          <x14:cfRule type="dataBar" id="{66DC2589-D715-4DCB-A3F4-6739285EF5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801BD0-A0A1-46AC-AB41-E5365E79CF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C43711-F8DC-44E7-98D9-4EA12D62B9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2AE3E2-A485-465C-9442-9FA22F818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CE8A2B-1B82-4A4F-A01B-D222F9F432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DBBC4F-CA73-4354-8AFF-89A508CAAB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8490C5-CBF8-4F8E-808A-BD6EDD2193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57DFDC-9EDB-4522-BBFD-E94461C4B4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5F923C-D8CF-4E64-9D82-A0F938F6C9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BFF41E-ABC0-40BF-B498-EF01367A54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23E431-B8E6-45B5-88D8-6AF071C33B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4368CC-4507-44DB-ABD3-8843DA4E87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64379D-0A4F-4FC6-AF7A-9B0BBF334C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805EF26-2B3A-4577-A050-6315FE166B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5E8916-1CCC-4F5D-8CA4-97BCE54DC9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8DCF6E-B21C-428C-8D76-66E00A610C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C37C8A-4867-4C11-ACE4-822B68B0CB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4E3B52-6A89-48D1-82E0-ADDD2CD29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4B29CF-35EF-42A6-A99A-380229A0C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C459D2-F923-401A-B3EC-04D7ED1EA7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4658EB-B994-4D1F-88FE-CDEA56B99D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013C05-517D-4A63-98B5-1B3594553B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7EFA5F-D9DD-4A32-9FE0-79EB28459B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0802F2-D4D1-4E69-9A68-570E3E2860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51921-07AF-4256-A1D3-9198F22C91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11CE78-CA2F-4EC8-B220-92387B86BF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2DF82E-C9F5-49F4-A5F3-31903B54D9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0ADAAE-FB1E-426D-AAD5-464290B05C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C20FDE-D1EA-4FD5-8420-2318B2EC1C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8D6AD1-4996-419A-BF5D-EEA574A38A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C9CE7D-CAB5-4816-968D-49595D8CE9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3A187-4243-4D3D-83B5-8D6FC3024A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48B06B-44CB-4608-954D-9A66119D09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9F0E1B-EBB7-4966-BBEF-D82407437E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A1C708-2569-47E7-A940-CBB95588A7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85EF5E-C575-4C79-A740-4F4206A745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5EE151-1B15-440F-B7E3-D1B6413260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C0919A-B044-4ED7-836A-6A314C3BB9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3BB88A-B028-40DE-97F2-A309E7ABF9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CACD04-F1E6-4375-858D-12FDE5A18B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4BF89C-9A05-4D93-90CD-3692A74139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590DA1-07CA-4E62-BEF6-3AA3D370ED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E44391-7D4D-4113-84C1-2901D86268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8AD95E6-CF72-4FC3-950B-714528F598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ECCA8F-7471-476E-8A55-3B6456A315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9E83B4-513A-4DD8-B70C-2912DA215D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7808E4-A0C3-4519-B8B3-15E8FF735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50AC46-15FF-4541-A901-2B6175B07F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C40162-4A74-4529-9F52-F04AFB6988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203B4C-5231-45BB-B5F7-E39761EFA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FD9753-9994-4FC9-A52C-448D86CAF2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1F181D-6925-479E-82B6-B1323CCFEA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FDF35E-A2D3-4521-82B1-82811C1FE3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697791-C3E2-405D-9483-9640A1AD34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D7F936-6C01-48FD-B59D-D86E45F88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A255DB-9C4A-42AC-9457-0816540BFA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69C9F7-D90B-4F7A-9B89-FE5481576B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D1A98F-5600-4512-93A1-756C02BCA7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ECB969-E5AC-4077-8B34-DBA3B33360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8804F1-E929-457D-88A0-9FED697DF3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234870-650C-49A8-9A3F-80DEB2E1D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B31615-4250-4BAF-96C6-9FFB4EE20D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926AAD-4124-4CE3-941A-21F00583AA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5C7DEA-8993-44B4-8E38-4B453377A9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167A1B-5B48-4AF8-8ECA-9C7B3C4471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901F57-775C-4AE8-8A83-19A90A08B5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1C96C1-9A8B-4082-AD79-0EB7229129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07C8BE-B3C7-4EBF-907A-02FCD25439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451263-FA98-46D6-A503-D3F6413C19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DB8EB0-35B1-411F-8C98-113F99C5C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891B6F-E0AB-4D49-B572-44E06DACEC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69C849-AA2A-41E0-A760-C53E89ACD4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ED7997-73E6-4A70-A898-353ABA83E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3E8A9C-4EB5-47EF-9BE3-E60D877A8A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9889CA-C547-4658-BC5E-A1231ACB2A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330C3F-6024-4F46-889A-7DBB25F80A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84174B-F510-436F-A818-5E6ED0EE51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534C95-3DAC-46C3-879B-EBCF90805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C7FA27-743F-4E70-8CD5-383830A4E2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C0D71C-5B11-4E8B-8BA1-43FDDBB8B0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EC2B92-4058-4EA3-8536-7ECC466125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228264-D55C-4689-89EB-CDBFE96CC8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3B99A5-9513-496C-AC0F-D492ED95C0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E16CCA-40C4-4DD2-8C40-393729AC3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2A9186-7AEE-4F8D-A990-242492D51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D17B45-5325-424B-AC22-3CD294D6D3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8569008-8DF0-4150-8F85-443609CA76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4CDADF-11D1-4933-AFC8-C3C82F464B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8011F8-9155-4341-B98B-CAB42FD6F0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98C5A6-E5E2-4CC9-BE8F-CE91DABA33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F6F5F2-6433-4FB1-99D8-CA41F950E2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EBDB6C-1BA1-41AE-82BC-A30909FE2E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531C1D-805C-49F6-96D0-B72921E506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B98FF3-ECAF-4964-B5E3-2936210467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CE351E-7CF1-4D03-9B27-E9FD53A5DD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A0258B-EFE3-41DB-9A7B-B30D6B013E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3B3F90-0D2D-4014-8154-66A7EADCA7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236383-677B-4A91-B63F-A68F803F88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5F8597-C859-4DCF-88CB-087525D1D3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E0B481-1911-44D1-8194-3173B9FE9B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F785DA-E7F8-4AF0-A997-E6799A363E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4D424A-DE35-4C10-9537-6B9A8F1896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523D24-65FC-4EDA-8F39-E68911B179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87B76E-9BC9-4678-8BD5-856D50547C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5E4306-DDFA-4922-8185-7A33FC8296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6A1C15-A9A1-4271-8C97-E263661C66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E01450-5796-4E81-A866-8C0EEF869E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F3C211-EE7D-4295-A2A8-611B9A6C28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27FE05-4770-4D12-A013-A21D043531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222CC4-1C64-4D04-88B4-42F06323A6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70C737-1899-4DD3-80CF-1E51D842A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A78A45-E225-4B56-B6E8-D79502DC70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A2A94F-D1AD-40DE-B29E-5F142735F6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939252-8A4E-4A39-98D4-5BAC6140F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5339A5-70D3-4171-B1D5-40E8A051DC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0BFB30-3B58-4A43-B44D-D5C8FAC138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3F3DA01B-ED9B-4FDB-B67E-628AEE64DF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70AF2B-A48F-412B-9B96-2DF6F1CA56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5C3FDF-8401-468F-B04C-9227EA5DED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6875B3-4F14-462D-81C3-18C7A265CC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E32B61-6A74-40CA-A001-CED91D0BC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76298D-6596-4EF8-BA00-3D8FEFF758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1147A9-28AC-4D82-B277-0077E266F2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479CA1-170E-4BBE-B3FE-815AAB1736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C96BD8-50D6-4109-B8E0-D02CAC44C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AB787D-7558-47BB-9C1F-3F47560138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9CF96F-0934-4AEE-9876-D675BFC196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0C650E-5F36-4300-B1C3-5806795F79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849B29-AC44-480B-A341-8C6D0ED139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49905AA-ECCC-4E84-9DEE-A838055217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CDFF4E-CD5C-45CD-B711-C20BA73940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7B4395-B071-4D4D-B669-CD39FADDC2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8434AB-FAB5-4766-AA20-BEE22C897A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0D3588-29BB-4D1D-A086-8535078344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28B29B-4242-4253-9380-DE505E27FB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0D1DBF-3FDD-4470-9F6D-78FABA3D02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62BF6B-EC1B-4811-8B3A-606B62DE6D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29C748-219D-4F5F-AE87-FEF42E8A98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3ED330-35C1-4495-962A-D1960B6E2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5C43E9-F844-43DA-8886-901DE2FE2D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DC7F9D-F0D8-4CEE-BF18-1601B832AC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F8AAD1-EB10-4EE2-A04B-6B65BBC9D0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9587CA-5DC5-470E-9464-52EB67140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4AFDA6-CC92-42DF-AF96-48A4E3E796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C134E8-163A-4BED-AECB-706C361E37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2D0B6D-92D9-4F4D-9D38-D54DB95A5C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37818D-F193-4610-9EE0-B977ED8D9B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100F7C-D48F-4DE3-8031-7A6CB8DDB8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39DA6-9164-4FEA-A37B-F1F3D75BAF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FE8FE0-5868-4976-99BB-BFE06CAA30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F30943-57AD-4BC8-9C4C-96FD500E6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8C0EF1-65EC-4B53-8C7F-3BCC09E2DD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FD5138-786D-4066-9F5F-7658046D66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8E6133-374A-464B-BA0A-92C65EB8E9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9E0D6F-9E2A-44E8-B9D0-132C1BC710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468C25-2CA4-4483-9964-2EBA98DE5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6996BD-9C4C-455B-82F9-DA5A5ECB29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381CCD-02EA-4E1C-A40B-161D4B0194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78DC88-E8A6-411A-904C-A02B84300F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C8791-A45D-4896-98A6-35260E44B2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690433-D17B-4AE8-AEF6-C97257A632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A5005C-E84A-41B7-8346-6873BDE07F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65297C-1EE9-4023-B372-BC8BA7381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9C4800-2B38-4707-91DF-8DD3730F83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6D8DD1-62C2-4876-9FAF-0524AA8042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68E897-5600-4CC6-BCDD-7B31EA77D6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A69A77-1A33-40D1-B51F-0790EF1E1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1CE45B-A2A9-4A68-9EF5-C9D3C2976B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3C47A0-A45B-406C-B5D0-4B25DD2C0B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85DDA2-246C-44E3-B0E9-9DB55DC8F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D7CC1B-1795-4DB3-9187-578A0C931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E943F4-0F55-4BA5-A5B5-C59AAFFF64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6C44F6-43E9-43B5-9622-F8E7028A38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1EB95A-BB03-4445-AD54-D6BFDB4A36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BEAD8B-17F5-4826-9708-58AADD26F0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385424-C1E7-4173-A015-6C98A596E9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B51B8C-1E0C-43F9-95E4-569612310B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6F1EF5-1BCE-4631-9F29-554C77B84D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E0B22B-049F-4708-B7D5-54A495EDF3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24CB0C-81E4-45B3-8792-9B7445885A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39F369-0F49-42B6-8813-B2ECFE50A1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C6F4A4-C41F-4126-953E-2737537B7A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D67A94-A182-48A1-A3D1-208110865A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C4C535-8461-4B4F-B38B-55130CAB46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DBE041-1EBE-4D0A-B30D-B35FC1AB49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D0293F-82BE-4A59-A609-4E68CEB2A3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520FC3-F048-4098-9D33-E27E385C62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266ABB-5E85-407A-81FD-749D57AD3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68A49E-EAAC-499E-A7E6-996923E3BA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813CD3F-AEF9-4C7B-91F2-6EE306142F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7C62FD-9F5A-4C1B-B149-547D29EE29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A5C806-5D61-4F91-9876-23845E5F5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C0A2B8-1B4D-4D84-94EF-0F19223B8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2D2EDB-66F7-432B-A54C-29DA01E6DE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5666AD-270A-4DCF-868D-DEC0C19D85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476E90-FCAF-4584-8D08-E7DBE8153A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5F3D9F-C905-4356-8CFF-F125DD9B81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5DA5F5-1249-4D50-8E85-B00AE021A8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DBE8B6-70CE-45B9-B00E-6A684E33D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79974A-5DF5-430B-B0C6-76778B232B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A41820-C47A-45FE-8092-8F543A8CA6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9FBE1E-5EE3-4AE6-8E6E-DA0B54E647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6A26AF6-5811-4B8C-A766-B6CAF7DCEC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7C0A40-ECD9-4B31-B86A-1BD43E58B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ECE7EE-95E5-4636-9DA3-7D2D147105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24B568-2E35-4AE6-B68A-5C2436FCF1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20D4A9-5EFD-4BEC-86C6-F52CA6610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75F398-E3CC-496F-A66A-0B40D7ECB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CBFECA-C7E2-4812-B571-6EB08D4046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9BD7C4-C64A-4359-9D7F-E777DCEC61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F1FB89-3261-4EA8-8860-A4E3287F2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690031-866B-4D76-9AF5-001DD8119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EC2B71-E13D-4A0E-AFE7-C5B2A5C5F9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3574F5-CA2D-429B-AD4D-44D633DBF3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CEB76D-00FE-4500-B466-27F9BA7C2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CBCD2C74-8909-4DE4-9D91-E8A976E2B9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193752-3700-4EB0-B2D5-5EE0D8DA41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8B37D9-4D9D-4E42-BC96-D7B411946D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E12CFB-2FAC-440B-9804-E2F5C896E4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2939BA-5665-47F7-A8A3-49832AD5D7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93C630-F18D-44F0-B9C5-4022616C69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B96B0D-4B59-4400-88CA-C2E00FF1CC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59CD0-4794-4154-BB98-515480B53F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072E30-FBAB-4E9A-82FF-7D8212125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FE4818-CE69-4D5B-A033-03BB92CF9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D68FBB-7B40-431B-A7D5-A9CC58DCC4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747815-C04E-45B9-A70D-DC7075F71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7D8AD6-D7D9-46C0-B734-CC62954DDF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600F3C6-E196-4EBE-8A6E-A41D69124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E84B36-4014-4666-88CD-8DE375947C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66152B-4C20-41F3-9A9A-E49F3EF814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62D386-8436-4E77-941F-E1B4A1826D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CF26FD-18A1-40CA-9852-58ED073BA6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0ACE20-7F82-4F5B-9121-5233CF068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1790AE-9908-4957-B91D-43CD5174DF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2804E2-E5A4-4D58-B0CE-5B770CA3E0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45CCA9-0E13-4A54-8E24-B517D087BB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44E5D7-1072-4CBB-9A48-C7A194726E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848AF3-95F2-4C11-B505-7B965DD72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E25D27-0949-4630-8CD0-C07EECFF6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DA1140-C20D-49B5-8C7D-E3CE972B6C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F6056D-B285-4792-A697-9B0D6E0DAD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9546E4-ABB5-4C7C-A517-787F51A4C9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4CFC88-8008-4C61-8880-0821847DF7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7E8B5A-A255-42FA-A5A3-F6E1C8A334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AAE696-C745-45EB-8695-23AE151545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1EB542-FCA1-4E30-9457-D6C22898A1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10A571-B0EB-41E2-AE75-2B2E088D91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10DE6D-BA10-4261-A629-34D860673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79F8F0-E52F-4F73-8A61-BF99FD2990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615F8B-AD04-4518-B66B-A44B6EB78C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23E1F1-6947-4921-AFF1-69F83109A1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C32BEE-6E4D-4657-BE9A-C7BB2E5C2C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4AB4CC-249B-4B28-9DEC-BDAE679C3C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CEBA5C-810E-41D1-9437-4A471D6AB0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DA1A08-E1D7-456E-9042-7ACAB404E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60AAED-0F5D-4D9E-AF94-E5674DE31F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DA976E-FAC5-4F42-9519-8969E0AF8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L16:L18</xm:sqref>
        </x14:conditionalFormatting>
        <x14:conditionalFormatting xmlns:xm="http://schemas.microsoft.com/office/excel/2006/main">
          <x14:cfRule type="dataBar" id="{70448A34-6F8A-4307-8C54-63491F4A7F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2B0833-891C-4720-9AC8-0359445CAC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39C0C0-CA0B-4532-B5BC-5D8EF938E1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B80D48-FF21-4855-916E-062597B4B2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2BB9D8-0386-4D30-8BEA-7AB4F204B5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4A214F-5DF1-4D0F-8F4C-483A72D99C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A141DA-7EAC-431E-98C8-0FB3FC2760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BF4116-DD12-49CE-AA80-746BA4828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E16079-2260-47DD-B943-1A6DC11C4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FFE503-E4E8-49DB-802A-E319A11639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7FA361-D7E2-4C99-B2D0-64EF3E8596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48054B-505D-442F-A4EA-674A05DD84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E71927-4A93-4F4C-BA41-4217459515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DA44C2-B70A-4077-AD08-E96DA635AC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605958-1003-4DB5-8ADC-423C72FB92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B8A805-C333-4097-834D-57429A1CD4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AA6BF9-FB01-450A-9BC3-24E8503F46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85FEB8-EAF2-4FC9-9F80-E0111DB140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3001F3-E912-41F6-908E-C4B35391C7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210267-B9D1-4911-8298-E50573C2C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6E179A-FC6B-457C-A731-CA50958FA8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A5F1E4-DC28-4CB7-A1DE-A851A19386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0BA292-6765-4DA0-A19E-B5197FCD0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21AB16-D5DE-494A-940C-3BD91C6200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CED1E8-696C-489F-9F85-6C89D13057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80C475-A026-463A-A026-5A468DA699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ACAD66-478C-4880-BD21-5B550AD923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34E256-0D9D-4792-B930-9E674B358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54FA13-E9E3-4F5C-91C1-55ADC01D4E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C2BED5-DF05-4B0A-922E-6DE7E05266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L19:L20</xm:sqref>
        </x14:conditionalFormatting>
        <x14:conditionalFormatting xmlns:xm="http://schemas.microsoft.com/office/excel/2006/main">
          <x14:cfRule type="dataBar" id="{E1BCAE1E-CADA-4EAD-97B6-77675EFA8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B78328-B9BB-43B9-B59C-26F5AF2B8C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167D49-23D6-4679-85B8-474AF00CB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737CED-DA68-47C2-9A86-3B012BA182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D847EA-1738-4418-B69C-16F002723E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627000-5430-4952-8667-79BC07AF4D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412042-1A5E-44EB-9902-7C943EAA10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CBB6C3-AA85-495C-8726-0001D674B2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7E5A93-1F5B-4944-9954-85B12EF3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8E32EA-54DA-4429-B551-EBB360E450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4F34C9-F3F5-4E71-AD7D-F2EF8FAB4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4C7F6F-919D-432E-8F8D-2E8DC22D8A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F34D1E-D33B-4C23-BBD2-76C063C302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2A3D881E-72CA-469B-9415-6C808011C6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6C9DC9-7EE2-44EB-9B50-57D654383A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AFB426-21C6-4537-9F71-A3D11AA5D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CC9F0-C406-4CEC-80ED-988D1950F4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72A150-7633-4C0B-B45F-6B90737DC5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F5FACA-4087-4867-9FFB-9E53872569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94B48C-EB52-4B98-B1DF-7C50EA5925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152281-131F-4458-83FA-3BE6C3F421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6036DA-4BF9-4A01-A986-271669238B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6E53E2-A718-4456-B54E-CBB9701FD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DD5D5F-8F59-4E4F-87E1-D6E1C9E24A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C12DAA-8224-4619-BBCB-02E2F280BC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12A124-CC1F-452F-9274-B4604CF52F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2768A2-611C-4427-B9F6-BFCA079031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6426F3-F918-44FF-850C-0241AC655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A1561C-F2DC-4330-B375-3513333CC4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C61025-8A4F-4A1F-900E-31D361FE5C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L22:L27</xm:sqref>
        </x14:conditionalFormatting>
        <x14:conditionalFormatting xmlns:xm="http://schemas.microsoft.com/office/excel/2006/main">
          <x14:cfRule type="dataBar" id="{95C98D6C-1C0B-4272-BE50-25C58F167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4496CE-DCF0-419A-8664-209390078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785C02-3455-4AE0-B3A2-A116756CBF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226BCB-8456-4400-BB13-5FB111079F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E7E268-B7FE-4976-93B4-EA16EF075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02B1D9-68EE-44E3-B12B-6C565957C1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23F34C-AB8B-4E45-AD7B-29C8CD309C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45D1BA-86F4-4370-B9CB-01FF3BE213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L28:L29</xm:sqref>
        </x14:conditionalFormatting>
        <x14:conditionalFormatting xmlns:xm="http://schemas.microsoft.com/office/excel/2006/main">
          <x14:cfRule type="dataBar" id="{3B5C5C7C-2881-40A8-B2FF-55D7144508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3160F0-3559-49BB-9502-B9CE6FDF1A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A171746-AC76-4A52-8658-CBCB73FA9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B4CD17-6D85-49D6-A446-FF06289EB7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628FF9-5D7A-42D5-A5A0-10610501F1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C5E0E5-8FFA-44A7-AE80-39234F3036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3481D4-4A87-4786-A21E-340BD87CB7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4433B2-8D2F-4B51-BD14-A1F74FDF09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89F76A-9B25-499E-9862-E35439FABC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B2DBD8-871C-4CB8-9EDE-A6C8BFFBA6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C68292-1933-4296-A0F4-DAA3A2874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1C81CB-51BA-40EF-B2E6-B49318EBA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D8EF87-340E-4FC3-9855-0808F45E56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D14DFC-541A-4C9F-97AB-0D2842EF4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9BC445-2E24-4AD6-AE4B-E17705148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BF531-240B-4E3B-8A0D-91199B8FF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4EED76-5235-428D-A18A-9A24625C03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N20:N26 K5:K27 N5:N18 M5:M28</xm:sqref>
        </x14:conditionalFormatting>
        <x14:conditionalFormatting xmlns:xm="http://schemas.microsoft.com/office/excel/2006/main">
          <x14:cfRule type="dataBar" id="{CBF1D894-7EDD-4554-AC19-9B09934D51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C7CB3C0B-0B29-4367-B0EF-39080468A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O6:O19</xm:sqref>
        </x14:conditionalFormatting>
        <x14:conditionalFormatting xmlns:xm="http://schemas.microsoft.com/office/excel/2006/main">
          <x14:cfRule type="dataBar" id="{C8FF3D4C-8B48-4260-BA81-B468870AC4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B51951E3-30E0-4D4E-B29E-7BE9D0040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B72187D8-67C1-4B30-9B3A-C8631CD02B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C1C121D4-1472-4FD5-9ECB-A12C28BC6D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B3AF1C-DCA0-42A4-9299-3063093C8B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469F93B-92DE-4842-BC95-67A40F0D97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216D2765-0017-42FF-AAF6-3784CC937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P5:P24</xm:sqref>
        </x14:conditionalFormatting>
        <x14:conditionalFormatting xmlns:xm="http://schemas.microsoft.com/office/excel/2006/main">
          <x14:cfRule type="dataBar" id="{00A5FB92-4EED-48DF-A260-9962B3A156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D468D6-4160-477A-B89D-C59B6D2A9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P5:P30</xm:sqref>
        </x14:conditionalFormatting>
        <x14:conditionalFormatting xmlns:xm="http://schemas.microsoft.com/office/excel/2006/main">
          <x14:cfRule type="dataBar" id="{054AF355-DD56-46A0-88EE-4F2150665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C41ED9-3D51-4EBF-9BBE-966B90BB28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253945-F57A-474D-A27A-05FBC2A7F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379467-7D51-4580-ADAD-6518BD9B3C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18FA55-8F8C-453C-A77C-33152D164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9731D0-A9D3-475F-8973-0550F05D90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P13:P19 P5:Q5 P6 P8:P11 P7:Q7 P12:Q12</xm:sqref>
        </x14:conditionalFormatting>
        <x14:conditionalFormatting xmlns:xm="http://schemas.microsoft.com/office/excel/2006/main">
          <x14:cfRule type="dataBar" id="{D1767996-CE8B-419D-8F00-502BDD56F8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387721-6235-4F74-80B7-A63ACB821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P13:P20 P5:Q5 P6 P8:P11 P7:Q7 P12:Q12</xm:sqref>
        </x14:conditionalFormatting>
        <x14:conditionalFormatting xmlns:xm="http://schemas.microsoft.com/office/excel/2006/main">
          <x14:cfRule type="dataBar" id="{141657B7-F4F7-42B9-B8CD-BFCE66BD84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EA13AF-7D6C-49FB-BC14-5B39BABA5B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B12DC1-7A5C-4731-A91D-2514CCC419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B29044-AC6D-4AFF-B850-FC6471EE00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6C4931-CB96-469D-A3D5-F44A73FCDD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324050-3CF8-49EC-98B9-4E169F5875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P20</xm:sqref>
        </x14:conditionalFormatting>
        <x14:conditionalFormatting xmlns:xm="http://schemas.microsoft.com/office/excel/2006/main">
          <x14:cfRule type="dataBar" id="{095FDA66-2FE8-4C05-841D-7CD7CDFE45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8567CA-6CAE-4007-8236-D1BDDE637D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5743C3-38E6-43B8-A1D2-1CC7431D4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13AF5C-9E03-4CC3-8B6D-E536713109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5B15D7-34A9-4CEA-AB68-E8A6E0E025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36378D-D601-4463-9E01-DB1DF8AEC2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D64046-4B55-420B-9417-B08FD818C0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EE7A3A-82C7-4DD0-9588-E07A89186B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P21</xm:sqref>
        </x14:conditionalFormatting>
        <x14:conditionalFormatting xmlns:xm="http://schemas.microsoft.com/office/excel/2006/main">
          <x14:cfRule type="dataBar" id="{F2740EA3-3B97-4171-BCF8-4438442AE4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D3D22E-4F90-4C69-909A-A1076FC7BB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7469E1-D750-4A39-A50C-830E8F00B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ED7764-FA37-47E9-B3D3-8F73CFECAF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DE1778-1ECA-4FDB-877E-4CDFBDE283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B91DA-0EBD-43C5-B313-A74279B7D6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AE952-6944-4202-967B-EE19EB825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AB6085-83DF-4153-BEFD-43679556F9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</xm:sqref>
        </x14:conditionalFormatting>
        <x14:conditionalFormatting xmlns:xm="http://schemas.microsoft.com/office/excel/2006/main">
          <x14:cfRule type="dataBar" id="{2642A87D-79B7-406D-AAF3-F53CF48DEF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4143D7-FE64-461F-BE6E-ED707CE037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01E734-8468-4FB0-9026-95C5136B82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DBC140-8C74-4D55-BBE1-C2CC6AF620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882C7F-7A74-46FE-99B9-FC5EA68A9F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69C753-74BA-4DF6-A6ED-38DC1600EC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549198-27E2-418A-8C6C-2974BE2189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EB9D03-C09A-4610-AF94-B44EC7FEA6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P23:P24</xm:sqref>
        </x14:conditionalFormatting>
        <x14:conditionalFormatting xmlns:xm="http://schemas.microsoft.com/office/excel/2006/main">
          <x14:cfRule type="dataBar" id="{169634DB-712D-4CA1-9A6B-2984435110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85E758-350E-4D05-9132-F75C1E5134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234808-BE57-4F6C-8C2B-B9E36A48A0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576B0C-64E4-439A-B8BB-1F0D42C6A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5757E3-164E-4E5D-AE10-0B4139CA18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D57468-3AA5-4989-A226-7B6BAB96CA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384245-B305-49E3-BACD-D5491EA9F3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0C5E0E-DE47-466E-ABD0-CF367AAC15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73871F-C3E8-4042-B473-4BF84FDA37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P25:P30</xm:sqref>
        </x14:conditionalFormatting>
        <x14:conditionalFormatting xmlns:xm="http://schemas.microsoft.com/office/excel/2006/main">
          <x14:cfRule type="dataBar" id="{0C552E3C-BA24-40C6-B920-A19ED40ECB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24D6F8-CD2C-43FC-98E8-6C82CD5B6C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48A414-609A-41E2-AA95-045F1E7410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A2AFDB-2E37-47A6-A210-B1270A80A9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E3683A-0D46-4195-8E76-51271572A0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354C94-AFA9-4EC4-AE2E-60DEA29E2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1C51E3-1A36-44CE-94D3-1EC87AA7F3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B328B8-330D-4F53-9ECB-1883D1208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FD52A9-4A80-4DE0-92FE-59E8E2531A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939266-830D-46BB-8058-AAB3FB7B5F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0B2651-D135-4614-8496-70D6D5E145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D78988-C1AC-4854-B6B6-2BD48AE8B2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5E547B-873E-4F98-A624-2413F0AA44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43812C-96E8-407C-B14B-89B2B75182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EA624F-21C9-4274-89C0-5BE4A11F11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D8E19F-A64B-4105-A270-ABF6EFC31A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66FDC7-D099-4ED9-A381-37278A290F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94E13D-7639-4ED0-B517-0ABD770A2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258D4A-3FA4-46B9-A416-083BB6AC1C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1C504A-4A02-4AE2-A4CD-614F6E0C3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C1619A-4CD8-4673-ACE5-31825808E4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6EFC94-CBBA-485F-A50C-B52ADDA9CC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A00DEB-AD51-453B-8D6F-F70A458C5C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555988-7351-4D7A-BBD9-46A399FE21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4AF369-73CF-4C54-B2DE-9CB7093CDE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6390E7-7104-4B0E-B588-76D63B7C7B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8FC52A-6C93-4832-8425-CD85936532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5BC1BF-886F-4AE5-8100-132B53990B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7EA8C2-126D-4522-B0D1-0EEA6A1AED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6CE545-75C8-4932-A387-40F2ECC314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E654271-947F-4E9B-90BA-F725C2DF59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58D6F1-05B0-4065-90B5-4E2AA79958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815129-0F38-49BE-B7E1-49052D9690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A96D0E-23BA-4E50-80D4-EC8A12DB6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30F122-5000-4082-8530-CFC7ECF90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B42C27-F6A6-44F9-913B-66025E815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752979-C62E-420A-9F35-9D6A7E29D8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DB108B-C10D-49DF-AE09-DA75A809E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05F2D0-BD49-4A2A-8810-77DEFD4D12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A72003-09DE-42EE-9001-5C656795F9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AC571D-AEE8-498F-95CA-8BA45442B5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8B2786-275F-457A-8FFA-4DC1B24B63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F880E8-73A7-4EFC-856F-D920B6913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E51C4F-8B50-491C-8667-E5B46CEC0E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6AB220-6F3C-4982-BDC8-C10BDF35B2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EE6E2D-3028-4F73-9DE5-6704D776D4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FFE23D5-30D2-46BA-B294-6ED6169B13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Q8:Q11</xm:sqref>
        </x14:conditionalFormatting>
        <x14:conditionalFormatting xmlns:xm="http://schemas.microsoft.com/office/excel/2006/main">
          <x14:cfRule type="dataBar" id="{78C689F9-54F4-4CEA-88B8-48291B7FAA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41CBD3-0319-4C99-8C7B-B6B34C0926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96E87B-771D-4278-A051-335CE3BC28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F865EE-BC3F-41B3-88D4-08E1D962D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77643A-5578-4874-B5AE-679A010ECE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2621AF-ECAF-4A62-B64C-ADC111B56B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F51FDE-0A21-4E8C-BB8D-F0D38200C4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AD7258-061D-45D0-A7C5-BDB3162ED6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60D70A-B709-4B20-BE53-F0F9C1D19F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13A8B5-5CEB-45D9-A5C0-FA4313BBF8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D5CCC0-87CD-47F8-AC5B-162810E44C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FF9885-9559-4761-B027-1B0C4CB0E7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C0ED44-D657-43C8-A99F-28150B204E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FC62BB-210F-4E22-87D1-1E026928BC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D3E81E-9035-4668-B737-15C85F94E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3A48BA-B7C9-402E-95CC-5FAD1BC22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981A62-42E4-4001-9C04-719D7DBDCD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D5DC59-562A-493D-B26F-13178124D2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A9482B-530B-4D17-B5DA-75FEFCD682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6F77D7-3911-4E0B-B893-248A80C764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1A2CD0-17B8-4839-BD27-E51D589BA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7467EE-831C-4CEF-A39B-E939852696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06EB5B-62E0-46BB-8727-F3138AF731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36F63F-917A-44E0-8F4E-132BF87D36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7A7EB9-7EFA-4800-BAAC-2B9DE9F394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372A5A-64BD-4410-8985-2A0473EC9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BE7462-474A-4D5A-817C-F2440AF6F7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E38C42-3E39-4561-B9A3-980398163B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C59AEF-9405-495B-A134-96A2FD9C6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E05317-32A5-4A48-B191-C74B08468B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Q13:Q22</xm:sqref>
        </x14:conditionalFormatting>
        <x14:conditionalFormatting xmlns:xm="http://schemas.microsoft.com/office/excel/2006/main">
          <x14:cfRule type="dataBar" id="{00CA05BF-F7AB-41B0-A741-D7C1026BD9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B2D923-5BF0-4064-BD56-7031EBED9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2AC023-90BF-40CF-848A-6E5873BF8E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E0778D-98AA-4231-85A0-3EB3157FB2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78F096-2AF2-46DE-BDC8-37CDD01A93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B9C67-75FC-483D-BAD9-A3107B88F2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8080DB-5A21-4966-8778-18A2E76D2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FB1384-9435-472D-80E3-F7A322E047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Q23:Q24</xm:sqref>
        </x14:conditionalFormatting>
        <x14:conditionalFormatting xmlns:xm="http://schemas.microsoft.com/office/excel/2006/main">
          <x14:cfRule type="dataBar" id="{892DF01D-1B78-4354-8E41-7EE8682415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552542-D65E-4D4E-8082-DF2C4C5A9F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BD0CA6-49FD-48BB-8919-03A823350E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0EDA1B-30D5-4725-8098-62126DB717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D851CE-396B-44EE-931D-624C6D36E8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2D4428-F073-4B5C-8D8E-10CA88B3BD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4693BB-07ED-45D9-B91F-36B3AE168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577DFC-5938-435F-926A-844ACA1C93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6A520F-321D-4FEA-9CC2-B2C406A2B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2BCE9F-5A74-4B98-9095-0E089549EA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4F4BE5-7CB5-4B67-993C-66CFA04F10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0008A5-B339-4157-B2BC-77C6006D9E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1B35BA-07DC-4369-8B02-B492CB14B5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Q25:Q30</xm:sqref>
        </x14:conditionalFormatting>
        <x14:conditionalFormatting xmlns:xm="http://schemas.microsoft.com/office/excel/2006/main">
          <x14:cfRule type="dataBar" id="{838FB72E-EAA0-437B-8568-06B70D3DDA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49A6D7-4E45-48D5-BD3A-A619561935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50E68C-D4FA-45C1-9712-CA2D74E896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3877E0-6CDB-471D-A599-3602B54911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7AC3EC-E0EA-426E-A3E9-B58820FC7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DC687D-70C9-48FE-AEB5-D7EA5263F5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U5:U6 U8:U20</xm:sqref>
        </x14:conditionalFormatting>
        <x14:conditionalFormatting xmlns:xm="http://schemas.microsoft.com/office/excel/2006/main">
          <x14:cfRule type="dataBar" id="{0BBEA058-E2CC-42B9-9766-9371689353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U5:U6 U8:U21</xm:sqref>
        </x14:conditionalFormatting>
        <x14:conditionalFormatting xmlns:xm="http://schemas.microsoft.com/office/excel/2006/main">
          <x14:cfRule type="dataBar" id="{FE214EEA-C607-4BA1-B19D-3DE832CD39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U5:U6 U8:U22</xm:sqref>
        </x14:conditionalFormatting>
        <x14:conditionalFormatting xmlns:xm="http://schemas.microsoft.com/office/excel/2006/main">
          <x14:cfRule type="dataBar" id="{5A593D80-19E5-434B-8EC6-600932E4FD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E1094C-C32B-457D-890B-300A789E96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U5:U22</xm:sqref>
        </x14:conditionalFormatting>
        <x14:conditionalFormatting xmlns:xm="http://schemas.microsoft.com/office/excel/2006/main">
          <x14:cfRule type="dataBar" id="{4B4369AB-B58B-41A8-9B8B-7494FB8B87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5C1624-3247-4AD5-85A0-10164AD483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A14E59-3534-4F51-9C1B-04DE66D5F7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408CEC-0B03-42EF-A18E-6D9EF62409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3D8887-ABA5-4114-8D9E-0C61724D3D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3CFFF3-BE06-45D4-A693-CCDA427BE8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6A903E-BBB2-4380-B758-B18ABC6CB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52CC91-0684-4047-95BC-91D084C19D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8DC745-8A55-405C-A2A0-6430DC749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71C8B5-7D55-431E-BC8F-3926F88785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CFA4B2-2A31-48B3-A53F-3EF2D37A8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D236C2-0B9E-4AD4-AE78-0D0C1EA38F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BD3223-493B-4694-AA19-CF5F43BA01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B5A031-9F2D-4B04-AB5E-AD44354BDF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6EF6E5-A535-4481-A487-3D51F10D69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3B2869-EA76-4868-9066-F806E5ABF8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366496-9A8A-49E2-BDEA-2D73F009CE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A51E16-5A02-465D-AD98-17CF174C94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7C57E28-5C98-4DD7-9156-5D75531CA3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D10811-2164-4A0D-8716-9749106E1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6F0EC9-E225-420F-95D6-8641A68C0B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061987-E078-49E4-BD0D-8626012225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44BD9F-96F7-45FD-9043-6473D9F0ED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U7</xm:sqref>
        </x14:conditionalFormatting>
        <x14:conditionalFormatting xmlns:xm="http://schemas.microsoft.com/office/excel/2006/main">
          <x14:cfRule type="dataBar" id="{219CB791-B237-4700-909E-F76D9AB6DE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8F8623-04FB-41EE-8656-6E3FE95EC9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731C81-788C-49E1-8139-5613EFB1FC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5FE3FE-E247-4A84-A819-AF7B9674DE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C65C05-6597-4DAD-880F-45B6A969F6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B86C8A-D09B-4BD6-B1FE-10B1555CD3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U21</xm:sqref>
        </x14:conditionalFormatting>
        <x14:conditionalFormatting xmlns:xm="http://schemas.microsoft.com/office/excel/2006/main">
          <x14:cfRule type="dataBar" id="{7E917AC5-FDC5-42BF-9163-AB4CE697C9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ED122B-4765-482D-8719-218B9CA949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0C893F-89CE-44D5-82A2-B66CD84704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E01590-970F-4509-BCE9-1CB3B7388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80A09F-B7B2-45E8-825C-73D805F9F3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F5265A-2768-4E5B-A783-D3033854C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6AB1BA-582A-4AD6-B2F3-626A0DB573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U22</xm:sqref>
        </x14:conditionalFormatting>
        <x14:conditionalFormatting xmlns:xm="http://schemas.microsoft.com/office/excel/2006/main">
          <x14:cfRule type="dataBar" id="{C52CF9EC-03F9-4D7B-9CB5-A638944869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4A5BAF-12CB-49CB-A9AE-94C79792A6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0F39C6-1B6A-47B5-9645-F05D35D756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4845ED-8CDD-470C-8E7A-76F36E9E7E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9C0C23-6730-48A2-A4BF-84C73CE47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34F215-C348-4140-B31C-4850DA2BBF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8BCE55-8C50-4754-927B-2C3235038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D3B826-6220-418B-8224-34FB62B268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0DFE08-A688-4046-9734-564880CC55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BD312A-C186-47A7-83D6-D6CB71C323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4AB421-AAA8-4B04-B9E0-464591BD0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8AD4C8-273C-431F-B4A4-D7A49AD8FB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A7EDC8-342A-4563-A325-16813F9799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C86266-B46D-41CF-AD35-32FA7BA85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E6461C-87AA-45F8-BB0D-18380C6B4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F58CE5-4E56-4D01-84D9-CCCDCFAAE9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CBF468-3A1A-4CA5-9A09-9F3E0E4F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V5:V10</xm:sqref>
        </x14:conditionalFormatting>
        <x14:conditionalFormatting xmlns:xm="http://schemas.microsoft.com/office/excel/2006/main">
          <x14:cfRule type="dataBar" id="{0E7731A5-034C-4026-9DDC-EDDD253AD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E8869D-B2CE-4213-9440-C313770BA8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34F244-1A6D-4832-A162-79E0302CDC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C6C34B-E011-44FD-B6DD-EEB345E201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DEB228-D275-49C3-B894-BF174E4F5F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046A3A-5F08-4B86-AC6A-7736DB0733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8553F1D-F708-411D-9248-949D307A8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8DF855-50FC-4185-903D-A960EF5422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V11</xm:sqref>
        </x14:conditionalFormatting>
        <x14:conditionalFormatting xmlns:xm="http://schemas.microsoft.com/office/excel/2006/main">
          <x14:cfRule type="dataBar" id="{727DF7EB-ACA9-47EC-815B-B45794BC56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056F40-DD3F-44C6-92AC-546A0BDECE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174D10-8819-49F0-8AF0-B03999E185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CE1C87-CD54-40B4-8F70-F52D98FD15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88ABD7-55B9-4534-A97F-EEC5F8830F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16EB1E-4194-4F46-B1AC-0993C40EDE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EC75C9-40A2-474A-A6C5-79DD8490B5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8048B0-E3D1-4041-96F4-3BBD6F4D31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V12</xm:sqref>
        </x14:conditionalFormatting>
        <x14:conditionalFormatting xmlns:xm="http://schemas.microsoft.com/office/excel/2006/main">
          <x14:cfRule type="dataBar" id="{779B7FD3-0F60-44F4-AAFE-33AC98E351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D74B6A-78E4-46D6-B455-2C6B3F6F48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4C6F74-E08D-4D92-8B79-2E73ADD64B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E77F7C-B008-4312-9C17-93E6B69CFA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1739B6-694F-4209-A950-C6FF940C05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01F05D-3ACD-4DB7-B472-F09F02CC70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B80957-9397-411B-A7C2-85FE0663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CE64AD-4F24-4A58-ADFC-66A1B56536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V13</xm:sqref>
        </x14:conditionalFormatting>
        <x14:conditionalFormatting xmlns:xm="http://schemas.microsoft.com/office/excel/2006/main">
          <x14:cfRule type="dataBar" id="{4BCE8088-55D2-4AA6-96F7-174FC9A617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989974-D840-496F-9332-BF651427D4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EF8F67-0F45-43A2-83DD-BF4E11127E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99C1FD-B835-4B56-8108-CEB5AE0736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F7D51F-75A8-4F61-B564-B6DD56C9FB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088CEF-862B-4067-8E77-D100EC7606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CA1DAC-89CC-483E-8211-5FAA5FAC69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860D66-AB8F-4AC2-9EB2-07BC919651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294E5073-2F73-4D3A-B9BA-548E945AED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94B23E-56CA-4FD5-8F67-4EA03BC732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39588F-A127-472C-819E-112C058B4F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8018C6-3CFD-4BB4-9328-09CDDE5E20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6BF5D9-4D98-4EBF-9AAE-F797B0736D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047C8C-3ECE-4425-BA5F-42938B0D73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273DCC-1B76-4EAE-8AAC-E0820787A0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711332-1DE7-43A2-A5C2-601F0956DE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1D6AC7-A46E-4B32-93BB-F484F7760E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0099DB-1658-49DD-8241-EEE3768BE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FB063A-34E7-4712-B511-9871552DF9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F9F2AF-CB7C-4F81-9643-22BD4252B1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627BB2-88CD-4C89-811D-4B8895BAF2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032FD2-6599-48CA-8A31-9D7832ED0A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768E16-5BFC-4D90-958B-A860D8F5C4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1290BB-154F-4728-8F57-30B8096990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3DB8CB-83DA-4081-BF83-560BAB4177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V15:V22</xm:sqref>
        </x14:conditionalFormatting>
        <x14:conditionalFormatting xmlns:xm="http://schemas.microsoft.com/office/excel/2006/main">
          <x14:cfRule type="dataBar" id="{81283655-9F61-4207-A4E1-B21597FBE7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Y11</xm:sqref>
        </x14:conditionalFormatting>
        <x14:conditionalFormatting xmlns:xm="http://schemas.microsoft.com/office/excel/2006/main">
          <x14:cfRule type="dataBar" id="{8C49DE35-7BE5-4150-BE01-C30117A945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8BC301-1345-42AA-BAD5-2053053181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52D96C-8DFE-4D18-9CD4-5FDEF79D4B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Z5:Z6 AC9:AC10</xm:sqref>
        </x14:conditionalFormatting>
        <x14:conditionalFormatting xmlns:xm="http://schemas.microsoft.com/office/excel/2006/main">
          <x14:cfRule type="dataBar" id="{F911475B-5191-410A-9E2F-45806ABC8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8C2408-8039-4551-A896-97794D22C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Z5:Z18 AC5:AC18</xm:sqref>
        </x14:conditionalFormatting>
        <x14:conditionalFormatting xmlns:xm="http://schemas.microsoft.com/office/excel/2006/main">
          <x14:cfRule type="dataBar" id="{D3450FA7-526C-46F8-8DD5-DDF00BC25B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08BDC0-4172-453E-922D-AB7360ECD4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8BFF81-F0CD-4F6E-BA28-5CEA149E1A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Z5:Z19</xm:sqref>
        </x14:conditionalFormatting>
        <x14:conditionalFormatting xmlns:xm="http://schemas.microsoft.com/office/excel/2006/main">
          <x14:cfRule type="dataBar" id="{809E34F3-B19B-4E6D-8529-95ADD42D83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0EF640-E7E3-452E-8D0D-F5CA73B6D0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Z5:Z20</xm:sqref>
        </x14:conditionalFormatting>
        <x14:conditionalFormatting xmlns:xm="http://schemas.microsoft.com/office/excel/2006/main">
          <x14:cfRule type="dataBar" id="{EFF2E138-4D9D-4A37-A84D-10165AB8AE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Z5:Z21</xm:sqref>
        </x14:conditionalFormatting>
        <x14:conditionalFormatting xmlns:xm="http://schemas.microsoft.com/office/excel/2006/main">
          <x14:cfRule type="dataBar" id="{411B95DB-967B-450B-A6FD-435925F4F8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E79CCDF-6469-4D70-AA68-15D06801F2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0FA832-C27A-454F-BE45-1D771EAEB4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CA0252-83E6-4750-A1D9-44A32829E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C7A842-3993-4640-A0FB-A934F74C5B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8DBCF4-9B7C-447E-8559-0416C263CE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8D3DC-EFAE-4533-89D8-9525568DC9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C7B885-6B18-4201-A425-349F50E7AA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Z5:Z22</xm:sqref>
        </x14:conditionalFormatting>
        <x14:conditionalFormatting xmlns:xm="http://schemas.microsoft.com/office/excel/2006/main">
          <x14:cfRule type="dataBar" id="{BC32AF2B-D238-4F28-9B89-919A9BA43F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044444-D6F4-420C-AFA2-E6EBB59C02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98AF94-6802-4A7F-B528-2E3A8887A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Z7:Z17 AC5:AC8 AC11:AC18</xm:sqref>
        </x14:conditionalFormatting>
        <x14:conditionalFormatting xmlns:xm="http://schemas.microsoft.com/office/excel/2006/main">
          <x14:cfRule type="dataBar" id="{E0646241-6F24-429A-842C-3D9757B34F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EFEE0B-E0DF-4C66-A271-5521A30BB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C48D35-56EA-46BA-903D-27DA2C4239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Z18</xm:sqref>
        </x14:conditionalFormatting>
        <x14:conditionalFormatting xmlns:xm="http://schemas.microsoft.com/office/excel/2006/main">
          <x14:cfRule type="dataBar" id="{047AFA3A-0BE9-4188-BF92-756276D235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AFF697-68BC-43DB-B24D-7A52771F8C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7B8441-3FDF-4989-B64E-E6E9CE45A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FF3EA49-9E74-4A77-B71D-991BBE1F4B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162E13-D1C3-4E4A-A219-2FC3F63577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Z19</xm:sqref>
        </x14:conditionalFormatting>
        <x14:conditionalFormatting xmlns:xm="http://schemas.microsoft.com/office/excel/2006/main">
          <x14:cfRule type="dataBar" id="{72565083-BFAD-4E6D-B246-38958E3C80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8F6B2F-06FA-41D1-A859-F2FDCE1A5B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C0D9F8-4C5D-492E-ACBD-0AA228606F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C54B0C-3F88-4D8F-B85B-BA3FC35583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E8DDA0-C870-4908-AB1F-E72CA84249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912642-2A5C-46C4-8D16-E4013E3665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A6EA76-B8E3-483F-9461-CED0B30811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644074-8716-4920-993E-79860827A3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Z20</xm:sqref>
        </x14:conditionalFormatting>
        <x14:conditionalFormatting xmlns:xm="http://schemas.microsoft.com/office/excel/2006/main">
          <x14:cfRule type="dataBar" id="{6D3F4493-820D-4F81-9E94-FEBCA87DB2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47F160-CA1A-45E8-9ED8-35070DE4C9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5D312A-86F3-4727-8277-CDA834357D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FA8DF5-9CAD-4A9D-A2C2-225CB656CD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D9FA6B-8FB7-42C6-8A02-0C31CCDE17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A76523-83F4-411E-AB23-D804717247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03B304-92C4-43BF-AA9E-85FDDE1D3A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2AF4E4-E658-421C-B7A2-7FADE97328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A1339A-D416-454D-B061-2775271D3C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01DB70-AE99-4FB3-9EFE-2497C2DA77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Z21:Z22</xm:sqref>
        </x14:conditionalFormatting>
        <x14:conditionalFormatting xmlns:xm="http://schemas.microsoft.com/office/excel/2006/main">
          <x14:cfRule type="dataBar" id="{C7CB24D6-12EE-4056-A2D2-B899346853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989782-CF9F-406A-8AAA-620868905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D63F51-7B24-4BCA-9025-2F77876443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FB859A-54A7-4AD0-81CC-056470F138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19678C-D4D0-47CD-B25A-374F11D6E1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99B19C-08B7-4B20-ABBB-CDB0347B08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1FC357-3304-4F91-84CB-42B8ABA90F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124B48-9B9A-4C71-9793-809A083D77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AA5 AB9</xm:sqref>
        </x14:conditionalFormatting>
        <x14:conditionalFormatting xmlns:xm="http://schemas.microsoft.com/office/excel/2006/main">
          <x14:cfRule type="dataBar" id="{C692775B-FB5C-482A-8294-A9B91FC1C3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F5418C-D831-4134-9B13-0B67EE424D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45C7CB-81E5-4B17-B17C-89DD032856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4B00E6-1D62-4728-9F36-D891CFF2D8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C9D4FF-6BFF-48B2-A1A2-106D296F7F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F7FEAA-2CE7-4350-80D7-111E3A3F17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94906D-D9B6-4B24-880B-A98D57B5AD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66DC92-1DEF-4647-881D-E82BFD68F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AA7 AB11</xm:sqref>
        </x14:conditionalFormatting>
        <x14:conditionalFormatting xmlns:xm="http://schemas.microsoft.com/office/excel/2006/main">
          <x14:cfRule type="dataBar" id="{FA0735D6-FA46-4DA7-A390-97DE890F81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2274D4-390F-4957-B45C-D41AC03061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E1D1C1-7E60-4000-9728-C5B9364755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541289-E2C7-481E-BF53-BD87E0ABF3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97BFD3-1841-48A3-965A-3CDFD19FF9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149599-61E9-4024-B0E3-BDEF79D9A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90A4AD-D596-480C-A3D0-16896DE69B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7A4C57-6122-4C25-BD03-7009F1A36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E61ADB-189D-44EF-B3FD-828468451C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8B539B-4E61-49C0-9AC7-AFA0E58AA8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5A93B5-C117-4664-A93E-904B299EE6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C6A241-D595-4ACF-A9AD-BAD26D15A5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4491DE-3765-4E80-8920-DB4D29FD88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D87D54-4192-4891-9803-2EBEAE5A1F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B7E084-5DF2-4625-9540-CAB6C6E177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DE4B51-8B42-4BA7-A2B9-FE0D3E8A48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E1413D-6053-4B0B-AF92-1875A04890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AA8:AA10 AB12:AB15</xm:sqref>
        </x14:conditionalFormatting>
        <x14:conditionalFormatting xmlns:xm="http://schemas.microsoft.com/office/excel/2006/main">
          <x14:cfRule type="dataBar" id="{B048ACB3-07F1-4B81-9B33-BC7B746428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B70223-2A9D-477D-A329-D461E07B10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F3FD29-032C-4DD7-9ACE-3FFDAC68C4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2F5BF9-4023-411C-9864-187965B82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078F90-B4B2-46DD-99F0-B121416259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296193-4D76-414C-84A5-09A437ABE3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42DEB1-A2AD-4914-90FC-F5D74773BE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1F6E74-8005-40B2-93FB-045EDEAF48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067405-B5A5-46DE-B2FB-2820865794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356C88-C6E8-416E-8568-46EE2D6A5B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2FF436-EDF1-4913-BC84-12D56FAABC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022D7-AB14-41A0-A08A-CFA885DFF0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12E4BC-7734-4398-8C27-109DD0CE78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E18BFD-1C49-48D2-B9AD-A3D8084F15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54B3FD-8789-47D8-85F7-73B75A042B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0E6BBA-D82E-46F1-B806-29C9B5D35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53BF12-3930-4754-AF33-6D25E71383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AA14:AA16 AB23:AB27 AC24:AG25</xm:sqref>
        </x14:conditionalFormatting>
        <x14:conditionalFormatting xmlns:xm="http://schemas.microsoft.com/office/excel/2006/main">
          <x14:cfRule type="dataBar" id="{7FD56BBD-F367-4F56-A747-A463CA1BE9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01F02C-F195-4B58-9F5C-05E4A90EE8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D3BA28-5652-4C64-92C9-C40B668B93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3AE5A6-861B-403A-A556-4E65BABB0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49529B-F7FC-4BC8-8577-89BD1D0D0A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8C70B8-3DBE-41E3-88AE-B62A0F9333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00A666-A0C7-4FAE-B49B-56C26C7718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C35B72-77A9-4024-A0E8-1A8DD9AD7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833ECA-0CCC-4CB7-9C2A-DACA30DA75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4C1EE1-82C0-4727-922D-359FD0C8B7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1F1D36-51D1-4A93-869B-8B02C6D653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925DFC-B08E-44AA-BCD0-74654A9BE2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5D788E-6B7A-4C29-934A-C25FD9A248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D013E3-ADF1-419E-BDBF-3A17B13291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8D3FC2-4CE2-420C-AA00-1ABAB16646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DF4746-4E58-4E12-9968-80A1CCF64D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4B2B6D-D11C-4E93-8C2A-B29A8CF31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AA18:AA19 AB31:AB35</xm:sqref>
        </x14:conditionalFormatting>
        <x14:conditionalFormatting xmlns:xm="http://schemas.microsoft.com/office/excel/2006/main">
          <x14:cfRule type="dataBar" id="{72DF54A2-3C18-4289-B688-A799FD07BF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02198D-8CFD-4C06-BEAB-DEB35C1EE2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239128-5ADC-4B04-AB03-61D3C725A0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BEE467-CA62-44B9-8CB5-245F9F7477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767F02-A7F9-4022-A7DF-2094717005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78122F-8177-4E35-ADE7-06DE8B025B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D07A79-99E8-4FAC-B375-CAC55F2B4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CE5A4A-C7B8-4C2F-A289-BC4A74C40F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AA20 AB36</xm:sqref>
        </x14:conditionalFormatting>
        <x14:conditionalFormatting xmlns:xm="http://schemas.microsoft.com/office/excel/2006/main">
          <x14:cfRule type="dataBar" id="{9832BD26-DAF8-496D-8105-263AE16A9D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8993A3-6AAF-46B4-85B2-C5F51C62BA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1EFF99-1AA4-4710-99FB-0314CB2BC7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926A39-C234-41CB-BB34-F8E243F48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A836C8-E6FD-47C0-885B-C02FEEC3E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C8205DA-980C-4457-A408-2A81461F5E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649783-8303-4CEA-AFC4-01570BFCB2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5323A9-C181-4A58-B91D-A85778CDA7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74C124-45A4-424A-BC2F-C5E51CF0D2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7BBFE8-015F-4495-9D03-F0174472F6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7CC163-C162-43A0-8B51-5FB768A1E0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198776-1353-4CA9-A83E-32408DBE1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83FB30-1133-4EAE-968E-AFFCFC445F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A90E1A-AD90-4F17-A9CB-F86C3081AD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2E5B64-7020-48E6-93A2-0C97F94B5E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B298A1-F821-444B-A763-4C037F187F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2DB801-2B06-45FB-A405-301F856A29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D2A193-163F-4EBF-93D5-CB8E84E924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BA0459-4B1D-427B-ABDF-A9306757EF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A40850-643A-4C5E-AAD7-FF913A35AF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5315DD-C2B7-4591-9477-7F623C77E7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002A06-E019-4441-8419-5804EA48DD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F24C6B-5D9C-40C6-92F2-980AE22463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FB594E-4651-44AF-A8A9-DAEBA25C1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CD6FDA-6B28-4AC8-B7EB-882AB7A735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39AAB5-CEE4-4CE7-9796-A9D52E9C5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FC1091-0E7E-4CB2-97E5-F749F4C4EC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87CF7E-102F-47A5-B1FF-DF95959903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A5CEEF-7DAB-45AA-8E80-73DE7A2B9D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CB2CC5-53B1-4120-9FB8-A5331D09E3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</xm:sqref>
        </x14:conditionalFormatting>
        <x14:conditionalFormatting xmlns:xm="http://schemas.microsoft.com/office/excel/2006/main">
          <x14:cfRule type="dataBar" id="{B9B50A20-3C52-4684-A3BA-305F2BC28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F63833-971E-4CD4-8E6B-24B17F94C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4D2A80-EEBE-4D02-BF90-C8B42EDC4F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AE8884-9D20-40A6-A7DE-53848CB223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068B02-426F-4F7F-958F-51D8EC7D4A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4FD8B8-7BEA-4123-80CC-8339E8294B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C0C019-503C-46E7-823E-A5195762DB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232C91-3268-4268-B8D0-4564FB3C89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AB6</xm:sqref>
        </x14:conditionalFormatting>
        <x14:conditionalFormatting xmlns:xm="http://schemas.microsoft.com/office/excel/2006/main">
          <x14:cfRule type="dataBar" id="{60E980B2-0F00-42AD-B76F-835ADC1F3D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4FE300-8C3D-4C91-9E36-A9FEA89B26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B42316-8C71-4466-AC0B-47C3F22C95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FA1D28F-43D6-4EF0-A285-1ABAC7D734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1E7DE4-D07E-478A-85A3-3BFCB6BE12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A653CC-9DA5-4CBB-BBE9-DA38168077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BE2A17-B28A-4DC0-9CE6-2D11AF5ED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28A478-680A-441F-B47E-E34DAF505C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5D10C6-393F-4932-A168-4DD9FD4285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01DD3C-3F05-4E30-B8B9-CEDD3743A9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BCE0D9-B9E3-47B2-AB00-E5A1BD427D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C6281C-7948-469E-9240-BE3837EF09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029582-AA32-40F7-A2CB-DDA0D26AF9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121B32-FB4E-4253-8101-AD99019346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A797FE-7E52-4256-B51A-F1EE98E9AD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65C6A2-FF1B-4A25-A295-81F7991433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7AB09E-90DE-4305-85E2-3FF3944E4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AB7</xm:sqref>
        </x14:conditionalFormatting>
        <x14:conditionalFormatting xmlns:xm="http://schemas.microsoft.com/office/excel/2006/main">
          <x14:cfRule type="dataBar" id="{BD27677B-26EF-4DE2-8672-26AF483FA0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F2B96E-C86A-4FC7-B0BA-CAA8B199EB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541982-7E67-4C64-BD29-969E446DE9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DE8AC3B-6D0A-466E-940F-D40712C052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68173F-0182-4A0F-91A3-A6C33CEADB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0A34D5-4661-4CA8-B359-5615D5B76F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AA5606-F482-4634-955C-D8F6A3FE40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C0E876-A8D5-4FDD-8A9F-52ED1450EE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AB8</xm:sqref>
        </x14:conditionalFormatting>
        <x14:conditionalFormatting xmlns:xm="http://schemas.microsoft.com/office/excel/2006/main">
          <x14:cfRule type="dataBar" id="{DE5320B1-9ADD-4514-A4E5-2866626C16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09C2F8-C716-47D5-9155-25ED38DDA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1C48E3-C2F4-4CBE-8F7D-081BC09AC0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D87AA4-7511-4F7F-A195-3244C3B3D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D9969E-6920-4DE6-9D8B-27B7EF09F1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DDE058-46F4-434F-BD2F-59513C9460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C2EA4F-94F0-4EE2-9071-B6BFA33353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204732-5DEB-497A-9538-CC19D7F8FE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F2D1B4-8D52-4EA8-92B8-1D4E4B7729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50AA24-431C-488F-BD80-02C74C3336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BD4404-D5D7-464B-8CA3-F6D0A103EF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12BE36-5C99-4CE4-BBA9-0F77786147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4A17D09-59D5-47F5-B1EE-E2A5326B3C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D4BBFD-284B-4E69-95E7-8A422ACC54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CCC713-F39A-4587-8C16-CE060F2975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24742C-976F-46AD-8DAC-F5650F3AF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8D52ED-3B17-41BE-809B-E70AB963E5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AB10 AA6</xm:sqref>
        </x14:conditionalFormatting>
        <x14:conditionalFormatting xmlns:xm="http://schemas.microsoft.com/office/excel/2006/main">
          <x14:cfRule type="dataBar" id="{F3DAABD9-A34C-4378-9557-0147EC583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FC43CB-57F3-404A-8250-D3A60F4BCC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C89F5D-A676-4724-8F89-51CA2C12B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F3B5D2-C1B0-4F79-892C-81EA4C2498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709315-D5FB-4B2E-8346-72D70989A0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C57184-0412-41FD-850F-F6E858B46B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188707-A9E8-49A8-A2FC-2A4370FDC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152ABE-F7D0-4EE0-9BE7-0F4AB2BFD6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AB16 AA11</xm:sqref>
        </x14:conditionalFormatting>
        <x14:conditionalFormatting xmlns:xm="http://schemas.microsoft.com/office/excel/2006/main">
          <x14:cfRule type="dataBar" id="{557C2C08-8D59-45C8-A6FD-229888F89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25463C-DC08-46A8-82FB-CD366371BF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0BB1A2-A1D8-4011-867C-5A61A41152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1DF0CE-26F5-4396-9D4C-B62D439207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097278-9525-4AF8-AD00-4AB1BA5B32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9C7AE7-EDD2-4055-BC64-82C9099C0D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37E47E-AAC6-4CB5-8B00-1AAE71C551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0698A2-9979-4802-8608-379F0C52F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A88E59-3913-482A-903C-C1843835D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530C353-EE04-476C-ADD1-C62CB30838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A86371-1E08-47EE-87D5-2604DF7605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9362E7-4627-4CA4-9EE3-5A1CF4FA86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5ACAFC-6E37-48E3-B139-179BF54957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0AF103-F258-497C-A0C2-D43C5389A3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D9D59B-8667-4D7F-AFB7-6C7F88A2F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38BEDA7-9779-46AD-A1CB-1D0A94676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93B3936-3228-4FD1-8A80-4AE2A2014A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AB17:AB21 AA12:AA13</xm:sqref>
        </x14:conditionalFormatting>
        <x14:conditionalFormatting xmlns:xm="http://schemas.microsoft.com/office/excel/2006/main">
          <x14:cfRule type="dataBar" id="{911A34C7-6353-45E6-B87C-4777C58C30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EB2C7A-9F31-40C4-8045-4F99CB655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128127-4715-4B80-86A3-852E03A121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A971C0-5372-4938-B704-8F7B0F410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CB9FAF-F6AA-4CBF-9B77-E5494338F2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9C5F4A-7204-4EB9-AFAA-DA39C2C8B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D836D1-3CE0-48F3-997B-489C8F9E8D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471DCD-C66A-4FEA-BB2C-2D7508DA17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AB22</xm:sqref>
        </x14:conditionalFormatting>
        <x14:conditionalFormatting xmlns:xm="http://schemas.microsoft.com/office/excel/2006/main">
          <x14:cfRule type="dataBar" id="{84B16B80-FF4A-4094-B335-F32235B8FC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13F4ED-0DA4-4A71-B078-84C557A7E4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323EA7-F093-49D0-B207-68AE074E71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0A7257-2475-418B-8A4D-EEACE61A6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1649A7-57E0-4006-8980-E704555BD2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CE0289-A265-4398-AB68-0127406411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6B7C9A-AF4E-4088-A334-48DCD5E804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2828E8-09B7-4EDC-9E93-C2EFA25067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AB28</xm:sqref>
        </x14:conditionalFormatting>
        <x14:conditionalFormatting xmlns:xm="http://schemas.microsoft.com/office/excel/2006/main">
          <x14:cfRule type="dataBar" id="{FA00D5D9-8E04-4BA0-99BE-7257BF5348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6CCE5B-C612-445F-99C7-7B517B69E5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DE1C90-BDFF-4D0D-B354-07DBFD9AA8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8DB75F-4649-4014-BFBE-203A90ECED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3AD649-63B2-49BA-AC45-2C0235B77B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433D26-1056-48B6-9D14-7BED9FDFB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DCD696-0077-433B-A51D-7458BEA4A2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FFDE5E-4521-42FE-8FBF-21406028A9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967E70-BEA1-4A6B-A141-E7C22BB4BD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A436A4-19FB-4B53-ACBB-8A1E40FF9D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164D8B-DECD-496B-BB9A-73AFB615BC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4601A0-8FF4-48F8-B67D-82579AC13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02AC9F-D89F-46DC-AC4D-87055234C5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3EE615-A932-4DC1-B986-4966C82949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D68CE56-8CF7-4593-AEFE-286089065A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D62B95-7351-4C54-A124-66E4D7F3E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567F74-00A2-4C56-A2A7-88B4018DA1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AB29:AB30 AA17</xm:sqref>
        </x14:conditionalFormatting>
        <x14:conditionalFormatting xmlns:xm="http://schemas.microsoft.com/office/excel/2006/main">
          <x14:cfRule type="dataBar" id="{0A719E80-502A-4FB5-B34D-F2527E3950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AD11</xm:sqref>
        </x14:conditionalFormatting>
        <x14:conditionalFormatting xmlns:xm="http://schemas.microsoft.com/office/excel/2006/main">
          <x14:cfRule type="dataBar" id="{9420F916-2F5D-40C0-9203-7DF5DACB8D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4F1DEE-C2C9-4781-89E4-CA60084B7E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B37BF7-64DD-4418-9485-B506D668CA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57E9A2-08D2-4399-BF3A-41D43A1B0C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BB18DF-D727-4FFB-A420-1A0390EFB1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A501C2-CDDE-4F3E-86B6-AC69E4398D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8A95F8-310B-47EE-866D-A222F1D2AD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C3D626-3446-4C05-8084-30E0A931A0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AF5:AF21</xm:sqref>
        </x14:conditionalFormatting>
        <x14:conditionalFormatting xmlns:xm="http://schemas.microsoft.com/office/excel/2006/main">
          <x14:cfRule type="dataBar" id="{17E89C4D-EE26-4249-8FB9-FCF6B5F2B6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0A29FF-6031-43B7-B105-C456962674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73B27B-F1FE-4744-9BBB-B9C6E84811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356DB0-91E4-4A7E-A547-C7C835965C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4E37DC-6A09-4B94-85CB-8F6C07022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B5A3E8-4E43-4D0F-86FE-F38093D272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871CE3-8E20-419B-9AB2-E67BD0B61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15656F-0FED-45F4-861C-D16F1CE3B9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F8776E-7978-451E-AE5A-9D33B5E2B8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AF5:AF22</xm:sqref>
        </x14:conditionalFormatting>
        <x14:conditionalFormatting xmlns:xm="http://schemas.microsoft.com/office/excel/2006/main">
          <x14:cfRule type="dataBar" id="{27177289-CBAF-4FC2-8545-DEBC7C546D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18C649-4A8A-483C-948E-9CF7E9CB4E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4DC310-1747-46ED-9E08-DF189AEF2C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80B8DE-D2D2-444E-A2D7-5F7D35E334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8F8A69-6520-4536-B600-18E1CF4563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D6ACAA-08A9-4748-9E22-1898CA44C9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AEED90-B1B4-4B61-9ADB-33958484A0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AF22</xm:sqref>
        </x14:conditionalFormatting>
        <x14:conditionalFormatting xmlns:xm="http://schemas.microsoft.com/office/excel/2006/main">
          <x14:cfRule type="dataBar" id="{581BE9F2-91C4-4C45-ACF2-94368331F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D0CA67E-CA8C-46A6-B177-65BC4F91AB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514D61-5420-47AB-BD1C-BA0C8E41BF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FE6B9A-10B7-4C0A-B3E0-D8B9D482DF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2E407C-83C0-49A7-BBD7-1834505B80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FEF9BF-2368-480B-B003-0F8301B80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E9A76C-9B78-4086-AE52-73826D0F9C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8FD2C9-16AC-46DF-92E0-4C09553970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5EC278-6B8C-46C0-B6D3-9FB266A60A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207B43-E81D-452D-B6A1-AA5ECD2F43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6F4381-B1C4-4373-B7C0-5101B3D20C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9F1309-FA91-49AF-9802-6BBF4B8C0A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60F26D-B452-4FAE-B85D-B815CCC83B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E5DA89-4587-4184-B809-5EF6400CAD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A24715-3CC5-4BDB-820C-C529FDCF25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36F32B-271B-453A-B6B6-42039FCFF2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C41DBB-848B-44B4-8B69-4D5FEA7237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AG8</xm:sqref>
        </x14:conditionalFormatting>
        <x14:conditionalFormatting xmlns:xm="http://schemas.microsoft.com/office/excel/2006/main">
          <x14:cfRule type="dataBar" id="{C32E0CE8-9501-439A-9CB8-C65285051A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62ABB6-3DB3-47EA-84E9-B8A47CB605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F200D5-D918-4BB0-BE5B-791F122667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37E0DB-53F6-4B08-B6B1-1C5D085F02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2859F8-1E5D-4994-BB8A-443758BEF8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6C2B0D-FA42-483F-9340-5CBDD2CD27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DB7CE4E-7C16-44F0-B7AF-83D72B9755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F4D199-BE7A-467E-AF5C-132601BCFD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811116-78CD-4C31-9661-ED5396FFEF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4C9E39-B8F9-49BD-98DA-56A3226112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5DEF7D-53DC-44F3-B692-0D2D2A5251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F0E9FF-FFB5-4643-8528-40090D412B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472730-4CE0-4BF2-B19A-25A2AEA12E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99AC42-DD46-4DF5-A1A9-BF13A57C91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12A854-378A-4B9B-9AF1-EC360DE75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630C38-B72D-4D59-99B2-CFF1D2C766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7538C5-8D79-4D2F-A19C-82C0CD679D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AG17:AG19 AH22 AH24:AH26</xm:sqref>
        </x14:conditionalFormatting>
        <x14:conditionalFormatting xmlns:xm="http://schemas.microsoft.com/office/excel/2006/main">
          <x14:cfRule type="dataBar" id="{87E048AC-7BF6-48A5-9D92-4E65BB567E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1C3ED5-C445-4A51-BC21-C021790D73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AA7EE3-5822-4FD4-9C8E-B340255041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EB7C06-5643-47DB-BA13-35298A20B2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EE586C-88FB-42A2-915D-43987BE118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8B9882-F0E7-4AAD-9F85-C94DA1F504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94E52F-482E-4C93-953F-44F918D967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3F5CE2-52F2-4FE1-81C1-0174334CF2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AG20 AH27</xm:sqref>
        </x14:conditionalFormatting>
        <x14:conditionalFormatting xmlns:xm="http://schemas.microsoft.com/office/excel/2006/main">
          <x14:cfRule type="dataBar" id="{96313B46-139F-4125-8BDE-33BDDEA7AF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767DFB-2069-4201-A7BD-06F927244D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DC5399-756D-4F20-96A2-8D56C227BA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AB6A55-CEB5-4131-9EF3-A9194E2E20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22A059-BA66-40CA-89E3-1E12801DCE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894E77-10BB-43E8-97E5-240F9D91F5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BDF2EC-E628-47EA-B572-FA0F3B3109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6A6C98-915D-4EF8-B288-A4E57B05EA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E5DC1B-0594-46F2-8009-A31BA775FE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CBED6C-7672-4E89-B7DA-9DBE108CDB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38525F-D927-46B4-9671-AF3E47F0F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B9BF34-CC6D-4D0E-BFD8-CD368D1545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96030C-B2B9-41EB-9ECC-864D32C5D1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86BB64-5436-4843-A5DA-CDCE03D078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8ADE40-4EE6-48E3-924A-5E9BCB8DAB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658077-6789-44A7-8EB9-1D7BE877D5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FC2DE6-6A0E-4184-98CE-4AD9DD1DF3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AG9:AH11 AH12 AG5:AG7</xm:sqref>
        </x14:conditionalFormatting>
        <x14:conditionalFormatting xmlns:xm="http://schemas.microsoft.com/office/excel/2006/main">
          <x14:cfRule type="dataBar" id="{C27C048A-61E8-48A0-8022-0460924B66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4271D8-C3E1-4246-94F0-40F1F7D7CC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B508C0-C7D4-4AEF-AD15-05A4F3FD59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A0F7A2-E226-4D20-AE12-60F539541D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4FCB8D-86E2-42F8-9491-E765362287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3A8EFD-E299-4055-B159-FE410A145E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07562E-295D-4241-85C2-E548E86663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DECD3F-E7BE-4DB3-ACC7-9F4489344A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AH13</xm:sqref>
        </x14:conditionalFormatting>
        <x14:conditionalFormatting xmlns:xm="http://schemas.microsoft.com/office/excel/2006/main">
          <x14:cfRule type="dataBar" id="{77BE2D9D-90AE-4546-AA93-1972FFBA95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C7F6B9-672B-407A-B7C2-82B1DAD4F5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45F62B-8C80-4130-8A81-3B4BF711B1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2A4CB0-DB0B-47CD-AE5B-81BFB6E7D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C5061A-E852-4FD0-A81B-F9DD6A037F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E54109-D5A7-443C-A642-745F7A2024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BE6E0C-D73D-4408-8A0C-6051979E32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F290A2-8A82-44CB-8B8F-F03CCFE275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1F1773-D243-4A5A-9ACA-FE58C3C0E7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AD371D-D814-44E2-BFC6-9E6D5689F1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3AE2C3-D754-4478-8428-850957CD6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A4F5C35-8B09-47E6-9FDE-FE5591438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FE8624-CF82-4B4C-8F0F-628DF91A8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CF5AA4-0696-4CF5-95D0-519487B259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6EF4304-252A-476B-87F1-794D11DA0F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632B26-88FC-4144-9DE0-2BD527B187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895077-9E26-44E4-A009-B436F59DC9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AH14:AH20 AG12:AG16</xm:sqref>
        </x14:conditionalFormatting>
        <x14:conditionalFormatting xmlns:xm="http://schemas.microsoft.com/office/excel/2006/main">
          <x14:cfRule type="dataBar" id="{FBA7E8BC-E289-4879-BE81-D98C3D211A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06B5CD-A2B8-4D47-8B39-6F7D7536A3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F441AB7-9A2A-4ABB-BCD8-49EE4903AF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CC96E9-E784-4A8E-9BA4-FDF262F432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78B450-F248-4372-81E6-5F3927F2D0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4D3306-BD99-4933-A716-06B7F3DF4C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8771CA-088B-4AD0-ABFE-FE1DACFFD1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F70F03-DFB0-4BED-9D2D-3A49D7F892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AH21</xm:sqref>
        </x14:conditionalFormatting>
        <x14:conditionalFormatting xmlns:xm="http://schemas.microsoft.com/office/excel/2006/main">
          <x14:cfRule type="dataBar" id="{EFA493D3-7F8F-4A4C-B3DB-E2A0620E6D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AD34DA-6849-462F-B38F-FB9096F544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9C3CD29-AF46-4B43-8F1F-4C450BBD4F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743F68-A5E9-48D6-BF2D-A16CB92FC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25EA2E-3558-4AD7-8738-E02654FA62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C5637D-8C3C-445B-A997-33D4B5866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4E61D1-5D1C-4DAA-A3E6-04196EF799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29E43F-4920-4058-A444-009BEBFECC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12482F-51DB-4AE7-A085-2589A910C5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7F55EA3-7CF6-42E9-B5F3-7327C3E891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5DE48C-CC95-4826-A1EA-723E12803C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5F1084-A593-4D1C-A960-C3481E6B8A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70DE88-28FA-486D-84D3-02AABDE297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7F2369-CA88-4BDB-B3E5-B9E1B80139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020F9E-D792-40BD-A3AC-837EE332F2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E70249-5443-4B06-9986-3F0EFA42D5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95AF92-1FC1-4BC1-A2B4-EA94876EAD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AH28</xm:sqref>
        </x14:conditionalFormatting>
        <x14:conditionalFormatting xmlns:xm="http://schemas.microsoft.com/office/excel/2006/main">
          <x14:cfRule type="dataBar" id="{2AE8C1C5-EBF0-43E1-84CE-BF3B32E87E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EC67CA-4240-4648-AB1C-CF4914957A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22420E-99B7-4EA9-A673-F86F0DE071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456384-0E08-4408-8FE2-29D1B03759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CCE559-427D-4059-9E59-6B5956E2AC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94F2CD-3A98-47D8-AE3A-C048DDD0EE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0AA2C2-F29F-41E9-8F4A-ABD1AD803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F44214-2FAD-4FC4-AD03-556D7F5D28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AH29:AH30</xm:sqref>
        </x14:conditionalFormatting>
        <x14:conditionalFormatting xmlns:xm="http://schemas.microsoft.com/office/excel/2006/main">
          <x14:cfRule type="dataBar" id="{555604DA-7955-4493-A3E5-E8CE7CCBE1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2DF425-A541-42C4-8301-F97A66490A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126184-1406-400D-B82B-278EF8ED0B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9CCE5F-C8C1-44EF-8576-94F8156530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E059CA-0B73-4559-855C-D8B825D662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082313-27B8-4B59-9641-4F387E9916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B6B05E-BF39-4948-AA66-830D222A6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CD4FFA-323B-4A0C-BA42-A5AF1E378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3E9FBD-FC04-4B60-997A-79D5FAC32D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8A21F3-BDF8-4EA0-8DF8-25B3920680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83EE1C2-A7E3-43A3-8438-CB53B33845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3F2B7E-FFC8-4650-A968-923CEBF0DD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F4CBFC-4231-4459-BB94-F1C47B7FB8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CEA037-A953-44CD-90C6-A929FCBC5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F67821-24C3-42EA-9F72-5BB34B5C2F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0FDF7D-31D6-4D77-BE9E-883E0A792F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B42B3F-17D0-44B6-9AB2-4B41A5197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AH31</xm:sqref>
        </x14:conditionalFormatting>
        <x14:conditionalFormatting xmlns:xm="http://schemas.microsoft.com/office/excel/2006/main">
          <x14:cfRule type="dataBar" id="{05D38420-4929-451A-A906-5C67431D75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0D5E14-554A-403C-9113-A9F17D8850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B930B4-40D5-4AD9-BEF1-F36500DC02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9F5A5E-79F7-49DA-9B8A-FBCF018F07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8677A4-846D-4D32-895E-CC2415CDDA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D9C7F5-E164-4016-9BBA-87A5B012D2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9C53F5-732F-453D-A13D-9377A95556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2390C2-528B-47EF-9335-57D66F5E2E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AH32:AH34 AG21</xm:sqref>
        </x14:conditionalFormatting>
        <x14:conditionalFormatting xmlns:xm="http://schemas.microsoft.com/office/excel/2006/main">
          <x14:cfRule type="dataBar" id="{518A174B-2359-49A4-A6F9-63411435D1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AI5</xm:sqref>
        </x14:conditionalFormatting>
        <x14:conditionalFormatting xmlns:xm="http://schemas.microsoft.com/office/excel/2006/main">
          <x14:cfRule type="dataBar" id="{1871B889-5C17-4466-BECC-9CC97C8AA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AI10</xm:sqref>
        </x14:conditionalFormatting>
        <x14:conditionalFormatting xmlns:xm="http://schemas.microsoft.com/office/excel/2006/main">
          <x14:cfRule type="dataBar" id="{A1302E88-6A15-43B9-98B0-AD6465C018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AI11</xm:sqref>
        </x14:conditionalFormatting>
        <x14:conditionalFormatting xmlns:xm="http://schemas.microsoft.com/office/excel/2006/main">
          <x14:cfRule type="dataBar" id="{278C812C-3982-42E7-B436-69A27F2A8C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AI12</xm:sqref>
        </x14:conditionalFormatting>
        <x14:conditionalFormatting xmlns:xm="http://schemas.microsoft.com/office/excel/2006/main">
          <x14:cfRule type="dataBar" id="{25D8F9C2-3F96-4E4D-B3DF-4E832CDE16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AI17</xm:sqref>
        </x14:conditionalFormatting>
        <x14:conditionalFormatting xmlns:xm="http://schemas.microsoft.com/office/excel/2006/main">
          <x14:cfRule type="dataBar" id="{0B5A63F4-7DED-4ACB-AD42-C77001A1C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AI19</xm:sqref>
        </x14:conditionalFormatting>
        <x14:conditionalFormatting xmlns:xm="http://schemas.microsoft.com/office/excel/2006/main">
          <x14:cfRule type="dataBar" id="{879441FA-861D-47AE-9003-E928D98396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AI20</xm:sqref>
        </x14:conditionalFormatting>
        <x14:conditionalFormatting xmlns:xm="http://schemas.microsoft.com/office/excel/2006/main">
          <x14:cfRule type="dataBar" id="{A9F1684C-019B-4108-AC36-37BDFA3A2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AI25</xm:sqref>
        </x14:conditionalFormatting>
        <x14:conditionalFormatting xmlns:xm="http://schemas.microsoft.com/office/excel/2006/main">
          <x14:cfRule type="dataBar" id="{C6CB281D-C292-4889-8502-C53E7C88B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AI26</xm:sqref>
        </x14:conditionalFormatting>
        <x14:conditionalFormatting xmlns:xm="http://schemas.microsoft.com/office/excel/2006/main">
          <x14:cfRule type="dataBar" id="{57928321-A393-4904-8BB7-DCF7B6695F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2D7AE90-9FAC-4582-8B06-9D734C006A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C42C9C-8A76-4B65-95BA-4B4DB7761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9E4F6F-A285-49B0-8D75-301AC4EC7B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AJ5</xm:sqref>
        </x14:conditionalFormatting>
        <x14:conditionalFormatting xmlns:xm="http://schemas.microsoft.com/office/excel/2006/main">
          <x14:cfRule type="dataBar" id="{C3860DC7-79F5-42AA-8B61-0EEDD5D2F5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529ABF-AD00-45FE-A9EE-B8C62F0F44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9A03B7-DA76-4557-BD3A-7C0DC0ADB0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5D548E-76B3-4854-8BDE-3A70EC47E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C3DD7A-7BA3-4CDD-87DC-AD7F9BF270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AJ5:AJ15 AJ17:AJ22</xm:sqref>
        </x14:conditionalFormatting>
        <x14:conditionalFormatting xmlns:xm="http://schemas.microsoft.com/office/excel/2006/main">
          <x14:cfRule type="dataBar" id="{FD82C782-05D9-4FDE-A2DA-3794872F6B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FCE76C-631A-400D-91EF-F06B871256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AJ5:AJ22 AJ24:AJ27</xm:sqref>
        </x14:conditionalFormatting>
        <x14:conditionalFormatting xmlns:xm="http://schemas.microsoft.com/office/excel/2006/main">
          <x14:cfRule type="dataBar" id="{2DE42D25-D858-4153-B3AB-F0DB6B4CFE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AJ5:AJ22 AJ24:AJ31</xm:sqref>
        </x14:conditionalFormatting>
        <x14:conditionalFormatting xmlns:xm="http://schemas.microsoft.com/office/excel/2006/main">
          <x14:cfRule type="dataBar" id="{EB7B5E0E-E89C-45BE-B928-C1462E1EA3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043A19-EBBB-4B91-92EC-520DCEB6B4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AJ5:AJ22</xm:sqref>
        </x14:conditionalFormatting>
        <x14:conditionalFormatting xmlns:xm="http://schemas.microsoft.com/office/excel/2006/main">
          <x14:cfRule type="dataBar" id="{5E923174-246D-4E01-842C-1DE765818C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7A00F3-7095-49EC-9370-0B337DE18B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E8A30C7-3A00-491E-8419-34C1211353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CCD8D7C-4904-40A3-81B4-7674DFDCDE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AJ6:AJ15 AJ17:AJ22</xm:sqref>
        </x14:conditionalFormatting>
        <x14:conditionalFormatting xmlns:xm="http://schemas.microsoft.com/office/excel/2006/main">
          <x14:cfRule type="dataBar" id="{4B3EBACD-6EB1-417E-9D94-0F84CBDA68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3BFA4B-4558-4BAE-A62E-D8904980CE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066AD2-D00A-4B47-B5E4-87955421D4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A9BC75-3438-4B5E-B782-70A25DEF14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846667-E294-4784-9D1F-0F1F8B2692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AA3378-0B80-4E9F-A004-EED1EF67A0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37D091-BDDF-4F25-A4DC-60E5FC2304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34C57A-3FF4-42EE-ACFA-69E8A8FE98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562E71-03AE-439F-8445-C8F1266E6F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7CCE8D-757B-40E5-9182-33DAD59552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AJ16</xm:sqref>
        </x14:conditionalFormatting>
        <x14:conditionalFormatting xmlns:xm="http://schemas.microsoft.com/office/excel/2006/main">
          <x14:cfRule type="dataBar" id="{1B6F6B78-0DBF-43E9-BD31-9CAB82E707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AJ17:AJ22 AJ5:AJ15</xm:sqref>
        </x14:conditionalFormatting>
        <x14:conditionalFormatting xmlns:xm="http://schemas.microsoft.com/office/excel/2006/main">
          <x14:cfRule type="dataBar" id="{6EFB359E-4411-4B41-85E5-5F10537551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35DE492-D61C-4BDE-B075-97FAB2972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9A3762-A953-4E7C-983D-3DEA9B4A5B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16EF3D-83BF-4C91-AB57-08C4AA48D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643F81-6E06-43B7-9FE8-9F1ADE2C1D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B1EC5B-B94B-4E25-B63B-0EC053AA65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A5B287-D84D-4071-BAFB-B91FA8F2E1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74DA263-3D8F-4514-92E9-94D1EE5584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24CF14-C807-4022-A1FB-DB5647585D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F4771F-3CF3-4FF6-B4DC-2331ECCF75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6FD857-ED49-4D2E-A0E7-B697D0515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A57E70-C8BA-46DC-A497-24E5548934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AJ24</xm:sqref>
        </x14:conditionalFormatting>
        <x14:conditionalFormatting xmlns:xm="http://schemas.microsoft.com/office/excel/2006/main">
          <x14:cfRule type="dataBar" id="{4FE398E4-6C8A-4BFF-8BC9-27E55D49F8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374402-10E0-4116-B821-176C8389CB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496BE5-043C-423E-A58D-95037C220A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9CF005-3F5A-48D5-8F47-4966D6B70A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5F8E7A-460D-48E4-AFA5-D52A44F8E5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354438-3276-4E05-ACE7-E936984FF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13ABED-CC32-4A65-94AE-04DE8AEC3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1E4FAB-25E6-42D3-8591-1870D9BF39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BFC17F-5BE3-4CD0-B1FD-19535B99B8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699A71-0A10-4A60-A7DB-1B4064A8E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C2089B-64BB-450B-86BD-FDB9612F04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780693-C327-485B-9039-06B61521C3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AJ25</xm:sqref>
        </x14:conditionalFormatting>
        <x14:conditionalFormatting xmlns:xm="http://schemas.microsoft.com/office/excel/2006/main">
          <x14:cfRule type="dataBar" id="{2010D0C3-7513-4634-AF6E-07E0CBB20E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756C052-088C-47C8-8782-BBC340B5A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FC2AE7-9189-4F51-B386-EB267C30B8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DA7D129-E6A9-4975-81E1-72DAABF2A5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1CD8D2-741B-4316-8A33-63F990743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301894-261E-49EC-9898-2AAF5C645B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2C1CA6-73C1-4297-B1E4-B48D2D2A85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CC3C06A-E92A-4BAD-8030-C10F0FA961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9AD364-0527-456A-9C40-C397AD2597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B5738F-E766-4E10-A25F-2061E9A924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0D9DFE-527B-49C3-A495-727582B93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37F7E5-78DA-454A-A964-8C718CBB5A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AJ26</xm:sqref>
        </x14:conditionalFormatting>
        <x14:conditionalFormatting xmlns:xm="http://schemas.microsoft.com/office/excel/2006/main">
          <x14:cfRule type="dataBar" id="{92008DB1-6B02-41A9-A0A5-84828E3C31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76F99C-ECCB-4BFF-B456-33A55E06FF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5396BD-EF09-4CD6-B88A-4FEB5E8589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072E07-1592-4567-9F55-139311F153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3D2767-7162-4C2D-ACE9-3044817AB1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C2C7C5-EFDA-4AF5-AA55-E44444611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BE3A32-5CCE-4C65-A810-1A73FEA6C3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22363A-FDBB-42B2-984F-902D23FCAD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C1A738-3F96-4BC1-87BD-DACE7CEA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271CDA5-D656-4F29-BD80-94B14C92D7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49C2EF-1014-4D0C-9823-E7D9835A2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37F917-6584-47E8-A5C6-B604ADD10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AJ27</xm:sqref>
        </x14:conditionalFormatting>
        <x14:conditionalFormatting xmlns:xm="http://schemas.microsoft.com/office/excel/2006/main">
          <x14:cfRule type="dataBar" id="{9BCA98E9-4B51-43C7-8330-938DB48B4A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F82045-95C5-4F06-8DC4-60930C12D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3A46BFC-1827-46EF-B331-62A30CBD0A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78CCCE-8E57-4EE4-8B10-E1A4D3CC5F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B6B942-D984-4857-B891-18B9F1F336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D8228D-C1FA-4985-BED8-68959D8B9B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B7108-8CD4-4B69-A3FC-B38619D9B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0E433D-26DF-4AA2-B056-F3A706A606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2702B9-FF84-46F8-B877-49224C0CE2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D38C62-5A4A-46A2-9D81-F12BE842F1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489D3D-4345-4B28-AE9A-E9D034596B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E345A7-F5B7-454F-8343-267F4232BB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B8BC23-1C0C-44DC-A106-429C0C9088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F0A0D3-4614-4920-8BA6-9989DED6F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AJ28:AJ31</xm:sqref>
        </x14:conditionalFormatting>
        <x14:conditionalFormatting xmlns:xm="http://schemas.microsoft.com/office/excel/2006/main">
          <x14:cfRule type="dataBar" id="{943982A4-25E5-4D6E-BF5B-5E26C0BAB1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3B4112-9B7A-477D-B5DC-37E7065FFB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C9C009-3B93-4904-8ED8-FC6D2B9976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545C9C-76BC-4381-84CD-ED0BCA882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438CD0-47CA-467D-8B97-BD2D053F7B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475391-D9ED-484D-8456-B27AFAA3FA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6F7A2D-0FF2-42F4-85DA-E4F4CB7ED1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A969D4-4178-4E16-9104-A5DC84D8AF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AK29:AK31</xm:sqref>
        </x14:conditionalFormatting>
        <x14:conditionalFormatting xmlns:xm="http://schemas.microsoft.com/office/excel/2006/main">
          <x14:cfRule type="dataBar" id="{3AEE0A3D-322D-4D59-BD1B-C4BD904A54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971E9C-7D44-4D90-B111-CE23381209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0CF143-B89E-4007-BE8A-1C4EB358AB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6F14DD-2C63-446D-ADCA-79735D4078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D7C761-A869-413D-8098-DD376A5455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5C21F5-3C93-44D0-A7C2-E39FA00FCB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E6AA4C-AC10-494A-955F-C79753D93F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2F8998-0925-4616-A250-276781B600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AK5:AL5</xm:sqref>
        </x14:conditionalFormatting>
        <x14:conditionalFormatting xmlns:xm="http://schemas.microsoft.com/office/excel/2006/main">
          <x14:cfRule type="dataBar" id="{39AD91FB-6C0A-4D5A-97BC-282E83C1DD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C56F99C-34EB-4C8B-8AEB-CF21A185F7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CCA8C0-C891-4942-B556-91794FD5FC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DEA8DE-75D2-4325-8038-5FECFC9F3C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4085D6-1A06-482B-99B5-82B019375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304AFA-67B1-469B-AF2B-1B44045C30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CB342B-8642-46EB-AE6D-46034BD24D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F17F70-6E3F-4B95-A658-84CA8AD772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780398-70CD-4FF9-927B-177088E6CE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D55BF1-8413-41CC-A101-FF297F481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D0577D-0E6E-4AB8-9865-57CB30A35C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736B1FD-9719-422A-BF61-00E3B35BD8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364655-4558-476D-AE47-04A795CA3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300BB0-CCCC-47BC-8829-1687F37715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A3F9AF-80B2-4169-8AF0-E78326C497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5A9FD1-E4D3-4923-8EE7-87CDC0EE9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86C106-3516-4B8E-B871-FCDF3246C7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AK6:AL13</xm:sqref>
        </x14:conditionalFormatting>
        <x14:conditionalFormatting xmlns:xm="http://schemas.microsoft.com/office/excel/2006/main">
          <x14:cfRule type="dataBar" id="{76FD2197-88C8-4832-B33E-49763A0B09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9FD2278-66D3-4568-93F2-1EBD301810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661E4B-E6D4-4543-B070-840E8897F7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024BB8-C8A5-41AE-BA0B-8BBC53ABE3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20AF38-EB13-40B5-9594-27C7025C7A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F27ACF-100D-48DC-ABB7-7E61AA128E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E2F380-99A0-4384-A98F-66EDE92AD4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79B8BB-14DD-420A-96BB-633959D3EE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AK14:AL14</xm:sqref>
        </x14:conditionalFormatting>
        <x14:conditionalFormatting xmlns:xm="http://schemas.microsoft.com/office/excel/2006/main">
          <x14:cfRule type="dataBar" id="{65EE6A70-B53B-4EFA-8550-5D2E78CE4E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A6C83A-C634-4985-B5C3-4AD3997C12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100D9A-60A8-44C3-8FD9-8B126DC574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05BD93-25EE-460A-8BFF-642E57B63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75B8D0-3318-4B24-8E01-52C3076C48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F1D645-7C8E-4AE8-A3ED-871999A4B0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F8FEA4-4955-416F-B4AE-EB14CF5B0B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894228-4806-420E-AD86-FAE932D673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6BE97A-13B4-49C9-BF23-A9874A0A7E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76C609-0EFD-4DC4-B61E-6D919EE246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38FCEEB-D973-446C-A24E-30C0959733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DBF21-8E17-45C4-9F0F-51E07C4E63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90FD1B-BE7D-4E7B-805A-74EF320B20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D048AB-920B-402B-B271-4E2CF02BD9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D2DF29-42B0-4428-83F7-0975C45EB9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8173B7-D927-4D6F-BE3B-65E0856802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C35EA6F-63AF-4C6C-A33D-DC0B4D1A7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6EE12D-9D14-4056-9FB7-7309BF9CB6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8293F6-CFF0-43DA-866D-6A72338C84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AA3BFC-A036-4025-8720-0B5BD8CF6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912C01-BAE4-428C-81CA-DA9180ECEF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E82B69-91A3-44AB-83D7-4442546EE0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F0CDEB-0415-4443-A714-4CDD335491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6AB5D9-98F2-4817-AD45-A6A991AE91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5DBBC8-B692-413A-911F-948F6F3F88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DFD072-A717-4F75-822A-72E3DC57D6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7DBC31-BEEC-44C5-B61E-C483A1B6E1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29E469-067B-4F75-8D03-A11130D239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0B59B3-1DA0-4BD3-AD25-65589D05F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CF22B3-D721-4AFB-A1A8-7DAA35A4FE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AK15:AL17</xm:sqref>
        </x14:conditionalFormatting>
        <x14:conditionalFormatting xmlns:xm="http://schemas.microsoft.com/office/excel/2006/main">
          <x14:cfRule type="dataBar" id="{EF7D9AD3-8DB7-4501-B576-ACD07C1A52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B15952C-3B12-4433-A067-0D7AAF0BDA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A7B1540-92B3-43A7-8BF8-33C8791F5F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949ACF-DD35-4018-8969-6BC6C328B8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455514-548A-493A-8B5A-3ECF88B10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B862CE3-DE01-425A-BDD4-A446B6490E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32F872-508A-476C-A9F6-CC7A46CE98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CBCC5E-39BC-469B-A52B-C65D499DAD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AK18:AL19</xm:sqref>
        </x14:conditionalFormatting>
        <x14:conditionalFormatting xmlns:xm="http://schemas.microsoft.com/office/excel/2006/main">
          <x14:cfRule type="dataBar" id="{0EB3A787-051C-4E39-ABC9-7423CEBD2C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7F7784-BFCD-4479-8731-67D7221B4B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EAD270-F134-48C5-A93D-B29F2C6501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61C917-BF14-449C-91AE-9B2637463B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566A72-AE46-41BF-8CC7-88C45C208CB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D1197F-468D-4EF9-8DCA-DF4EBEEFEC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F20C7D-82F6-4493-AFDB-D725AC73BB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837C30-73AF-4FC1-8FD3-64B8CB5691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DFA141-43E3-49DE-8421-8EB06D3217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7F88D1-9CF5-4B9A-AD73-22E1A99FBD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50EE68-2273-4D9B-B477-366547B27D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215C9C-3193-41F5-9AAC-CF1F0E3602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E2C37A-DD08-4938-B221-7B32D4CAE6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F93602-BF13-4783-81B5-27BDC9F927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C3BD9-CFB9-4566-8B07-1094F28142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BDF69C-074C-489E-9F1E-02F2D496D8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684CB0-8700-4663-A933-91B9A85502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68E37A-5AEF-4397-8907-BFBE39A3AA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3F550A-281D-497F-8C73-0FC901CDE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A8C551-93BB-409F-ABD5-DE08B76695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7574E1-EC01-45C7-AD46-C4CFCD537C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E8BF99-F706-4E23-A443-454CAA9ED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B9BC6-5C35-4908-B462-0F83E45FD6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1C3E6B-72AB-4035-A222-991D9B813D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941CED-0249-4892-AA95-798AA2D79A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E971941-6C97-40A4-ACD8-72E978AD2C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6AB9AA6-8779-49CA-A4EA-7BBA73A801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F4F48B-822F-437D-A0A9-40960692D1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122A80-9779-490D-8680-F4960B6F5A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A8A4812-3020-4B63-90EC-1B2E01839E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AK20:AL20</xm:sqref>
        </x14:conditionalFormatting>
        <x14:conditionalFormatting xmlns:xm="http://schemas.microsoft.com/office/excel/2006/main">
          <x14:cfRule type="dataBar" id="{96D0A6D2-066B-4411-82CA-4042AD9656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0D1E75-E1CA-43D4-AD25-31085E5928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42E528-B704-4329-AAF1-49BDCADD48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034827-EE20-4130-8AB8-F87D8D39EA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310A66-6DD1-441B-997D-9375E82A08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9AF000-9E4C-4CFD-B21D-F42C8F7AF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8C10F9-C93D-4F7F-9618-9463736361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C963CE-0780-4DCC-BF49-DAA751AAD3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AK21:AL21</xm:sqref>
        </x14:conditionalFormatting>
        <x14:conditionalFormatting xmlns:xm="http://schemas.microsoft.com/office/excel/2006/main">
          <x14:cfRule type="dataBar" id="{8CBCE94C-7185-460D-B23B-43068D1E1B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F7A072F-4275-41EB-805D-89B145A786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080F48-972C-4C17-AEB5-103B390420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6947F2F-5517-481C-969D-E51870D19C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A6C555-C13A-4D71-A5F6-B85E301D67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CE4159-ACA3-4F7C-A8F8-2E56E27F7D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C8535CF-E637-44C7-A0DE-D53EAEC5A5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FCC173-EC34-4397-8500-99650482E8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07B535-8A5B-4624-B20A-C6FDB2C9C5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E55F24-411D-493D-ABFD-91513F02AF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52A58E-F223-44E7-83F7-5681FC443C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3C1667-8192-4C04-880C-1E7A6D0158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E51D47-DDC0-44D0-A995-444FE7E401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0F5E4C-B2B1-4A4B-BACC-B8D41AD720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25E415B-64E4-435E-9CC2-BA6B64AFFF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04567E-DEAA-43B2-AAD9-C5B1AB2CE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030C9B0-1B8D-49DD-9200-05B31690D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5938DD-9FE9-40C6-8073-254FF06D0C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D61061-2CD5-4737-879D-EAB689C3FB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3E9E09-8443-4AEC-B15E-B3176FB68B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238594-C051-49DB-BE46-299A657380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FC325C-6BCC-4792-9FB2-8C2577C1A9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0EC080-D2B3-4E30-B625-EF8DCFC4FD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94E469-AF0A-42F2-B5F4-9198CA36CA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FC3C71-D393-4955-9994-44793FD74B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CB73F7-C0E8-485F-85B8-9924583034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4C80676-E9C6-455D-AA55-7650365CEE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473EA1-D18A-477B-A53E-65336225E8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9E0C18-6A6D-45B4-A32A-0EFA99B78E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6D6433-88AF-4A89-A3FF-C374FE9A87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AK22:AL22 AK24:AL26 AF23:AL23</xm:sqref>
        </x14:conditionalFormatting>
        <x14:conditionalFormatting xmlns:xm="http://schemas.microsoft.com/office/excel/2006/main">
          <x14:cfRule type="dataBar" id="{DE4B26CA-2DCF-4380-96A5-186198B55D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623DE6-FD3A-4291-948C-D9F10D7DEE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915A5B5-A035-4D50-BA4E-125C2C0CD8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C453B22-B1CB-4CEE-86D5-B00CF38B48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635B4D-CD69-4346-88EE-6FD10AF3BB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A97772-CE99-493B-8621-FDDE0BFDB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4D1A61-EC91-42A7-840C-425C1F0C9D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E6B39C-7F42-4DBA-BB4B-55B80BCC85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AK27:AL27</xm:sqref>
        </x14:conditionalFormatting>
        <x14:conditionalFormatting xmlns:xm="http://schemas.microsoft.com/office/excel/2006/main">
          <x14:cfRule type="dataBar" id="{651C5D01-741B-4676-B75A-EC012B6E9B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DE4A35-D541-40B2-AF81-3E2EF5982A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AO5:AO22 AQ5:AQ33 AO23:AP23</xm:sqref>
        </x14:conditionalFormatting>
        <x14:conditionalFormatting xmlns:xm="http://schemas.microsoft.com/office/excel/2006/main">
          <x14:cfRule type="dataBar" id="{9AAFCA5C-AD5A-4B72-A473-246EC35DE2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D555C50-AC45-42F9-864B-4BA0AD9DFD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D4AEA1-869A-4927-844D-91AB4F3AA1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F3DFAE-65F4-4A35-919F-14C765AA40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B7134B-7B65-45D1-B701-7EA9320787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60EB40-C98A-4A92-B79C-77D8F8E319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A6203E-D104-465C-BAAB-B8A011E93F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AO5:AO22</xm:sqref>
        </x14:conditionalFormatting>
        <x14:conditionalFormatting xmlns:xm="http://schemas.microsoft.com/office/excel/2006/main">
          <x14:cfRule type="dataBar" id="{7602D407-5FEC-4899-B3E3-6BEDE08AA3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8605B1-396A-436E-80FF-3A2557F422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E70A15-6FC0-47A6-BADC-94CA6D658A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AO19:AO22 AO5:AO17 AQ31 AQ5:AQ18 AQ20:AQ29 AO23:AP23</xm:sqref>
        </x14:conditionalFormatting>
        <x14:conditionalFormatting xmlns:xm="http://schemas.microsoft.com/office/excel/2006/main">
          <x14:cfRule type="dataBar" id="{612191AA-0F57-4A40-AFF4-CDC1C5BB14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50A4C1-5353-44C3-BED8-A6E510C6C7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235366-8B52-4764-8072-5451C9E060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AAC686-9840-479E-A87F-A18CBCC458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4CEC2B-B6FF-4873-B543-0619C327A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F18A5C-B477-4742-A39F-10F76609B0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C7AA8E-79C9-4BD4-BAAC-FE03FF54D7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2EEA9D-AA91-4749-97F0-AA74F9903D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622C2E-209F-41FC-A079-135C4C4BB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010BB3-A7A4-4712-B59B-AA0FB1ADA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59BC87-8424-4974-A912-6ECCE5B3F0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069B92-C78F-48DE-AC91-7089A8419B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9523DF-6831-48CC-9B8C-4081018A9B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CA271D-9263-4F23-A010-1336B7BA37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EB79F94-4B3E-4FE9-8580-3D00415ECD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B19C10-8B2A-4FDF-A6D6-16835AAA61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79932B-1F58-4440-9E92-FA9882B1FD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AP5:AP9</xm:sqref>
        </x14:conditionalFormatting>
        <x14:conditionalFormatting xmlns:xm="http://schemas.microsoft.com/office/excel/2006/main">
          <x14:cfRule type="dataBar" id="{A6A6B056-2E5C-4D2D-9C99-4BF5773387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01A4FA-1D4A-4971-BD39-897DD7F149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0588234-6508-41C9-8C9F-549F1BA964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EA12DA-73F3-48CD-BAA5-1602FE1549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237770-E82F-41B5-9A7E-8982675C8A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8B0941-2973-4C5A-906E-902E0E32E9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A9142D0-124F-434F-AC88-60A34FEA9C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7FDCE2-E6A1-46EB-BFFA-077FC225EF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AP10:AP11</xm:sqref>
        </x14:conditionalFormatting>
        <x14:conditionalFormatting xmlns:xm="http://schemas.microsoft.com/office/excel/2006/main">
          <x14:cfRule type="dataBar" id="{FA3105CD-7524-4B2E-A3BC-BAB4119519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732BE1-7BF9-42D9-9486-ED8EE511A6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AB9DBC-B759-4F51-840A-124E394B0D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8D80A2-E832-484C-8D5F-5660765912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243DEA-0BC7-4A57-80F8-9746C26DF4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15CAE1-14CA-4B52-B0AB-E92B21323B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2929BF-B63E-4E39-8FEB-F04103B879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CB2B31-998C-465C-A295-D23F98ACE5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BB92B9-B989-4974-9267-63DAAB9159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966267-8FC9-4B40-B187-56560587F8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2D57FB-B9D7-4EB8-AB6C-E6BBFCF6F4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ACF968-2558-48FD-A606-CDE486BE2E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7C8C31-B805-4345-B00F-3C660067CD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ABA23E-9480-4CED-8718-AB0F38244C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AA8377-6703-4B96-90F8-266654A34E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C22C93-B896-4557-B0A2-2585F32ABF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66A00FD-4AD2-467B-8FE8-657B7F8197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DB8EBB-44B9-48F7-91C9-AFE0C49944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F88D189-4FBD-42C3-A2F4-EAE800F363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BD677F-4C98-4FC5-8B50-6698027F1A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26CA10-1E6B-4D4C-903E-35D57EC08A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DA3251-5176-4928-A7EA-1ACFDD3807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3B0B2B-1F44-45FD-AF9D-2FE2FE44E3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115DBF-1EC8-489D-A181-72E4890FB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22629A9-C4D8-4BAC-AC4D-84BE501401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81D13D-7C89-45AF-B09A-516979F147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207F7AD-E800-45F9-893B-F82B99F200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E8E9C08-0E0B-449D-BF31-41249F43AD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8267F37-CC5D-4D28-A7B4-97200E05B2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1C79F6-C84D-4D26-BDAC-5D98AD39B8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AP12</xm:sqref>
        </x14:conditionalFormatting>
        <x14:conditionalFormatting xmlns:xm="http://schemas.microsoft.com/office/excel/2006/main">
          <x14:cfRule type="dataBar" id="{2EF63FF5-FEF0-4E0E-BF64-340E7B6320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D39C04-E77C-4D58-BB05-DE39673FB2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1A1A1FC-5D2D-4A8B-B2BC-F461B694EF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660B9E-51D7-4FBF-B820-CB62B19A7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1E900A-11F0-4C41-AF11-1CF9436CCD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01825A-D11A-4AE1-A285-F3CFBFAAF2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AF7A43-4120-4A11-A90A-B017765D60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E5FD41-B68A-4CE7-AB17-7095EF6117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AP13</xm:sqref>
        </x14:conditionalFormatting>
        <x14:conditionalFormatting xmlns:xm="http://schemas.microsoft.com/office/excel/2006/main">
          <x14:cfRule type="dataBar" id="{46D1A317-8BF9-4D93-AFEC-8B6D7B69E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23118D-FD1F-4B41-934B-D9D8CDDAEE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269930-383C-43B4-A010-5326CBD59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136B37-1DB0-430A-AB5E-9D0327D43D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8E6194F-985E-4CC9-BD5D-797619A8EC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5EEA410-85F7-4373-B70F-32941E3B4B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76DB78-72DE-41A3-83B0-45F5BB306B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32B93A8-9B96-4BCC-BF7F-CEC744438A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D3F9E0-30F1-43BA-93D2-26C3F62D8C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9831FB-0541-43E4-B04B-F70C51CA6D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F40E7A-CD30-40E5-86E1-B2EA8A32D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DD3E07-399B-45FF-B750-789DC917D9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8551C7-A75E-4544-9507-66DFE03304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6816F6-D5DA-4857-9992-F5F3B8C430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31753C-C093-4CC0-9B91-912FA29D55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1C2B7B1-4FC8-4DA9-B184-00DDC9C3A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C75E9D-CE4C-4A7C-97CC-16CC56FAD3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9E583DC-C51A-4E00-8726-8496F719AB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572496-C4D7-4D2C-993D-0FA0676207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916535-7613-4592-97C6-4D1FAC5E0D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0E9E1D-2809-431B-9FBF-D89D243D71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84E877-E8FF-4195-9093-EB4588D65D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BA13B6-534E-4B40-8DE7-4CC1F9BAD6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DA210F-2D18-426C-BE50-9B673B1E66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88BFD9-4167-427D-8CCA-809B818A55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295649-7E60-479F-A8F7-69A318A838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5E8852-E5BE-4FD2-A4FD-BA6B0E720F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76F195C-4BD9-4DB3-9350-9A918EC805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F8D200-BBE9-40FD-A4E3-446C281C83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EC6AF4-7F2B-4866-947A-B5CCE1CEA0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AP14:AP15</xm:sqref>
        </x14:conditionalFormatting>
        <x14:conditionalFormatting xmlns:xm="http://schemas.microsoft.com/office/excel/2006/main">
          <x14:cfRule type="dataBar" id="{E80A059B-8A7C-4417-BD68-FE18138951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F36DEC-2179-4C52-9531-36E0E0D072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4BE7EA-5813-4B10-BF55-8DE0BDCD8D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550555-0154-41E2-A34E-5A48D4EF42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E89D52-EDDA-4B51-9F27-302C6E17BB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22C0699-8E63-4174-BED4-FD36D897F1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4A1C89-81DF-48C2-91CE-E1BD51708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719AF2-0869-4546-A888-3DAFF4A5BD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DA5470-8BA6-4265-9B31-AFE3B0AD8B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878E3B-4E33-40C6-819E-F38A9182CA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6E97672-E816-4B93-B710-A5F66F7118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9EC9D0-0EB9-4AA8-ACAC-701DC63CC4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8B70E1-E262-412A-8564-B26A02CD81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775986C-C60E-48AF-8FA5-8C0985093B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02C0D7-E0EF-435F-9979-4DE0740FAD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D60C46-18DE-425C-A778-E62F21A7E9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313F14B-5247-406E-9417-45F2CF78BD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B5911E-85A3-4F3F-B4EF-766EC7F94B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941904-4A27-47FA-97AD-921B56435E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A4F5F5-06E6-414D-A469-359B87B900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9F2188-631E-44CE-A24F-F81F745B7F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B62AD5-A991-421D-9049-400FBF850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D78687-95A7-4A36-8845-718A11158E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66E0FA-A935-4207-84FF-B8110EB166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B04EBF-D288-47CD-9FA9-8CEA6BD1CD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6B5FA9-40B1-4C33-8D15-B62A6E0940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1323EE-ABC3-4EB0-BB0C-9F4D0229E5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17D7A0-542D-4BB6-B789-CE6E14941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0266D0A-EAF4-4A72-AC59-74DC3580D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44DBFDE-FE60-4D2D-A1C5-43E7D1F9C4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AP16:AP17</xm:sqref>
        </x14:conditionalFormatting>
        <x14:conditionalFormatting xmlns:xm="http://schemas.microsoft.com/office/excel/2006/main">
          <x14:cfRule type="dataBar" id="{DBEDC057-F5B3-433D-A72B-5F2F7187AD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871B7D3-B7DE-4DBF-8AE4-1AD4B8B749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F2DB66B-5C10-4618-95FB-71D244C8E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ECB9D00-9564-4E96-AC5A-AF4A579CBE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2F9E75-A8C9-4C2C-811A-AAC9D1DD31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66EC9F-1D36-4D0C-B71F-168AABEB87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3D9301-7BED-423C-804F-13C249F0A5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F8D2BB-2A7C-4E85-8178-D91059873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AP18</xm:sqref>
        </x14:conditionalFormatting>
        <x14:conditionalFormatting xmlns:xm="http://schemas.microsoft.com/office/excel/2006/main">
          <x14:cfRule type="dataBar" id="{49316936-5836-4B40-A191-FB688DF607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EBD378-EAD7-4075-AA0F-35C3672DDC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8179C2-6A0E-4EA6-8471-2D9ADACD21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E88830-9420-4381-842A-619959E4A1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A6EA99-3A68-4023-AE15-948A34F13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67D119D-8E2B-4D0B-9376-A19D82DADD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4DC4F2-5FA7-476C-AFC4-4713852107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112CD3-239F-44C8-B9D2-B37C112A8F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AP19</xm:sqref>
        </x14:conditionalFormatting>
        <x14:conditionalFormatting xmlns:xm="http://schemas.microsoft.com/office/excel/2006/main">
          <x14:cfRule type="dataBar" id="{72A73194-8D6E-43A5-AA27-6FC274B5DD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444269-A2F2-41C1-9B6D-112D0BC7ED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684082-4111-4C5D-B653-962A52DB95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DAE64BF-8E30-41B6-995F-CC10EE26B2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A7936B-2F25-4326-B0B2-0230C559B9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ED6B45-2507-4E48-8DF2-F3598EC3DC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DDBF4A-CCDF-48BD-B64D-EC53345710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E9D44C-F7FF-445E-80B9-3123DAB2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AP20</xm:sqref>
        </x14:conditionalFormatting>
        <x14:conditionalFormatting xmlns:xm="http://schemas.microsoft.com/office/excel/2006/main">
          <x14:cfRule type="dataBar" id="{5917C962-A2CD-496F-905A-5C28FCF8F7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2403768-7A3B-49C9-9D00-CDD684D715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61E10D-2A05-4071-BE0F-A2A00E0C74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21CBF3C-D175-4CD6-8823-7434023F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3BF876-6E58-43EC-AEC0-8930288BB4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F517B0-6926-4F20-8AD1-1A9E89F68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E5699F-2B45-4328-A28A-D14AC0DC1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DF9964-0867-4ACA-8BCE-0A89F29522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58F257-A591-4223-930E-0C28BB466B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E1B8E0-C614-4B4F-8A41-E86DA255A5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98727B-61EB-4066-B020-FE667D9446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42D80D-60D0-4807-9A1C-044E0D24A9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0810BA3-1AAF-4BA7-BD0E-63FA74EC1A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06C6D5-64E9-4A32-9D8D-98B490316F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3C3AEC-DE7E-4914-8228-F3906A26D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B05EA0-6079-43D4-B052-4EBAD8DD97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B4C34C-66C3-4F91-802E-D88CD9E60A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AP21:AP22</xm:sqref>
        </x14:conditionalFormatting>
        <x14:conditionalFormatting xmlns:xm="http://schemas.microsoft.com/office/excel/2006/main">
          <x14:cfRule type="dataBar" id="{AE9C5703-81DC-43DE-9756-ABFBFD838E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C8F01D3-06A5-4983-8921-697A739B7D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530AB0-62B9-4157-BE6A-D7007E6E54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AQ19 AO18</xm:sqref>
        </x14:conditionalFormatting>
        <x14:conditionalFormatting xmlns:xm="http://schemas.microsoft.com/office/excel/2006/main">
          <x14:cfRule type="dataBar" id="{606E6336-5D52-4A76-A8CD-590BA8516A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BA9F330-08B8-47C1-A3C2-B260DA14EF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0A10B4-3145-4E52-9C47-F353348C05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02C2108-DC1F-4260-AEA8-ADFFB89BE4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AQ30</xm:sqref>
        </x14:conditionalFormatting>
        <x14:conditionalFormatting xmlns:xm="http://schemas.microsoft.com/office/excel/2006/main">
          <x14:cfRule type="dataBar" id="{4EC5E647-9F00-4ADC-A123-C59904CF7E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AQ31:AQ33 AO5:AO22 AQ5:AQ29 AO23:AP23</xm:sqref>
        </x14:conditionalFormatting>
        <x14:conditionalFormatting xmlns:xm="http://schemas.microsoft.com/office/excel/2006/main">
          <x14:cfRule type="dataBar" id="{4AE51CB6-15EC-4733-82D3-1C600996BF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09A749-39FC-4A20-B39F-9FE6C3384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7D74D8B-2147-4370-888C-D40F611CE5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AQ32:AQ33</xm:sqref>
        </x14:conditionalFormatting>
        <x14:conditionalFormatting xmlns:xm="http://schemas.microsoft.com/office/excel/2006/main">
          <x14:cfRule type="dataBar" id="{D96FEA55-40F9-4605-87F2-EAFC779F55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5613376-5C15-4F55-B178-CCFF29AD34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AT5:AT22 AV5:AV23 AT23:AU23</xm:sqref>
        </x14:conditionalFormatting>
        <x14:conditionalFormatting xmlns:xm="http://schemas.microsoft.com/office/excel/2006/main">
          <x14:cfRule type="dataBar" id="{8D7E2D8A-1662-4C35-AD46-A77649E086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63D529D-5099-4A5C-8BA9-2D4506E32C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F18A143-C1CF-4632-9270-E5D1C53FEE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3B5E2A-6E2E-490B-BDFC-DA9E8397F7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9E8196-2E62-4170-8ED3-046A55AE3E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23B2A1-11F4-4D9F-A0BB-3EE450BDC9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154EEA-0CBA-4EED-8DDE-6BB763432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AT5:AT22</xm:sqref>
        </x14:conditionalFormatting>
        <x14:conditionalFormatting xmlns:xm="http://schemas.microsoft.com/office/excel/2006/main">
          <x14:cfRule type="dataBar" id="{92D855DE-31D0-4335-B41E-55A689EF89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D1F3F7-D141-4959-AF9C-D6CDDD1DB0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F9E568-AA7D-4F43-92DC-6089607307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AT14 AV14</xm:sqref>
        </x14:conditionalFormatting>
        <x14:conditionalFormatting xmlns:xm="http://schemas.microsoft.com/office/excel/2006/main">
          <x14:cfRule type="dataBar" id="{90E2E3D0-ADCC-4A94-BC63-F0CF63CE66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DD61E4-EABC-45A2-B51F-ECBAB32869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EE04DF-0C0A-4433-86EA-2416FE2170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AT16:AT22 AT5:AT13 AV5:AV13 AV16:AV23 AT23:AU23</xm:sqref>
        </x14:conditionalFormatting>
        <x14:conditionalFormatting xmlns:xm="http://schemas.microsoft.com/office/excel/2006/main">
          <x14:cfRule type="dataBar" id="{7E25CF36-7B39-4125-A90B-400A3EF3A3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AT16:AT22 AT5:AT14 AV5:AV14 AV16:AV23 AT23:AU23</xm:sqref>
        </x14:conditionalFormatting>
        <x14:conditionalFormatting xmlns:xm="http://schemas.microsoft.com/office/excel/2006/main">
          <x14:cfRule type="dataBar" id="{F71089F7-E6FD-4A9D-A571-04C5EF5CF8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86650EC-7CAC-4248-9EB9-4C9F71FEE9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797471-609D-4C8B-8355-0A065A7B5A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6C20C1-0F31-401F-9CD7-154B686349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B06FA2-F15E-4D9B-A5F2-56599E336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0C0287-C55D-4A6B-8BB2-C50EB92983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42EAEE-538D-4188-84FB-C909D24F3A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2E6188B-A196-4BB6-AB2E-FBEA06A5A2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44FCFA-582D-48D8-B8D6-580FC65383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11FF8C3-1412-4065-B5A7-F94296828E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8A22FE-F892-4114-A4FA-9C8B605D44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D70072-22C9-43F9-B91F-6A30E2F04A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374F067-377C-475E-BF92-02102AAFCD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4CF764-7CBE-4F3D-8F71-F86EC8C97D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B9DBBB-1060-40F9-8B4B-B76DD13EA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25FA0C-4B83-4597-A66E-B0F3A18F8C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706E93F-F04B-49A7-B5AF-06B7B9F2BD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6F33DC1-7927-43C6-BE17-FD8A4B063F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8449E1-35FD-4965-AA5D-A6E3FF76E7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574BFC-5263-4376-8161-7CC66BEC6A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4A741E-0B13-452E-9382-D520F19A8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DB7B434-7836-40F3-8029-9B368365C2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F8C1AA-02D4-4647-AD71-48BA00BD1B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9748B7-70B4-45CD-8390-21B5352DF3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E2EFC0-4277-45D6-A2B2-BE34967C59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1A262D-297D-485E-ADAA-2BB0C15E90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5569281-9FB9-4237-A085-D78DDDA1FF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9712D0-72C0-44DF-A346-5FFB95CAE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1EF4DF1-21DF-48DF-AFE8-88D589D6B5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BD8CEC8-A202-4016-ABF1-90B15152FC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AU5:AU7</xm:sqref>
        </x14:conditionalFormatting>
        <x14:conditionalFormatting xmlns:xm="http://schemas.microsoft.com/office/excel/2006/main">
          <x14:cfRule type="dataBar" id="{DF6910FE-A285-4984-9F9B-038EA94A91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24D3BD-C348-4E37-BE95-BE5E236306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910626-B55B-48BE-B509-6883E4757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B15363-9223-4F9C-9214-731D4A592C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1BF3291-F248-4B7F-AC0B-ECEB25629A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85CFC3-F95E-4A1A-9BC4-C4F5610111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A74B900-F814-4A6B-B5D6-B75B8F3F7D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573E5A-E972-4D89-A60A-A53D697A5E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E1A853-6A01-40A3-B038-A3F2CB0882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23A00F-2E2D-4428-A85A-482DBAA54E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95C86FD-6AE7-44FB-80AF-08AC515055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B1974C6-7A1B-4E4A-ADFB-10BA67FB74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A53A8DC-6902-485E-B829-E4979A0685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0F2758C-0266-4EC7-975C-0681DD2475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38CA28-860F-4F4B-857F-BFC31F3B78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B36FC0E-914A-40D6-818F-09590FD96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209A39-C5AD-4120-B776-4C3A1E0C3A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D7E825-2F0B-462A-A03D-DEA99CFB6B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C2A251-5F3F-45E0-ADAA-AF31480082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FFE7AC-98B3-4F6A-AFC7-BF7D815E7F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447DFFC-B3ED-462A-A451-E21565D8F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D14845-BC3B-495B-A155-C016DF014B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52C2BB9-6B2A-4557-9607-9CA390B6A5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CFF3511-FD58-4F5B-95E5-BB12EAFB10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51D5FD4-3B24-4B3F-ACD7-A5F220008D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42D01B4-FB81-4ADC-9451-D25C2741F7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4D68FB-8E29-456B-B04B-9A6447A47B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EB09BB-C31C-44B3-876C-BF01EE28E0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6502D7-32E1-422F-B0C3-EE0E2767B7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FCFD6B5-75D3-4760-92AA-E26DFF1FFE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AU8:AU11</xm:sqref>
        </x14:conditionalFormatting>
        <x14:conditionalFormatting xmlns:xm="http://schemas.microsoft.com/office/excel/2006/main">
          <x14:cfRule type="dataBar" id="{4FD021D0-5F6F-4615-B7B9-0E398E4495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2B5B9E-0EBC-4056-8E08-50433918E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F114B98-8391-4BBB-AE5D-53B9685C55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230D47-6BD0-4419-8F0D-75397BD550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7EC715-7521-47F7-99DA-0D8DE6B360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1BEFAAC-A39C-4193-9CA1-121F0DE7B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868ACF3-C90E-485B-868F-07717E28E4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401992-9B54-4DD4-B9D4-94DE189839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AU12:AU13</xm:sqref>
        </x14:conditionalFormatting>
        <x14:conditionalFormatting xmlns:xm="http://schemas.microsoft.com/office/excel/2006/main">
          <x14:cfRule type="dataBar" id="{F49FC3B8-5397-42DC-85D1-9B435356DE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983635-58C3-4500-BE79-59443DDCF09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C96995-84C3-4F27-9784-AFD1C6D65E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5B19701-072B-4D76-8F74-E9EFA31253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BEADD04-3D0F-4622-931B-B13D3812CB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17E9C8F-11C5-4633-876B-3DB5CE962C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E633E5-8796-42E0-88D7-3C17F35A9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3CED1AC-61B0-4063-9024-85B117CF6C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3A8D0D-0D9F-4D49-AED8-06C6B47DC3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050786-92A8-4574-954C-282A44309D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37DCE10-D2D8-4245-A72D-E6FE1C2429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CB6491-4AAD-4E20-8A97-9DE6FF64A9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22EE98-FF85-49F2-B83C-BDF416C79C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08907EC-72CB-41ED-B2DB-C259547F1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6B45B22-53AC-43B0-8567-0C044539B1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10DC0B9-EC92-48C4-B129-CD6319C77E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806AD6-1B0B-4035-BC91-46B8A1546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8D397BC-0390-4F37-8B5C-8427D8684E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79DD626-2552-4A67-A046-9FFD83FF41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0D8F6BA-4DB8-43C1-9FB0-223BFAD374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D80F54-D6A0-4C0B-8A69-C49B5B8438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8C7982-7FAC-4D47-9490-3F61B18615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6AA2742-73FE-49E5-93BF-3758544020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16BB459-A45A-45FF-AAC6-CAAF1A9CF8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0F1E504-7175-45F0-9031-530A7430D0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3D0482B-045C-4078-AC51-BB387A1AA7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126A48-F2C1-4E71-883C-34F08B05FF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28C2A-BF06-46E4-8705-41F3E427AF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FEA475-1E3D-4A0A-93E5-2A0B0C066A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784FF7C-82F5-4AF2-9290-5255520CB1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AU14:AU18</xm:sqref>
        </x14:conditionalFormatting>
        <x14:conditionalFormatting xmlns:xm="http://schemas.microsoft.com/office/excel/2006/main">
          <x14:cfRule type="dataBar" id="{ABAF9522-78CE-45DA-984D-1C575585A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6CEF3F-DF84-47D1-A11B-618C2D7E0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9834285-99CD-4DE6-961F-EF3B34184D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787D036-068A-4A82-A308-3E934A0C80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9130DB-1A73-4768-9F1A-FE9B9B6B1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5490958-3E27-4AEB-8DA8-720E60AEFF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BCDE8A-116E-48DB-A94E-7112C09047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C601E2-3EB4-40C1-A69D-5708BAE04C9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891AD7-6D06-4436-972E-C2E42CACCE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8637660-58A1-41BF-8FF9-E67E2A5885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6890EB0-ABBA-426D-B787-7E9FCFFB41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EE11E3-D2A7-4708-A2DE-96F441E29B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4D9470-A6D3-4048-A574-20415BA347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147302-4212-4B71-ABE0-9508A3EDD6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3543FAC-3208-4BC2-B52D-0AD84B9434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48179D7-94AB-4BBA-AA00-B3E3FA81B5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9D7903-EC50-42D4-A2D3-40D77848FA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D9096F-24AA-40DB-A531-BA87CD113F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00C9991-A910-40DA-8C51-AC8180AFC9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81EB66-C1A7-47A5-BEC8-B16F1E0FA5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83CB45-0DD9-4510-9D52-2DA6E6300B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A003E1-C5B2-4216-8701-FAD42A9323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9DC7F4-0DD6-4473-B23C-EDCF2EF26D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29A8EF8-37DA-45F6-90B5-DD29B71E2D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A1739EF-695A-4097-9C39-1FFCDA77DF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9D0729D-4F88-4298-96F4-E2ADCAA6E1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1F8A62-2BBF-47C7-9E57-B738F3ECEE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36D2B8-EE15-4CB5-95AF-95E9770BC2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48494B-B0B2-43C2-94E6-C37752927F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DF0C06B-D7C1-4C6C-868E-03C4DCFDFA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AU19</xm:sqref>
        </x14:conditionalFormatting>
        <x14:conditionalFormatting xmlns:xm="http://schemas.microsoft.com/office/excel/2006/main">
          <x14:cfRule type="dataBar" id="{589E9C01-BC7F-43ED-BB4A-193B9C09EB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E69CFD-52B0-46F5-9137-9F63FA79F1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18B5FF-F63B-41C2-B642-F83952C8D4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8027D35-EFD1-41DF-B9AC-B2A38DAD81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2BCDAB-7BF2-48AC-AA3B-FE474B0EFC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AB961C-47FF-42A6-B180-26C4711C2E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C85B31-E6CF-408B-8773-0CA16B33BA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1F4B835-A9AB-4755-81A8-C278C15152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AU20</xm:sqref>
        </x14:conditionalFormatting>
        <x14:conditionalFormatting xmlns:xm="http://schemas.microsoft.com/office/excel/2006/main">
          <x14:cfRule type="dataBar" id="{F7B844EC-6629-4D2A-B6F6-4A6E81010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89BE6F-793D-4568-8D1D-B2714B6740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77FA23A-E79C-44F8-A7C9-9F41FD169F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43D8CE5-DBE5-4F27-8C31-036CAD6358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CED0946-B967-42E7-8011-504B3AACBD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239F79-A8B7-49D8-A78A-4C661E93D3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D85793-2C82-4038-979F-239F25B2F3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67BEFCF-EC11-4FF7-848E-545DB299A3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44DCDB4-A117-4063-B116-AB27B7DCB9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536D2DB-C3CB-4200-8EFD-A07763806F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1785BE5-35DF-4C08-9A70-64386D011B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4DD4117-3F66-46F9-A4E4-41F1BF4095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47C6AC-8F6C-43E9-AA86-7AA82BFCB2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368BA6A-A3E6-48E8-AD27-0FEF3B0BAB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AB9D1E3-783F-466B-8ACE-5CB92F915D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0A6D47B-FD56-4502-BBD2-E3E87E382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0A4FDFC-1421-4379-8561-82E156A2A6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E4F74C8-0B7D-4667-AA0B-0229128B26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5D99458-4FE4-48B0-9719-E7B9A2CFA5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E819FB2-C79E-4746-92BA-2A1BFA709C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B211FF5-945C-4E29-9DA7-6F284E9F7E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B6B9DB5-8F61-4E33-89D1-CA9C51C567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1227214-A5B7-44ED-B10E-9BB01B1D97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1B44227-F646-4F6A-83DF-C941BC647A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D8D228-D132-4670-B52D-5407DDF961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F91AC20-A8BA-4328-A9DE-0DE846F879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B7820AC-FD7F-4A5E-9696-43C514C018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B26081-9F3C-4B2B-87E9-6E9C3222E6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1929842-D97B-46A6-8CE6-F8865C0969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DDCBA0-D056-44B5-A162-54ECDA54BC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AU21</xm:sqref>
        </x14:conditionalFormatting>
        <x14:conditionalFormatting xmlns:xm="http://schemas.microsoft.com/office/excel/2006/main">
          <x14:cfRule type="dataBar" id="{55C31740-6913-412E-9D41-B03EC33A77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25EA8B-C1F4-4F22-9732-7F6300402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9DFFBC7-1742-455B-A313-DE4520D1D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3005775-FCCE-4439-B00B-3BD282586B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950D2FB-5FB6-48BF-B3F9-47CEA2A23F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3AD436-7BA4-4CD8-ADAE-45C75563E1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03DDE0-3216-47B5-9B8D-5339DA49F7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61A291B-DC99-415D-9DF4-CF0F24DAAE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AU22</xm:sqref>
        </x14:conditionalFormatting>
        <x14:conditionalFormatting xmlns:xm="http://schemas.microsoft.com/office/excel/2006/main">
          <x14:cfRule type="dataBar" id="{B71D7111-5AE3-4201-A4DD-CB51EAFA46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E49B14-4769-46DE-B3F8-6D4490A296D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960E739-50B0-4FF7-A0A9-E9640D11B0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F831E9-A160-4BA4-97CE-56F2ECD6EB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AV15 AT15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7473C-211C-4DDE-9BF8-080C0167838E}">
  <dimension ref="E1:AM33"/>
  <sheetViews>
    <sheetView showGridLines="0" zoomScale="50" zoomScaleNormal="50" workbookViewId="0">
      <pane ySplit="1" topLeftCell="A12" activePane="bottomLeft" state="frozen"/>
      <selection activeCell="C1" sqref="C1"/>
      <selection pane="bottomLeft" activeCell="F14" sqref="F14"/>
    </sheetView>
  </sheetViews>
  <sheetFormatPr baseColWidth="10" defaultColWidth="28.7109375" defaultRowHeight="18"/>
  <cols>
    <col min="1" max="2" width="0" style="34" hidden="1" customWidth="1"/>
    <col min="3" max="3" width="4" style="34" customWidth="1"/>
    <col min="4" max="4" width="1.28515625" style="34" customWidth="1"/>
    <col min="5" max="5" width="30.85546875" style="34" customWidth="1"/>
    <col min="6" max="6" width="13" style="34" customWidth="1"/>
    <col min="7" max="7" width="10.7109375" style="34" customWidth="1"/>
    <col min="8" max="8" width="2.5703125" style="34" customWidth="1"/>
    <col min="9" max="9" width="13.7109375" style="34" customWidth="1"/>
    <col min="10" max="10" width="21.5703125" style="34" customWidth="1"/>
    <col min="11" max="11" width="19" style="34" customWidth="1"/>
    <col min="12" max="12" width="5.42578125" style="34" customWidth="1"/>
    <col min="13" max="13" width="1.7109375" style="34" customWidth="1"/>
    <col min="14" max="14" width="31" style="34" customWidth="1"/>
    <col min="15" max="15" width="28.7109375" style="34"/>
    <col min="16" max="16" width="18.7109375" style="34" customWidth="1"/>
    <col min="17" max="17" width="3.28515625" style="34" customWidth="1"/>
    <col min="18" max="18" width="1.140625" style="34" customWidth="1"/>
    <col min="19" max="19" width="30.42578125" style="34" customWidth="1"/>
    <col min="20" max="20" width="28.7109375" style="34"/>
    <col min="21" max="21" width="16.7109375" style="34" customWidth="1"/>
    <col min="22" max="22" width="4.42578125" style="34" customWidth="1"/>
    <col min="23" max="23" width="2.7109375" style="34" customWidth="1"/>
    <col min="24" max="24" width="31.28515625" style="34" customWidth="1"/>
    <col min="25" max="25" width="29.85546875" style="34" customWidth="1"/>
    <col min="26" max="26" width="17.85546875" style="34" customWidth="1"/>
    <col min="27" max="27" width="4.85546875" style="34" customWidth="1"/>
    <col min="28" max="28" width="35" style="34" customWidth="1"/>
    <col min="29" max="29" width="7.7109375" style="34" customWidth="1"/>
    <col min="30" max="30" width="26.28515625" style="34" customWidth="1"/>
    <col min="31" max="31" width="16.42578125" style="34" customWidth="1"/>
    <col min="32" max="32" width="8.42578125" style="34" customWidth="1"/>
    <col min="33" max="33" width="29.85546875" style="34" customWidth="1"/>
    <col min="34" max="34" width="28.7109375" style="34"/>
    <col min="35" max="35" width="15.7109375" style="34" customWidth="1"/>
    <col min="36" max="36" width="3.140625" style="34" customWidth="1"/>
    <col min="37" max="37" width="3.7109375" style="34" customWidth="1"/>
    <col min="38" max="38" width="30.140625" style="34" customWidth="1"/>
    <col min="39" max="39" width="25.140625" style="34" customWidth="1"/>
    <col min="40" max="40" width="16.28515625" style="34" customWidth="1"/>
    <col min="41" max="41" width="5.140625" style="34" customWidth="1"/>
    <col min="42" max="42" width="3.140625" style="34" customWidth="1"/>
    <col min="43" max="43" width="35.5703125" style="34" customWidth="1"/>
    <col min="44" max="44" width="28.7109375" style="34"/>
    <col min="45" max="45" width="17.85546875" style="34" customWidth="1"/>
    <col min="46" max="46" width="6.140625" style="34" customWidth="1"/>
    <col min="47" max="47" width="2.140625" style="34" customWidth="1"/>
    <col min="48" max="48" width="3.7109375" style="34" customWidth="1"/>
    <col min="49" max="16384" width="28.7109375" style="34"/>
  </cols>
  <sheetData>
    <row r="1" spans="5:39" ht="24" customHeight="1">
      <c r="G1" s="40"/>
      <c r="AM1" s="61"/>
    </row>
    <row r="2" spans="5:39" ht="24" customHeight="1"/>
    <row r="3" spans="5:39" ht="24" customHeight="1">
      <c r="F3" s="34" t="s">
        <v>89</v>
      </c>
      <c r="G3" s="34" t="s">
        <v>91</v>
      </c>
      <c r="I3" s="34" t="s">
        <v>90</v>
      </c>
      <c r="J3" s="34" t="s">
        <v>1</v>
      </c>
      <c r="K3" s="34" t="s">
        <v>97</v>
      </c>
      <c r="Y3" s="62"/>
    </row>
    <row r="4" spans="5:39" ht="24" customHeight="1"/>
    <row r="5" spans="5:39" ht="24" customHeight="1">
      <c r="E5" s="42" t="s">
        <v>98</v>
      </c>
      <c r="F5" s="65">
        <v>419</v>
      </c>
      <c r="G5" s="67">
        <v>122</v>
      </c>
      <c r="H5" s="66"/>
      <c r="I5" s="68">
        <f>+F5+G5</f>
        <v>541</v>
      </c>
      <c r="J5" s="60">
        <v>0.78</v>
      </c>
      <c r="K5" s="60">
        <v>0.7</v>
      </c>
    </row>
    <row r="6" spans="5:39" ht="24" customHeight="1">
      <c r="E6" s="42" t="s">
        <v>99</v>
      </c>
      <c r="F6" s="65">
        <v>472</v>
      </c>
      <c r="G6" s="67">
        <v>109</v>
      </c>
      <c r="H6" s="66"/>
      <c r="I6" s="68">
        <f>+F6+G6</f>
        <v>581</v>
      </c>
      <c r="J6" s="60">
        <v>0.9</v>
      </c>
      <c r="K6" s="60">
        <v>0.72</v>
      </c>
    </row>
    <row r="7" spans="5:39">
      <c r="E7" s="42" t="s">
        <v>100</v>
      </c>
      <c r="F7" s="65">
        <v>490</v>
      </c>
      <c r="G7" s="67">
        <v>109</v>
      </c>
      <c r="H7" s="66"/>
      <c r="I7" s="68">
        <f>+F7+G7</f>
        <v>599</v>
      </c>
      <c r="J7" s="60">
        <v>0.68</v>
      </c>
      <c r="K7" s="60">
        <v>0.74</v>
      </c>
    </row>
    <row r="8" spans="5:39">
      <c r="E8" s="45" t="s">
        <v>101</v>
      </c>
      <c r="F8" s="65">
        <v>516</v>
      </c>
      <c r="G8" s="67">
        <f>+I8-F8</f>
        <v>8</v>
      </c>
      <c r="H8" s="66"/>
      <c r="I8" s="68">
        <v>524</v>
      </c>
      <c r="J8" s="60">
        <v>0.05</v>
      </c>
      <c r="K8" s="60">
        <v>0.68</v>
      </c>
    </row>
    <row r="9" spans="5:39">
      <c r="E9" s="42" t="s">
        <v>102</v>
      </c>
      <c r="F9" s="65">
        <v>536</v>
      </c>
      <c r="G9" s="67">
        <v>28</v>
      </c>
      <c r="H9" s="66"/>
      <c r="I9" s="68">
        <f>+F9+G9</f>
        <v>564</v>
      </c>
      <c r="J9" s="60">
        <v>0.31</v>
      </c>
      <c r="K9" s="60">
        <v>0.68</v>
      </c>
    </row>
    <row r="10" spans="5:39">
      <c r="E10" s="42" t="s">
        <v>103</v>
      </c>
      <c r="F10" s="65">
        <v>560</v>
      </c>
      <c r="G10" s="67">
        <v>6</v>
      </c>
      <c r="H10" s="66"/>
      <c r="I10" s="68">
        <f>+F10+G10</f>
        <v>566</v>
      </c>
      <c r="J10" s="60">
        <v>0.04</v>
      </c>
      <c r="K10" s="60">
        <v>0.68</v>
      </c>
    </row>
    <row r="11" spans="5:39">
      <c r="E11" s="42" t="s">
        <v>104</v>
      </c>
      <c r="F11" s="65">
        <v>565</v>
      </c>
      <c r="G11" s="67">
        <v>59</v>
      </c>
      <c r="H11" s="66"/>
      <c r="I11" s="68">
        <f>+F11+G11</f>
        <v>624</v>
      </c>
      <c r="J11" s="60">
        <v>0.43</v>
      </c>
      <c r="K11" s="60">
        <v>0.77</v>
      </c>
    </row>
    <row r="12" spans="5:39">
      <c r="E12" s="42" t="s">
        <v>105</v>
      </c>
      <c r="F12" s="65">
        <v>574</v>
      </c>
      <c r="G12" s="67">
        <v>23</v>
      </c>
      <c r="H12" s="66"/>
      <c r="I12" s="68">
        <f>+F12+G12</f>
        <v>597</v>
      </c>
      <c r="J12" s="60">
        <v>0.18</v>
      </c>
      <c r="K12" s="60">
        <v>0.71</v>
      </c>
    </row>
    <row r="13" spans="5:39">
      <c r="E13" s="42" t="s">
        <v>106</v>
      </c>
      <c r="F13" s="65">
        <v>579</v>
      </c>
      <c r="G13" s="67">
        <v>62</v>
      </c>
      <c r="H13" s="66"/>
      <c r="I13" s="68">
        <f>+F13+G13</f>
        <v>641</v>
      </c>
      <c r="J13" s="60">
        <v>0.46</v>
      </c>
      <c r="K13" s="60">
        <v>0.88</v>
      </c>
    </row>
    <row r="14" spans="5:39">
      <c r="E14" s="54" t="s">
        <v>107</v>
      </c>
      <c r="F14" s="65">
        <v>581</v>
      </c>
      <c r="G14" s="67">
        <f>+I14-F14</f>
        <v>30.100000000000023</v>
      </c>
      <c r="H14" s="66"/>
      <c r="I14" s="68">
        <f>+F14+30.1</f>
        <v>611.1</v>
      </c>
      <c r="J14" s="60">
        <v>0.15</v>
      </c>
      <c r="K14" s="60">
        <v>0.7</v>
      </c>
    </row>
    <row r="15" spans="5:39">
      <c r="E15" s="49" t="s">
        <v>108</v>
      </c>
      <c r="F15" s="65">
        <v>586</v>
      </c>
      <c r="G15" s="67">
        <f>+I15-F15</f>
        <v>14</v>
      </c>
      <c r="H15" s="66"/>
      <c r="I15" s="68">
        <v>600</v>
      </c>
      <c r="J15" s="60">
        <v>0.08</v>
      </c>
      <c r="K15" s="60">
        <v>0.68</v>
      </c>
    </row>
    <row r="16" spans="5:39">
      <c r="E16" s="42" t="s">
        <v>109</v>
      </c>
      <c r="F16" s="65">
        <v>604</v>
      </c>
      <c r="G16" s="67">
        <v>33</v>
      </c>
      <c r="H16" s="66"/>
      <c r="I16" s="68">
        <f>+F16+G16</f>
        <v>637</v>
      </c>
      <c r="J16" s="60">
        <v>0.17</v>
      </c>
      <c r="K16" s="60">
        <v>0.72</v>
      </c>
    </row>
    <row r="17" spans="5:11">
      <c r="E17" s="49" t="s">
        <v>110</v>
      </c>
      <c r="F17" s="65">
        <v>607</v>
      </c>
      <c r="G17" s="67">
        <v>0</v>
      </c>
      <c r="H17" s="66"/>
      <c r="I17" s="68">
        <f>+F17+G17</f>
        <v>607</v>
      </c>
      <c r="J17" s="60">
        <v>0</v>
      </c>
      <c r="K17" s="60">
        <v>0.76</v>
      </c>
    </row>
    <row r="18" spans="5:11" ht="23.25">
      <c r="E18" s="57" t="s">
        <v>94</v>
      </c>
      <c r="F18" s="65">
        <v>608</v>
      </c>
      <c r="G18" s="67">
        <v>27</v>
      </c>
      <c r="H18" s="66"/>
      <c r="I18" s="68">
        <f>+F18+G18</f>
        <v>635</v>
      </c>
      <c r="J18" s="60">
        <v>0.19</v>
      </c>
      <c r="K18" s="60">
        <v>0.76</v>
      </c>
    </row>
    <row r="19" spans="5:11">
      <c r="E19" s="49" t="s">
        <v>111</v>
      </c>
      <c r="F19" s="65">
        <v>608</v>
      </c>
      <c r="G19" s="67">
        <f>+I19-F19</f>
        <v>9</v>
      </c>
      <c r="H19" s="66"/>
      <c r="I19" s="68">
        <v>617</v>
      </c>
      <c r="J19" s="60">
        <v>0.04</v>
      </c>
      <c r="K19" s="60">
        <v>0.73</v>
      </c>
    </row>
    <row r="20" spans="5:11">
      <c r="E20" s="45" t="s">
        <v>112</v>
      </c>
      <c r="F20" s="65">
        <v>612</v>
      </c>
      <c r="G20" s="67">
        <f>+I20-F20</f>
        <v>9</v>
      </c>
      <c r="H20" s="66"/>
      <c r="I20" s="68">
        <v>621</v>
      </c>
      <c r="J20" s="60">
        <v>0.08</v>
      </c>
      <c r="K20" s="60">
        <v>0.72</v>
      </c>
    </row>
    <row r="21" spans="5:11">
      <c r="E21" s="34" t="s">
        <v>95</v>
      </c>
      <c r="F21" s="65">
        <v>615</v>
      </c>
      <c r="G21" s="67">
        <f>+I21-F21</f>
        <v>22</v>
      </c>
      <c r="I21" s="68">
        <v>637</v>
      </c>
      <c r="J21" s="69">
        <v>0.16</v>
      </c>
      <c r="K21" s="60">
        <v>0.77</v>
      </c>
    </row>
    <row r="22" spans="5:11">
      <c r="E22" s="46" t="s">
        <v>74</v>
      </c>
      <c r="F22" s="65">
        <v>617</v>
      </c>
      <c r="G22" s="67">
        <v>23</v>
      </c>
      <c r="H22" s="66"/>
      <c r="I22" s="68">
        <f>+F22+G22</f>
        <v>640</v>
      </c>
      <c r="J22" s="60">
        <v>0.12</v>
      </c>
      <c r="K22" s="60">
        <v>0.73</v>
      </c>
    </row>
    <row r="23" spans="5:11">
      <c r="E23" s="34" t="s">
        <v>93</v>
      </c>
      <c r="F23" s="65">
        <v>619</v>
      </c>
      <c r="G23" s="67">
        <v>0</v>
      </c>
      <c r="H23" s="67"/>
      <c r="I23" s="68">
        <v>619</v>
      </c>
      <c r="J23" s="34">
        <v>0</v>
      </c>
      <c r="K23" s="60">
        <v>0.77</v>
      </c>
    </row>
    <row r="24" spans="5:11">
      <c r="E24" s="34" t="s">
        <v>92</v>
      </c>
      <c r="F24" s="65">
        <v>635</v>
      </c>
      <c r="G24" s="67">
        <v>0</v>
      </c>
      <c r="H24" s="67"/>
      <c r="I24" s="68">
        <v>635</v>
      </c>
      <c r="J24" s="34">
        <v>0</v>
      </c>
      <c r="K24" s="60">
        <v>0.8</v>
      </c>
    </row>
    <row r="25" spans="5:11">
      <c r="E25" s="34" t="s">
        <v>96</v>
      </c>
      <c r="F25" s="65">
        <v>635</v>
      </c>
      <c r="G25" s="67">
        <f>+I25-F25</f>
        <v>11</v>
      </c>
      <c r="I25" s="68">
        <v>646</v>
      </c>
      <c r="J25" s="69">
        <v>0.12</v>
      </c>
      <c r="K25" s="60">
        <v>0.77</v>
      </c>
    </row>
    <row r="26" spans="5:11">
      <c r="E26" s="42" t="s">
        <v>113</v>
      </c>
      <c r="F26" s="65">
        <v>638</v>
      </c>
      <c r="G26" s="67">
        <v>11</v>
      </c>
      <c r="H26" s="66"/>
      <c r="I26" s="68">
        <f>+F26+G26</f>
        <v>649</v>
      </c>
      <c r="J26" s="60">
        <v>0.11</v>
      </c>
      <c r="K26" s="60">
        <v>0.79</v>
      </c>
    </row>
    <row r="27" spans="5:11">
      <c r="E27" s="34" t="s">
        <v>72</v>
      </c>
      <c r="F27" s="65">
        <v>645</v>
      </c>
      <c r="G27" s="67">
        <v>0</v>
      </c>
      <c r="H27" s="67"/>
      <c r="I27" s="68">
        <v>645</v>
      </c>
      <c r="J27" s="34">
        <v>0</v>
      </c>
      <c r="K27" s="60">
        <v>0.82</v>
      </c>
    </row>
    <row r="28" spans="5:11">
      <c r="E28" s="42" t="s">
        <v>114</v>
      </c>
      <c r="F28" s="65">
        <v>646</v>
      </c>
      <c r="G28" s="67">
        <v>49</v>
      </c>
      <c r="H28" s="66"/>
      <c r="I28" s="68">
        <f t="shared" ref="I28:I33" si="0">+F28+G28</f>
        <v>695</v>
      </c>
      <c r="J28" s="60">
        <v>0.36</v>
      </c>
      <c r="K28" s="60">
        <v>0.81</v>
      </c>
    </row>
    <row r="29" spans="5:11">
      <c r="E29" s="42" t="s">
        <v>115</v>
      </c>
      <c r="F29" s="65">
        <v>656.78616533699903</v>
      </c>
      <c r="G29" s="67">
        <v>0</v>
      </c>
      <c r="H29" s="66"/>
      <c r="I29" s="68">
        <f t="shared" si="0"/>
        <v>656.78616533699903</v>
      </c>
      <c r="J29" s="60">
        <v>0.08</v>
      </c>
      <c r="K29" s="60">
        <v>0.77</v>
      </c>
    </row>
    <row r="30" spans="5:11">
      <c r="E30" s="42" t="s">
        <v>116</v>
      </c>
      <c r="F30" s="65">
        <v>661</v>
      </c>
      <c r="G30" s="67">
        <v>18</v>
      </c>
      <c r="H30" s="66"/>
      <c r="I30" s="68">
        <f t="shared" si="0"/>
        <v>679</v>
      </c>
      <c r="J30" s="60">
        <v>0.15</v>
      </c>
      <c r="K30" s="60">
        <v>0.82</v>
      </c>
    </row>
    <row r="31" spans="5:11">
      <c r="E31" s="42" t="s">
        <v>117</v>
      </c>
      <c r="F31" s="65">
        <v>707</v>
      </c>
      <c r="G31" s="67">
        <v>24</v>
      </c>
      <c r="H31" s="66"/>
      <c r="I31" s="68">
        <f t="shared" si="0"/>
        <v>731</v>
      </c>
      <c r="J31" s="60">
        <v>0.13</v>
      </c>
      <c r="K31" s="60">
        <v>0.86</v>
      </c>
    </row>
    <row r="32" spans="5:11">
      <c r="E32" s="42" t="s">
        <v>118</v>
      </c>
      <c r="F32" s="65">
        <v>713</v>
      </c>
      <c r="G32" s="67">
        <v>23</v>
      </c>
      <c r="H32" s="66"/>
      <c r="I32" s="68">
        <f t="shared" si="0"/>
        <v>736</v>
      </c>
      <c r="J32" s="60">
        <v>0.17</v>
      </c>
      <c r="K32" s="60">
        <v>0.84</v>
      </c>
    </row>
    <row r="33" spans="5:11">
      <c r="E33" s="42" t="s">
        <v>119</v>
      </c>
      <c r="F33" s="65">
        <v>718</v>
      </c>
      <c r="G33" s="67">
        <v>32</v>
      </c>
      <c r="H33" s="66"/>
      <c r="I33" s="68">
        <f t="shared" si="0"/>
        <v>750</v>
      </c>
      <c r="J33" s="60">
        <v>0.15</v>
      </c>
      <c r="K33" s="60">
        <v>0.89</v>
      </c>
    </row>
  </sheetData>
  <sortState xmlns:xlrd2="http://schemas.microsoft.com/office/spreadsheetml/2017/richdata2" ref="E5:K33">
    <sortCondition ref="F5:F33"/>
  </sortState>
  <conditionalFormatting sqref="E26">
    <cfRule type="dataBar" priority="3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{C7A4DF87-CE7D-4A2C-828D-0AC0D63FF249}</x14:id>
        </ext>
      </extLst>
    </cfRule>
  </conditionalFormatting>
  <conditionalFormatting sqref="E27">
    <cfRule type="dataBar" priority="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{79BFA881-122A-48C7-9E4B-C688C8BDC28E}</x14:id>
        </ext>
      </extLst>
    </cfRule>
  </conditionalFormatting>
  <conditionalFormatting sqref="E5:E13 E15:E24">
    <cfRule type="dataBar" priority="4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{1F7BB4BF-C233-4C3C-937C-D4B4623F07B5}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A4DF87-CE7D-4A2C-828D-0AC0D63FF2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E26</xm:sqref>
        </x14:conditionalFormatting>
        <x14:conditionalFormatting xmlns:xm="http://schemas.microsoft.com/office/excel/2006/main">
          <x14:cfRule type="dataBar" id="{79BFA881-122A-48C7-9E4B-C688C8BDC2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</xm:sqref>
        </x14:conditionalFormatting>
        <x14:conditionalFormatting xmlns:xm="http://schemas.microsoft.com/office/excel/2006/main">
          <x14:cfRule type="dataBar" id="{1F7BB4BF-C233-4C3C-937C-D4B4623F07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E5:E13 E15:E24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83CA-45AC-4EDB-919A-38CB40876D41}">
  <dimension ref="E1:AM22"/>
  <sheetViews>
    <sheetView showGridLines="0" topLeftCell="K1" zoomScale="40" zoomScaleNormal="40" workbookViewId="0">
      <pane ySplit="1" topLeftCell="A47" activePane="bottomLeft" state="frozen"/>
      <selection activeCell="C1" sqref="C1"/>
      <selection pane="bottomLeft" activeCell="AI79" sqref="AI79"/>
    </sheetView>
  </sheetViews>
  <sheetFormatPr baseColWidth="10" defaultColWidth="28.7109375" defaultRowHeight="18"/>
  <cols>
    <col min="1" max="2" width="0" style="34" hidden="1" customWidth="1"/>
    <col min="3" max="3" width="4" style="34" customWidth="1"/>
    <col min="4" max="4" width="1.28515625" style="34" customWidth="1"/>
    <col min="5" max="5" width="30.85546875" style="34" customWidth="1"/>
    <col min="6" max="6" width="13" style="34" customWidth="1"/>
    <col min="7" max="7" width="10.7109375" style="34" customWidth="1"/>
    <col min="8" max="8" width="2.5703125" style="34" customWidth="1"/>
    <col min="9" max="9" width="13.7109375" style="34" customWidth="1"/>
    <col min="10" max="10" width="21.5703125" style="34" customWidth="1"/>
    <col min="11" max="11" width="19" style="34" customWidth="1"/>
    <col min="12" max="12" width="16.85546875" style="34" customWidth="1"/>
    <col min="13" max="13" width="14.7109375" style="34" customWidth="1"/>
    <col min="14" max="14" width="23.140625" style="34" customWidth="1"/>
    <col min="15" max="15" width="28.7109375" style="34"/>
    <col min="16" max="16" width="18.7109375" style="34" customWidth="1"/>
    <col min="17" max="17" width="3.28515625" style="34" customWidth="1"/>
    <col min="18" max="18" width="1.140625" style="34" customWidth="1"/>
    <col min="19" max="19" width="30.42578125" style="34" customWidth="1"/>
    <col min="20" max="20" width="28.7109375" style="34"/>
    <col min="21" max="21" width="16.7109375" style="34" customWidth="1"/>
    <col min="22" max="22" width="4.42578125" style="34" customWidth="1"/>
    <col min="23" max="23" width="2.7109375" style="34" customWidth="1"/>
    <col min="24" max="24" width="31.28515625" style="34" customWidth="1"/>
    <col min="25" max="25" width="29.85546875" style="34" customWidth="1"/>
    <col min="26" max="26" width="17.85546875" style="34" customWidth="1"/>
    <col min="27" max="27" width="4.85546875" style="34" customWidth="1"/>
    <col min="28" max="28" width="35" style="34" customWidth="1"/>
    <col min="29" max="29" width="7.7109375" style="34" customWidth="1"/>
    <col min="30" max="30" width="26.28515625" style="34" customWidth="1"/>
    <col min="31" max="31" width="16.42578125" style="34" customWidth="1"/>
    <col min="32" max="32" width="8.42578125" style="34" customWidth="1"/>
    <col min="33" max="33" width="29.85546875" style="34" customWidth="1"/>
    <col min="34" max="34" width="28.7109375" style="34"/>
    <col min="35" max="35" width="15.7109375" style="34" customWidth="1"/>
    <col min="36" max="36" width="3.140625" style="34" customWidth="1"/>
    <col min="37" max="37" width="3.7109375" style="34" customWidth="1"/>
    <col min="38" max="38" width="30.140625" style="34" customWidth="1"/>
    <col min="39" max="39" width="25.140625" style="34" customWidth="1"/>
    <col min="40" max="40" width="16.28515625" style="34" customWidth="1"/>
    <col min="41" max="41" width="5.140625" style="34" customWidth="1"/>
    <col min="42" max="42" width="3.140625" style="34" customWidth="1"/>
    <col min="43" max="43" width="35.5703125" style="34" customWidth="1"/>
    <col min="44" max="44" width="28.7109375" style="34"/>
    <col min="45" max="45" width="17.85546875" style="34" customWidth="1"/>
    <col min="46" max="46" width="6.140625" style="34" customWidth="1"/>
    <col min="47" max="47" width="2.140625" style="34" customWidth="1"/>
    <col min="48" max="48" width="3.7109375" style="34" customWidth="1"/>
    <col min="49" max="16384" width="28.7109375" style="34"/>
  </cols>
  <sheetData>
    <row r="1" spans="5:39" ht="24" customHeight="1">
      <c r="G1" s="40"/>
      <c r="AM1" s="61"/>
    </row>
    <row r="2" spans="5:39" ht="24" customHeight="1"/>
    <row r="3" spans="5:39" ht="24" customHeight="1">
      <c r="F3" s="34" t="s">
        <v>89</v>
      </c>
      <c r="G3" s="34" t="s">
        <v>91</v>
      </c>
      <c r="I3" s="34" t="s">
        <v>90</v>
      </c>
      <c r="J3" s="34" t="s">
        <v>1</v>
      </c>
      <c r="K3" s="34" t="s">
        <v>97</v>
      </c>
      <c r="L3" s="34" t="s">
        <v>123</v>
      </c>
      <c r="M3" s="34" t="s">
        <v>124</v>
      </c>
      <c r="N3" s="34" t="s">
        <v>1</v>
      </c>
      <c r="Y3" s="62"/>
    </row>
    <row r="4" spans="5:39" ht="24" customHeight="1"/>
    <row r="5" spans="5:39" ht="24" customHeight="1">
      <c r="E5" s="42" t="s">
        <v>125</v>
      </c>
      <c r="F5" s="65">
        <v>419</v>
      </c>
      <c r="G5" s="67">
        <v>122</v>
      </c>
      <c r="H5" s="66"/>
      <c r="I5" s="68">
        <f>+F5+G5</f>
        <v>541</v>
      </c>
      <c r="J5" s="60">
        <v>0.78</v>
      </c>
      <c r="K5" s="60">
        <v>0.7</v>
      </c>
      <c r="L5" s="34">
        <v>637</v>
      </c>
      <c r="M5" s="34">
        <v>608</v>
      </c>
      <c r="N5" s="60">
        <v>0.18</v>
      </c>
    </row>
    <row r="6" spans="5:39" ht="18" customHeight="1">
      <c r="E6" s="42" t="s">
        <v>126</v>
      </c>
      <c r="F6" s="65">
        <v>472</v>
      </c>
      <c r="G6" s="67">
        <v>109</v>
      </c>
      <c r="H6" s="66"/>
      <c r="I6" s="68">
        <f>+F6+G6</f>
        <v>581</v>
      </c>
      <c r="J6" s="60">
        <v>0.9</v>
      </c>
      <c r="K6" s="60">
        <v>0.72</v>
      </c>
      <c r="L6" s="34">
        <v>637</v>
      </c>
      <c r="M6" s="34">
        <v>608</v>
      </c>
      <c r="N6" s="60">
        <v>0.18</v>
      </c>
    </row>
    <row r="7" spans="5:39">
      <c r="E7" s="42" t="s">
        <v>127</v>
      </c>
      <c r="F7" s="65">
        <v>490</v>
      </c>
      <c r="G7" s="67">
        <v>109</v>
      </c>
      <c r="H7" s="66"/>
      <c r="I7" s="68">
        <f>+F7+G7</f>
        <v>599</v>
      </c>
      <c r="J7" s="60">
        <v>0.68</v>
      </c>
      <c r="K7" s="60">
        <v>0.74</v>
      </c>
      <c r="L7" s="34">
        <v>637</v>
      </c>
      <c r="M7" s="34">
        <v>608</v>
      </c>
      <c r="N7" s="60">
        <v>0.18</v>
      </c>
    </row>
    <row r="8" spans="5:39">
      <c r="E8" s="45" t="s">
        <v>128</v>
      </c>
      <c r="F8" s="65">
        <v>516</v>
      </c>
      <c r="G8" s="67">
        <f>+I8-F8</f>
        <v>8</v>
      </c>
      <c r="H8" s="66"/>
      <c r="I8" s="68">
        <v>524</v>
      </c>
      <c r="J8" s="60">
        <v>0.05</v>
      </c>
      <c r="K8" s="60">
        <v>0.68</v>
      </c>
      <c r="L8" s="34">
        <v>637</v>
      </c>
      <c r="M8" s="34">
        <v>608</v>
      </c>
      <c r="N8" s="60">
        <v>0.18</v>
      </c>
    </row>
    <row r="9" spans="5:39">
      <c r="E9" s="42" t="s">
        <v>129</v>
      </c>
      <c r="F9" s="65">
        <v>536</v>
      </c>
      <c r="G9" s="67">
        <v>28</v>
      </c>
      <c r="H9" s="66"/>
      <c r="I9" s="68">
        <f>+F9+G9</f>
        <v>564</v>
      </c>
      <c r="J9" s="60">
        <v>0.31</v>
      </c>
      <c r="K9" s="60">
        <v>0.68</v>
      </c>
      <c r="L9" s="34">
        <v>637</v>
      </c>
      <c r="M9" s="34">
        <v>608</v>
      </c>
      <c r="N9" s="60">
        <v>0.18</v>
      </c>
    </row>
    <row r="10" spans="5:39">
      <c r="E10" s="42" t="s">
        <v>130</v>
      </c>
      <c r="F10" s="65">
        <v>574</v>
      </c>
      <c r="G10" s="67">
        <v>23</v>
      </c>
      <c r="H10" s="66"/>
      <c r="I10" s="68">
        <f>+F10+G10</f>
        <v>597</v>
      </c>
      <c r="J10" s="60">
        <v>0.18</v>
      </c>
      <c r="K10" s="60">
        <v>0.71</v>
      </c>
      <c r="L10" s="34">
        <v>637</v>
      </c>
      <c r="M10" s="34">
        <v>608</v>
      </c>
      <c r="N10" s="60">
        <v>0.18</v>
      </c>
    </row>
    <row r="11" spans="5:39">
      <c r="E11" s="54" t="s">
        <v>131</v>
      </c>
      <c r="F11" s="65">
        <v>581</v>
      </c>
      <c r="G11" s="67">
        <f>+I11-F11</f>
        <v>30.100000000000023</v>
      </c>
      <c r="H11" s="66"/>
      <c r="I11" s="68">
        <f>+F11+30.1</f>
        <v>611.1</v>
      </c>
      <c r="J11" s="60">
        <v>0.15</v>
      </c>
      <c r="K11" s="60">
        <v>0.7</v>
      </c>
      <c r="L11" s="34">
        <v>637</v>
      </c>
      <c r="M11" s="34">
        <v>608</v>
      </c>
      <c r="N11" s="60">
        <v>0.18</v>
      </c>
    </row>
    <row r="12" spans="5:39">
      <c r="E12" s="49" t="s">
        <v>132</v>
      </c>
      <c r="F12" s="65">
        <v>586</v>
      </c>
      <c r="G12" s="67">
        <f>+I12-F12</f>
        <v>14</v>
      </c>
      <c r="H12" s="66"/>
      <c r="I12" s="68">
        <v>600</v>
      </c>
      <c r="J12" s="60">
        <v>0.08</v>
      </c>
      <c r="K12" s="60">
        <v>0.68</v>
      </c>
      <c r="L12" s="34">
        <v>637</v>
      </c>
      <c r="M12" s="34">
        <v>608</v>
      </c>
      <c r="N12" s="60">
        <v>0.18</v>
      </c>
    </row>
    <row r="13" spans="5:39">
      <c r="E13" s="42" t="s">
        <v>133</v>
      </c>
      <c r="F13" s="65">
        <v>604</v>
      </c>
      <c r="G13" s="67">
        <v>33</v>
      </c>
      <c r="H13" s="66"/>
      <c r="I13" s="68">
        <f>+F13+G13</f>
        <v>637</v>
      </c>
      <c r="J13" s="60">
        <v>0.17</v>
      </c>
      <c r="K13" s="60">
        <v>0.72</v>
      </c>
      <c r="L13" s="34">
        <v>637</v>
      </c>
      <c r="M13" s="34">
        <v>608</v>
      </c>
      <c r="N13" s="60">
        <v>0.18</v>
      </c>
    </row>
    <row r="14" spans="5:39">
      <c r="E14" s="45" t="s">
        <v>134</v>
      </c>
      <c r="F14" s="65">
        <v>612</v>
      </c>
      <c r="G14" s="67">
        <f>+I14-F14</f>
        <v>9</v>
      </c>
      <c r="H14" s="66"/>
      <c r="I14" s="68">
        <v>621</v>
      </c>
      <c r="J14" s="60">
        <v>0.08</v>
      </c>
      <c r="K14" s="60">
        <v>0.72</v>
      </c>
      <c r="L14" s="34">
        <v>637</v>
      </c>
      <c r="M14" s="34">
        <v>608</v>
      </c>
      <c r="N14" s="60">
        <v>0.18</v>
      </c>
    </row>
    <row r="15" spans="5:39">
      <c r="E15" s="46" t="s">
        <v>135</v>
      </c>
      <c r="F15" s="65">
        <v>620</v>
      </c>
      <c r="G15" s="67">
        <v>23</v>
      </c>
      <c r="H15" s="66"/>
      <c r="I15" s="68">
        <f>+F15+G15</f>
        <v>643</v>
      </c>
      <c r="J15" s="60">
        <v>0.12</v>
      </c>
      <c r="K15" s="60">
        <v>0.74</v>
      </c>
      <c r="L15" s="34">
        <v>637</v>
      </c>
      <c r="M15" s="34">
        <v>608</v>
      </c>
      <c r="N15" s="60">
        <v>0.18</v>
      </c>
    </row>
    <row r="16" spans="5:39">
      <c r="E16" s="34" t="s">
        <v>136</v>
      </c>
      <c r="F16" s="65">
        <v>619</v>
      </c>
      <c r="G16" s="67">
        <v>0</v>
      </c>
      <c r="H16" s="67"/>
      <c r="I16" s="68">
        <v>619</v>
      </c>
      <c r="J16" s="34">
        <v>0</v>
      </c>
      <c r="K16" s="60">
        <v>0.77</v>
      </c>
      <c r="L16" s="34">
        <v>637</v>
      </c>
      <c r="M16" s="34">
        <v>608</v>
      </c>
      <c r="N16" s="60">
        <v>0.18</v>
      </c>
    </row>
    <row r="17" spans="5:14">
      <c r="E17" s="42" t="s">
        <v>137</v>
      </c>
      <c r="F17" s="65">
        <v>638</v>
      </c>
      <c r="G17" s="67">
        <v>11</v>
      </c>
      <c r="H17" s="66"/>
      <c r="I17" s="68">
        <f>+F17+G17</f>
        <v>649</v>
      </c>
      <c r="J17" s="60">
        <v>0.11</v>
      </c>
      <c r="K17" s="60">
        <v>0.79</v>
      </c>
      <c r="L17" s="34">
        <v>637</v>
      </c>
      <c r="M17" s="34">
        <v>608</v>
      </c>
      <c r="N17" s="60">
        <v>0.18</v>
      </c>
    </row>
    <row r="18" spans="5:14">
      <c r="E18" s="42" t="s">
        <v>138</v>
      </c>
      <c r="F18" s="65">
        <v>661</v>
      </c>
      <c r="G18" s="67">
        <v>18</v>
      </c>
      <c r="H18" s="66"/>
      <c r="I18" s="68">
        <f>+F18+G18</f>
        <v>679</v>
      </c>
      <c r="J18" s="60">
        <v>0.15</v>
      </c>
      <c r="K18" s="60">
        <v>0.82</v>
      </c>
      <c r="L18" s="34">
        <v>637</v>
      </c>
      <c r="M18" s="34">
        <v>608</v>
      </c>
      <c r="N18" s="60">
        <v>0.18</v>
      </c>
    </row>
    <row r="19" spans="5:14">
      <c r="E19" s="42" t="s">
        <v>139</v>
      </c>
      <c r="F19" s="65">
        <v>707</v>
      </c>
      <c r="G19" s="67">
        <v>24</v>
      </c>
      <c r="H19" s="66"/>
      <c r="I19" s="68">
        <f>+F19+G19</f>
        <v>731</v>
      </c>
      <c r="J19" s="60">
        <v>0.13</v>
      </c>
      <c r="K19" s="60">
        <v>0.86</v>
      </c>
      <c r="L19" s="34">
        <v>637</v>
      </c>
      <c r="M19" s="34">
        <v>608</v>
      </c>
      <c r="N19" s="60">
        <v>0.18</v>
      </c>
    </row>
    <row r="20" spans="5:14">
      <c r="E20" s="42" t="s">
        <v>140</v>
      </c>
      <c r="F20" s="65">
        <v>713</v>
      </c>
      <c r="G20" s="67">
        <v>23</v>
      </c>
      <c r="H20" s="66"/>
      <c r="I20" s="68">
        <f>+F20+G20</f>
        <v>736</v>
      </c>
      <c r="J20" s="60">
        <v>0.17</v>
      </c>
      <c r="K20" s="60">
        <v>0.84</v>
      </c>
      <c r="L20" s="34">
        <v>637</v>
      </c>
      <c r="M20" s="34">
        <v>608</v>
      </c>
      <c r="N20" s="60">
        <v>0.18</v>
      </c>
    </row>
    <row r="21" spans="5:14">
      <c r="E21" s="42" t="s">
        <v>141</v>
      </c>
      <c r="F21" s="65">
        <v>718</v>
      </c>
      <c r="G21" s="67">
        <v>32</v>
      </c>
      <c r="H21" s="66"/>
      <c r="I21" s="68">
        <f>+F21+G21</f>
        <v>750</v>
      </c>
      <c r="J21" s="60">
        <v>0.15</v>
      </c>
      <c r="K21" s="60">
        <v>0.89</v>
      </c>
      <c r="L21" s="34">
        <v>637</v>
      </c>
      <c r="M21" s="34">
        <v>608</v>
      </c>
      <c r="N21" s="60">
        <v>0.18</v>
      </c>
    </row>
    <row r="22" spans="5:14">
      <c r="E22" s="34" t="s">
        <v>142</v>
      </c>
      <c r="L22" s="34">
        <v>637</v>
      </c>
      <c r="M22" s="34">
        <v>608</v>
      </c>
      <c r="N22" s="60">
        <v>0.18</v>
      </c>
    </row>
  </sheetData>
  <conditionalFormatting sqref="E17">
    <cfRule type="dataBar" priority="1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{05F449B6-7934-477A-B37B-824DEEC6586A}</x14:id>
        </ext>
      </extLst>
    </cfRule>
  </conditionalFormatting>
  <conditionalFormatting sqref="E12:E16 E5:E10">
    <cfRule type="dataBar" priority="2">
      <dataBar>
        <cfvo type="min"/>
        <cfvo type="max"/>
        <color rgb="FF00BBDB"/>
      </dataBar>
      <extLst>
        <ext xmlns:x14="http://schemas.microsoft.com/office/spreadsheetml/2009/9/main" uri="{B025F937-C7B1-47D3-B67F-A62EFF666E3E}">
          <x14:id>{119F3450-9331-45D5-8CDC-39C695047874}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F449B6-7934-477A-B37B-824DEEC658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E17</xm:sqref>
        </x14:conditionalFormatting>
        <x14:conditionalFormatting xmlns:xm="http://schemas.microsoft.com/office/excel/2006/main">
          <x14:cfRule type="dataBar" id="{119F3450-9331-45D5-8CDC-39C6950478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E12:E16 E5:E10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Comparativo 2019</vt:lpstr>
      <vt:lpstr>Comparativo 2019 (2)</vt:lpstr>
      <vt:lpstr>Comparativo GNR-2019</vt:lpstr>
      <vt:lpstr>Emisiones Netas y Brutas (2)</vt:lpstr>
      <vt:lpstr>Emisiones Netas y Brutas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eduardo grossling portales</cp:lastModifiedBy>
  <dcterms:created xsi:type="dcterms:W3CDTF">2021-10-20T01:57:26Z</dcterms:created>
  <dcterms:modified xsi:type="dcterms:W3CDTF">2025-03-27T23:17:11Z</dcterms:modified>
</cp:coreProperties>
</file>