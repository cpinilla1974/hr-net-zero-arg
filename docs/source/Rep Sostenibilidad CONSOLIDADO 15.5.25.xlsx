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portlandargentino-my.sharepoint.com/personal/maria_lefevre_icpa_org_ar/Documents/Documentos/AFCP Sostenibilidad/1-Informe Sostenibilidad/"/>
    </mc:Choice>
  </mc:AlternateContent>
  <xr:revisionPtr revIDLastSave="294" documentId="8_{4325586B-BFC5-4B28-879F-CE410380A437}" xr6:coauthVersionLast="47" xr6:coauthVersionMax="47" xr10:uidLastSave="{BCB63621-CDE2-4DD6-9F5A-7E63F2F51E1C}"/>
  <bookViews>
    <workbookView xWindow="-108" yWindow="-108" windowWidth="23256" windowHeight="12456" xr2:uid="{00000000-000D-0000-FFFF-FFFF00000000}"/>
  </bookViews>
  <sheets>
    <sheet name="Genera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5" l="1"/>
  <c r="S16" i="5"/>
  <c r="S15" i="5"/>
  <c r="S14" i="5"/>
  <c r="S34" i="5"/>
  <c r="S33" i="5"/>
  <c r="Q8" i="5"/>
  <c r="R34" i="5"/>
  <c r="R33" i="5"/>
  <c r="R17" i="5" l="1"/>
  <c r="R16" i="5"/>
  <c r="R15" i="5"/>
  <c r="R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 Polzinetti</author>
    <author>Matías Polzinetti</author>
  </authors>
  <commentList>
    <comment ref="O20" authorId="0" shapeId="0" xr:uid="{764ABD87-9919-414D-8179-3E730770630A}">
      <text>
        <r>
          <rPr>
            <b/>
            <sz val="9"/>
            <color indexed="81"/>
            <rFont val="Tahoma"/>
            <family val="2"/>
          </rPr>
          <t>CORREGIR EN INFORME FINAL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Obtenido de Informe Hoja de Ruta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Obtenido de Informe Hoja de Ruta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Incluye biomasa
</t>
        </r>
      </text>
    </comment>
    <comment ref="E31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Incluye biomasa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Incluye biomasa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Incluye biomasa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Incluye biomasa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9" authorId="0" shapeId="0" xr:uid="{3EC2BAAC-ABB1-4C99-A4E3-8B302B9F4150}">
      <text>
        <r>
          <rPr>
            <b/>
            <sz val="9"/>
            <color indexed="81"/>
            <rFont val="Tahoma"/>
            <family val="2"/>
          </rPr>
          <t xml:space="preserve">CORREGIR EN INFORME FINAL
</t>
        </r>
      </text>
    </comment>
    <comment ref="I49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CON 1 EXCLUSIÓN (FALTA DE DATOS DE 1 EMPRESA)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9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CON 2 EXCLUSIONES (FALTA DE DATOS DE 2 EMPRESAS)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9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CON 2 EXCLUSIONES (FALTA DE DATOS DE 2 EMPRESAS)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Según informe Hoja de Ruta: 782 kg/t Clk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1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Para los indicadores de CO2, adoptamos para el informe el valor relevado en el ámbito de proyecto de Hoja de Ruta. Sólo indicamos valor de 2010 y 2015 (los demás años no están disponibles)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3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Según informe Hoja de Ruta: 41 kg CO2/t cementitious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4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Según informe Hoja de ruta: 571 kg CO2/t cementituous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6" authorId="0" shapeId="0" xr:uid="{FD2132DC-658E-436F-855B-49BD32F98021}">
      <text>
        <r>
          <rPr>
            <b/>
            <sz val="9"/>
            <color indexed="81"/>
            <rFont val="Tahoma"/>
            <family val="2"/>
          </rPr>
          <t>Matias Polzinetti:</t>
        </r>
        <r>
          <rPr>
            <sz val="9"/>
            <color indexed="81"/>
            <rFont val="Tahoma"/>
            <family val="2"/>
          </rPr>
          <t xml:space="preserve">
CORREGIR EN INFORME FINAL</t>
        </r>
      </text>
    </comment>
    <comment ref="J61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CON 1 EXCLUSIÓN (FALTA DATO 1 EMPRESA)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61" authorId="0" shapeId="0" xr:uid="{8386F226-D153-4FEC-8199-F975D493B166}">
      <text>
        <r>
          <rPr>
            <b/>
            <sz val="9"/>
            <color indexed="81"/>
            <rFont val="Tahoma"/>
            <family val="2"/>
          </rPr>
          <t>Matias Polzinetti:</t>
        </r>
        <r>
          <rPr>
            <sz val="9"/>
            <color indexed="81"/>
            <rFont val="Tahoma"/>
            <family val="2"/>
          </rPr>
          <t xml:space="preserve">
FE DE ERRATAS EN INFORME 2020 SOBRE EL INFORME ANTERIOR</t>
        </r>
      </text>
    </comment>
    <comment ref="O61" authorId="0" shapeId="0" xr:uid="{43972FC8-E50F-4325-8841-A1830EC742D7}">
      <text>
        <r>
          <rPr>
            <b/>
            <sz val="9"/>
            <color indexed="81"/>
            <rFont val="Tahoma"/>
            <family val="2"/>
          </rPr>
          <t>Matias Polzinetti:</t>
        </r>
        <r>
          <rPr>
            <sz val="9"/>
            <color indexed="81"/>
            <rFont val="Tahoma"/>
            <family val="2"/>
          </rPr>
          <t xml:space="preserve">
CORREGIR EN INFORME FINAL</t>
        </r>
      </text>
    </comment>
    <comment ref="J63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CON 1 EXCLUSIÓN (FALTA DATO 1 EMPRESA)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5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CON 1 EXCLUSIÓN (FALTA DATO 1 EMPRESA)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65" authorId="0" shapeId="0" xr:uid="{6E491175-0355-441F-9528-BAC3925D7D07}">
      <text>
        <r>
          <rPr>
            <b/>
            <sz val="9"/>
            <color indexed="81"/>
            <rFont val="Tahoma"/>
            <family val="2"/>
          </rPr>
          <t>Matias Polzinetti:</t>
        </r>
        <r>
          <rPr>
            <sz val="9"/>
            <color indexed="81"/>
            <rFont val="Tahoma"/>
            <family val="2"/>
          </rPr>
          <t xml:space="preserve">
FE DE ERRATAS EN INFORME 2020 SOBRE EL INFORME ANTERIOR</t>
        </r>
      </text>
    </comment>
    <comment ref="O65" authorId="0" shapeId="0" xr:uid="{A16EC8D5-CD2C-4F90-962B-83B16736C1AB}">
      <text>
        <r>
          <rPr>
            <b/>
            <sz val="9"/>
            <color indexed="81"/>
            <rFont val="Tahoma"/>
            <family val="2"/>
          </rPr>
          <t>Matias Polzinetti:</t>
        </r>
        <r>
          <rPr>
            <sz val="9"/>
            <color indexed="81"/>
            <rFont val="Tahoma"/>
            <family val="2"/>
          </rPr>
          <t xml:space="preserve">
CORREGIR EN INFORME FINAL</t>
        </r>
      </text>
    </comment>
    <comment ref="J67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CON 1 EXCLUSIÓN (FALTA DATO 1 EMPRESA)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5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Para LN, repito el valor del 2015, dado que no está disponible el valor del 2016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0" authorId="0" shapeId="0" xr:uid="{EE9990EF-0CCA-4945-A8A4-1862C1B82DAA}">
      <text>
        <r>
          <rPr>
            <b/>
            <sz val="9"/>
            <color indexed="81"/>
            <rFont val="Tahoma"/>
            <family val="2"/>
          </rPr>
          <t>Ratio personal propio empresa/personal propio total es el del año 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0" authorId="0" shapeId="0" xr:uid="{BB62E943-192F-4CB3-BE04-0FCFB451FC68}">
      <text>
        <r>
          <rPr>
            <b/>
            <sz val="9"/>
            <color indexed="81"/>
            <rFont val="Tahoma"/>
            <family val="2"/>
          </rPr>
          <t>Ratio personal propio empresa/personal propio total es el del año 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3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 xml:space="preserve">1 EXCLUSIÓN (FALTA DATO 1 EMPRESA)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3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1 EXCLUSIÓN (FALTA DATO 1 EMPRESA)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3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1 EXCLUSIÓN (FALTA DATO 1 EMPRESA)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3" authorId="0" shapeId="0" xr:uid="{B01040EB-FEAD-42E3-A25F-3CC6EB16F340}">
      <text>
        <r>
          <rPr>
            <b/>
            <sz val="9"/>
            <color indexed="81"/>
            <rFont val="Tahoma"/>
            <family val="2"/>
          </rPr>
          <t>Ratio personal propio empresa/personal propio total es el del año 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3" authorId="0" shapeId="0" xr:uid="{D76BDE84-AB40-4600-9AD6-436BE49947E0}">
      <text>
        <r>
          <rPr>
            <b/>
            <sz val="9"/>
            <color indexed="81"/>
            <rFont val="Tahoma"/>
            <family val="2"/>
          </rPr>
          <t>Ratio personal propio empresa/personal propio total es el del año 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97" authorId="0" shapeId="0" xr:uid="{3139F87F-0825-4F62-819E-96C6EC4F5654}">
      <text>
        <r>
          <rPr>
            <b/>
            <sz val="9"/>
            <color indexed="81"/>
            <rFont val="Tahoma"/>
            <family val="2"/>
          </rPr>
          <t>1 EXCLUSIÓN</t>
        </r>
      </text>
    </comment>
    <comment ref="P98" authorId="0" shapeId="0" xr:uid="{E83590CC-F1FD-44D0-A38E-5E2B32467507}">
      <text>
        <r>
          <rPr>
            <b/>
            <sz val="9"/>
            <color indexed="81"/>
            <rFont val="Tahoma"/>
            <family val="2"/>
          </rPr>
          <t>1 EXCLUSIÓN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<sst xmlns="http://schemas.openxmlformats.org/spreadsheetml/2006/main" count="451" uniqueCount="140">
  <si>
    <t>GENERAL</t>
  </si>
  <si>
    <t>Cantidad de plantas</t>
  </si>
  <si>
    <t>u</t>
  </si>
  <si>
    <t>MATERIALES UTILIZADOS</t>
  </si>
  <si>
    <t>t</t>
  </si>
  <si>
    <t>Materiales empleados para el envasado y empaquetado</t>
  </si>
  <si>
    <t>Gas Natural</t>
  </si>
  <si>
    <t>GJ</t>
  </si>
  <si>
    <t>Otros destilados de origen fósil</t>
  </si>
  <si>
    <t>Biomasa no fósil</t>
  </si>
  <si>
    <t>Combustibles alternativos, excluyendo biomasa no fósil</t>
  </si>
  <si>
    <t>CONSUMO DE AGUA</t>
  </si>
  <si>
    <t>%</t>
  </si>
  <si>
    <t>EMISIONES A LA ATMÓSFERA</t>
  </si>
  <si>
    <t>NOx</t>
  </si>
  <si>
    <t>SO2</t>
  </si>
  <si>
    <t>Material particulado</t>
  </si>
  <si>
    <t>RESIDUOS</t>
  </si>
  <si>
    <t>COLABORADORES</t>
  </si>
  <si>
    <t>FORMACIÓN Y ENSEÑANZA</t>
  </si>
  <si>
    <t xml:space="preserve">% </t>
  </si>
  <si>
    <t>Un.</t>
  </si>
  <si>
    <t>Producción de clinker</t>
  </si>
  <si>
    <t>Capacidad instalada</t>
  </si>
  <si>
    <t>t/t clinker</t>
  </si>
  <si>
    <t>t/t cemento</t>
  </si>
  <si>
    <t>CONSUMO DE ENERGÍA</t>
  </si>
  <si>
    <t>GJ/t clinker</t>
  </si>
  <si>
    <t>GJ/t cemento</t>
  </si>
  <si>
    <t>Eléctrica</t>
  </si>
  <si>
    <t>% Consumo de energía eléctrica a base de fuentes renovables</t>
  </si>
  <si>
    <t>Consumo total de energía</t>
  </si>
  <si>
    <t>Consumo interno de agua</t>
  </si>
  <si>
    <t>m3/t cemento</t>
  </si>
  <si>
    <t>Emisión indirecta de CO2</t>
  </si>
  <si>
    <t>Emisión total de CO2</t>
  </si>
  <si>
    <t>Otras emisiones:</t>
  </si>
  <si>
    <t>g/t cemento</t>
  </si>
  <si>
    <t>kg/t cemento</t>
  </si>
  <si>
    <t>pers</t>
  </si>
  <si>
    <t>SALUD Y SEGURIDAD EN EL TRABAJO</t>
  </si>
  <si>
    <t>Frecuencia con baja</t>
  </si>
  <si>
    <t>Incidencia accidentes en período</t>
  </si>
  <si>
    <t>Gravedad del período</t>
  </si>
  <si>
    <t>CONSOLIDADO INDUSTRIA</t>
  </si>
  <si>
    <t>% Consumo de energía térmica en base a biomasa</t>
  </si>
  <si>
    <t>Descripción</t>
  </si>
  <si>
    <t>Plantas integradas + Plantas de molienda</t>
  </si>
  <si>
    <t>Materias primas tradicionales para la producción de clinker</t>
  </si>
  <si>
    <t>Materias primas alternativas para la producción de clinker</t>
  </si>
  <si>
    <t xml:space="preserve">Materias primas tradicionales que se agregan al clinker para la producción de cemento </t>
  </si>
  <si>
    <t>ND</t>
  </si>
  <si>
    <t>Cantidad de cementos certificados por un organismo de 3ra parte</t>
  </si>
  <si>
    <t>Cantidad de productos expedidos al mercado interno, alcanzados por una certificación de calidad extendida por un organismo de 3ra parte, como demostración de la calidad conforme a las normas IRAM aplicables a cada cemento</t>
  </si>
  <si>
    <t>Cant de empleados con contrato permanente</t>
  </si>
  <si>
    <t>Cant. de empleados cubiertos por convenio colectivo</t>
  </si>
  <si>
    <t>Cant. de empleados con trabajo de jornada completa</t>
  </si>
  <si>
    <t>Materias primas alternativas que se agregan al clinker para producir cemento</t>
  </si>
  <si>
    <t>Materias primas tradicionales que se emplean en la producción de clinker (caliza, arcillas, margas, esquistos, mineral de hierro, bauxita, arena silíceas, entre otros)</t>
  </si>
  <si>
    <t>Componentes tradicionales del cemento que difieren del clinker, incluyendo al yeso, las puzolanas naturales, el filler calcáreo, y los componentes minoritarios</t>
  </si>
  <si>
    <t xml:space="preserve">Componentes del cemento no tradicionales/alternativos (recursos alternativos) que difieren del clinker, incluyendo, por ejemplo, escoria granulada de alto horno, cenizas volanes silíceas, yeso artificial, entre otros. </t>
  </si>
  <si>
    <t>Coque de petróleo</t>
  </si>
  <si>
    <t>% Consumo de energía térmica en base de combustibles alternativos (sin biomasa)</t>
  </si>
  <si>
    <t>kg CO2/t clinker</t>
  </si>
  <si>
    <t>Emisión directa total de CO2, excluyendo la asociada al consumo eléctrico y la relativa al uso de biomasa como combustible (carbono neutral), relativa a la producción nacional de clinker</t>
  </si>
  <si>
    <t>Térmica (para producción de clinker nacional)</t>
  </si>
  <si>
    <t>Emisión directa de NOx relativa a producción nacional de clinker</t>
  </si>
  <si>
    <t>Para operaciones en unidades de prod. de cemento</t>
  </si>
  <si>
    <t>Cant Acc / HH</t>
  </si>
  <si>
    <t>Días perd / HH</t>
  </si>
  <si>
    <t>Materias primas alternativas que se emplean para la producción de clinker, incluyendo, por ejemplo, residuos o subproductos industriales que sustituyen recursos tradicionales de origen natural</t>
  </si>
  <si>
    <t>Directa + Indirecta para producción de cemento</t>
  </si>
  <si>
    <t>No disponible</t>
  </si>
  <si>
    <t>Porcentaje de agua reciclada y reutilizada</t>
  </si>
  <si>
    <t>Residuos no peligrosos generados</t>
  </si>
  <si>
    <t>Residuos peligrosos generados</t>
  </si>
  <si>
    <t>mill de t totales / año</t>
  </si>
  <si>
    <t>Materias primas tradicionales y alternativas para producción de clinker</t>
  </si>
  <si>
    <t>Materias primas tradicionales y alternativas para producción de cemento (excluyendo clinker)</t>
  </si>
  <si>
    <t>kg CO2/t cemento</t>
  </si>
  <si>
    <t>Directa + Indirecta [Cementos de uso estructural]</t>
  </si>
  <si>
    <t>Producción de cemento de albañilería</t>
  </si>
  <si>
    <t>Producción de cemento para uso estructural</t>
  </si>
  <si>
    <t>---</t>
  </si>
  <si>
    <t>Factor clinker</t>
  </si>
  <si>
    <t>Cantidad de colaboradores (plantel propio)</t>
  </si>
  <si>
    <t>Cantidad de colaboradores (plantel propio + contratistas/subcontratistas)</t>
  </si>
  <si>
    <t>Sólo en Operación Cemento. Incluye colaboradores del plantel propio, con empleo permanente, a plazo o temporario, de jornada completa o a tiempo parcial.</t>
  </si>
  <si>
    <t>Sólo en Operación Cemento. Incluye colaboradores del plantel propio, contratistas y subcontratistas con empleos permanentes, a plazo o temporarios, de jornada completa o a tiempo parcial.</t>
  </si>
  <si>
    <t>h/pers</t>
  </si>
  <si>
    <t>Acc c/pérd / pers</t>
  </si>
  <si>
    <t xml:space="preserve"> = Despacho total en bolsas / Despacho total (granel+bolsa)</t>
  </si>
  <si>
    <r>
      <t xml:space="preserve">Producción de </t>
    </r>
    <r>
      <rPr>
        <i/>
        <sz val="10"/>
        <color theme="1"/>
        <rFont val="Arial"/>
        <family val="2"/>
      </rPr>
      <t>Cementitious products</t>
    </r>
  </si>
  <si>
    <t>Indicador "092a Clinker/Cement (eq) Factor" de GNR (v3.1)</t>
  </si>
  <si>
    <t>Fuel Oil</t>
  </si>
  <si>
    <t>Carbón mineral</t>
  </si>
  <si>
    <t>Consumo interno de energía eléctrica total</t>
  </si>
  <si>
    <t>1er informe AFCP</t>
  </si>
  <si>
    <t>2do informe AFCP</t>
  </si>
  <si>
    <t>3er informe AFCP</t>
  </si>
  <si>
    <t>4to informe</t>
  </si>
  <si>
    <t>En base al factor de emisión de la red eléctrica nacional ["OM SIMPLE EX POST"]</t>
  </si>
  <si>
    <t>kg CO2 / GJ</t>
  </si>
  <si>
    <t>Alternativos, excluyendo a la biomasa no fósil. Fuente: relevamiento Matriz de Combustibles AFCP</t>
  </si>
  <si>
    <t>Biomasa no fósil + Otros alternativos. Fuente: relevamiento Matriz de Combustibles AFCP</t>
  </si>
  <si>
    <t>Factor CO2 del mix de combustibles de horno</t>
  </si>
  <si>
    <t>% Despacho de cemento en bolsas respecto al total (Cemento estructural)</t>
  </si>
  <si>
    <t>Materias primas totales para la producción de clinker</t>
  </si>
  <si>
    <t>Materias primas totales para la producción de cemento</t>
  </si>
  <si>
    <t>Matriz de combustibles:</t>
  </si>
  <si>
    <t>Consumo de energía directa (térmica-horno)</t>
  </si>
  <si>
    <t>Consumo de energía indirecta</t>
  </si>
  <si>
    <t>Emisión directa de CO2</t>
  </si>
  <si>
    <t>Evaluación periódica de desempeño (plantel propio)</t>
  </si>
  <si>
    <t>Horas de formación por colaborador del plantel propio</t>
  </si>
  <si>
    <t>5to informe</t>
  </si>
  <si>
    <t>Hombres</t>
  </si>
  <si>
    <t>Mujeres</t>
  </si>
  <si>
    <t>Distribución de colaboradores por categoría laboral y género sobre el total de colaboradores</t>
  </si>
  <si>
    <t>Hombres:</t>
  </si>
  <si>
    <t>Ejecutivos (Directores y gerentes)</t>
  </si>
  <si>
    <t>Staff (Supervisores, jefes, analistas, técnicos y administr. Sr)</t>
  </si>
  <si>
    <t>Operativos (Operarios y administrativos)</t>
  </si>
  <si>
    <t>Mujeres:</t>
  </si>
  <si>
    <t>CADENA DE SUMINISTRO Y RESPONSABILIDAD SOCIAL EMPRESARIA</t>
  </si>
  <si>
    <t>Participación de PyMEs en la estructura de proveedores</t>
  </si>
  <si>
    <t>Inversión total en actividades de RSE</t>
  </si>
  <si>
    <t>Ar$</t>
  </si>
  <si>
    <t>Residuos peligrosos que fueron reutilizados, reciclados o valorizados</t>
  </si>
  <si>
    <t>Residuos no peligrosos que fueron reutilizados, reciclados o valorizados</t>
  </si>
  <si>
    <t>Consumo interno de energía eléctrica total a base de fuentes renovables</t>
  </si>
  <si>
    <t>No se solicita en la plataforma</t>
  </si>
  <si>
    <t xml:space="preserve">Agua superficial </t>
  </si>
  <si>
    <t>m3/año</t>
  </si>
  <si>
    <t>Agua subterránea</t>
  </si>
  <si>
    <t>Agua de lluvia recogida y almacenada</t>
  </si>
  <si>
    <t>Aguas residuales</t>
  </si>
  <si>
    <t>Aguas de red</t>
  </si>
  <si>
    <t>Agua reciclada y reutilizada</t>
  </si>
  <si>
    <t>pers (luego%)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</si>
</sst>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0.0"/>
    <numFmt numFmtId="166" formatCode="_-[$ARS]\ * #,##0_-;\-[$ARS]\ * #,##0_-;_-[$ARS]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0"/>
      <color theme="2" tint="-0.249977111117893"/>
      <name val="Arial"/>
      <family val="2"/>
    </font>
    <font>
      <b/>
      <sz val="10"/>
      <color theme="2" tint="-0.249977111117893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8" fillId="0" borderId="0" xfId="0" applyFont="1"/>
    <xf numFmtId="0" fontId="1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vertical="center"/>
    </xf>
    <xf numFmtId="3" fontId="8" fillId="5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3" fontId="8" fillId="0" borderId="1" xfId="0" applyNumberFormat="1" applyFont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vertical="top" wrapText="1"/>
    </xf>
    <xf numFmtId="164" fontId="3" fillId="5" borderId="1" xfId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5" fontId="8" fillId="5" borderId="1" xfId="1" applyNumberFormat="1" applyFont="1" applyFill="1" applyBorder="1" applyAlignment="1">
      <alignment horizontal="center" vertical="center" wrapText="1"/>
    </xf>
    <xf numFmtId="164" fontId="8" fillId="5" borderId="1" xfId="1" quotePrefix="1" applyNumberFormat="1" applyFont="1" applyFill="1" applyBorder="1" applyAlignment="1">
      <alignment horizontal="center" vertical="center" wrapText="1"/>
    </xf>
    <xf numFmtId="165" fontId="8" fillId="5" borderId="1" xfId="1" quotePrefix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5"/>
    </xf>
    <xf numFmtId="164" fontId="3" fillId="0" borderId="1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164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10" fontId="3" fillId="5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1" fontId="3" fillId="0" borderId="1" xfId="1" applyNumberFormat="1" applyFont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indent="2"/>
    </xf>
    <xf numFmtId="3" fontId="8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2" fontId="8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165" fontId="3" fillId="5" borderId="1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vertical="center"/>
    </xf>
    <xf numFmtId="0" fontId="2" fillId="7" borderId="1" xfId="0" applyFont="1" applyFill="1" applyBorder="1"/>
    <xf numFmtId="166" fontId="3" fillId="5" borderId="1" xfId="4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164" fontId="3" fillId="5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2" fillId="0" borderId="1" xfId="0" applyFont="1" applyBorder="1"/>
    <xf numFmtId="3" fontId="8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10" fontId="3" fillId="5" borderId="1" xfId="1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2" fontId="3" fillId="5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64" fontId="3" fillId="5" borderId="1" xfId="1" applyNumberFormat="1" applyFont="1" applyFill="1" applyBorder="1" applyAlignment="1">
      <alignment horizontal="center" vertical="center" wrapText="1"/>
    </xf>
  </cellXfs>
  <cellStyles count="5">
    <cellStyle name="Millares 2" xfId="3" xr:uid="{00000000-0005-0000-0000-000000000000}"/>
    <cellStyle name="Moneda" xfId="4" builtinId="4"/>
    <cellStyle name="Normal" xfId="0" builtinId="0"/>
    <cellStyle name="Normal 2" xfId="2" xr:uid="{00000000-0005-0000-0000-000002000000}"/>
    <cellStyle name="Porcentaje" xfId="1" builtinId="5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S98"/>
  <sheetViews>
    <sheetView showGridLines="0" tabSelected="1" zoomScale="80" zoomScaleNormal="80" workbookViewId="0">
      <pane xSplit="3" topLeftCell="K1" activePane="topRight" state="frozen"/>
      <selection pane="topRight" activeCell="M21" sqref="M21"/>
    </sheetView>
  </sheetViews>
  <sheetFormatPr baseColWidth="10" defaultColWidth="11.44140625" defaultRowHeight="13.2" x14ac:dyDescent="0.25"/>
  <cols>
    <col min="1" max="1" width="3.33203125" style="1" customWidth="1"/>
    <col min="2" max="2" width="73.88671875" style="1" customWidth="1"/>
    <col min="3" max="3" width="29" style="2" customWidth="1"/>
    <col min="4" max="8" width="17.44140625" style="2" customWidth="1"/>
    <col min="9" max="11" width="16.6640625" style="1" customWidth="1"/>
    <col min="12" max="12" width="5.33203125" style="5" customWidth="1"/>
    <col min="13" max="18" width="16.6640625" style="3" customWidth="1"/>
    <col min="19" max="19" width="18.33203125" style="3" bestFit="1" customWidth="1"/>
    <col min="20" max="16384" width="11.44140625" style="1"/>
  </cols>
  <sheetData>
    <row r="2" spans="2:19" ht="15" customHeight="1" x14ac:dyDescent="0.25">
      <c r="D2" s="101" t="s">
        <v>97</v>
      </c>
      <c r="E2" s="101"/>
      <c r="F2" s="101" t="s">
        <v>98</v>
      </c>
      <c r="G2" s="101"/>
      <c r="H2" s="101"/>
      <c r="I2" s="101" t="s">
        <v>99</v>
      </c>
      <c r="J2" s="101"/>
      <c r="K2" s="101"/>
      <c r="M2" s="101" t="s">
        <v>100</v>
      </c>
      <c r="N2" s="101"/>
      <c r="O2" s="101" t="s">
        <v>115</v>
      </c>
      <c r="P2" s="101"/>
      <c r="Q2" s="6"/>
      <c r="R2" s="6"/>
      <c r="S2" s="6"/>
    </row>
    <row r="3" spans="2:19" ht="15" customHeight="1" x14ac:dyDescent="0.25">
      <c r="B3" s="7" t="s">
        <v>44</v>
      </c>
      <c r="C3" s="8" t="s">
        <v>21</v>
      </c>
      <c r="D3" s="8">
        <v>2010</v>
      </c>
      <c r="E3" s="8">
        <v>2011</v>
      </c>
      <c r="F3" s="8">
        <v>2012</v>
      </c>
      <c r="G3" s="8">
        <v>2013</v>
      </c>
      <c r="H3" s="8">
        <v>2014</v>
      </c>
      <c r="I3" s="8">
        <v>2015</v>
      </c>
      <c r="J3" s="8">
        <v>2016</v>
      </c>
      <c r="K3" s="8">
        <v>2017</v>
      </c>
      <c r="L3" s="9" t="s">
        <v>46</v>
      </c>
      <c r="M3" s="8">
        <v>2018</v>
      </c>
      <c r="N3" s="8">
        <v>2019</v>
      </c>
      <c r="O3" s="8">
        <v>2020</v>
      </c>
      <c r="P3" s="8">
        <v>2021</v>
      </c>
      <c r="Q3" s="8">
        <v>2022</v>
      </c>
      <c r="R3" s="8">
        <v>2023</v>
      </c>
      <c r="S3" s="8">
        <v>2024</v>
      </c>
    </row>
    <row r="4" spans="2:19" x14ac:dyDescent="0.25">
      <c r="B4" s="10" t="s">
        <v>0</v>
      </c>
      <c r="C4" s="11"/>
      <c r="D4" s="11"/>
      <c r="E4" s="11"/>
      <c r="F4" s="11"/>
      <c r="G4" s="11"/>
      <c r="H4" s="11"/>
      <c r="I4" s="12"/>
      <c r="J4" s="12"/>
      <c r="K4" s="12"/>
      <c r="L4" s="13"/>
      <c r="M4" s="10"/>
      <c r="N4" s="10"/>
      <c r="O4" s="10"/>
      <c r="P4" s="10"/>
      <c r="Q4" s="10"/>
      <c r="R4" s="10"/>
      <c r="S4" s="10"/>
    </row>
    <row r="5" spans="2:19" ht="15" customHeight="1" x14ac:dyDescent="0.25">
      <c r="B5" s="14" t="s">
        <v>22</v>
      </c>
      <c r="C5" s="15" t="s">
        <v>4</v>
      </c>
      <c r="D5" s="16">
        <v>8252502</v>
      </c>
      <c r="E5" s="16">
        <v>8899532</v>
      </c>
      <c r="F5" s="16">
        <v>8593572</v>
      </c>
      <c r="G5" s="16">
        <v>8659581</v>
      </c>
      <c r="H5" s="16">
        <v>8490003</v>
      </c>
      <c r="I5" s="16">
        <v>8788195</v>
      </c>
      <c r="J5" s="16">
        <v>7834031</v>
      </c>
      <c r="K5" s="16">
        <v>8582964</v>
      </c>
      <c r="L5" s="17"/>
      <c r="M5" s="16">
        <v>8595950</v>
      </c>
      <c r="N5" s="16">
        <v>8147794</v>
      </c>
      <c r="O5" s="16">
        <v>6903362</v>
      </c>
      <c r="P5" s="16">
        <v>9190258</v>
      </c>
      <c r="Q5" s="16">
        <v>9961118</v>
      </c>
      <c r="R5" s="16">
        <v>9548386</v>
      </c>
      <c r="S5" s="16">
        <v>7072783.79</v>
      </c>
    </row>
    <row r="6" spans="2:19" ht="15" customHeight="1" x14ac:dyDescent="0.25">
      <c r="B6" s="14" t="s">
        <v>82</v>
      </c>
      <c r="C6" s="15" t="s">
        <v>4</v>
      </c>
      <c r="D6" s="16">
        <v>10423088</v>
      </c>
      <c r="E6" s="16">
        <v>11592311</v>
      </c>
      <c r="F6" s="16">
        <v>10716253</v>
      </c>
      <c r="G6" s="16">
        <v>11891837</v>
      </c>
      <c r="H6" s="16">
        <v>11408392</v>
      </c>
      <c r="I6" s="16">
        <v>12192563</v>
      </c>
      <c r="J6" s="16">
        <v>10898581</v>
      </c>
      <c r="K6" s="16">
        <v>11960152</v>
      </c>
      <c r="L6" s="17"/>
      <c r="M6" s="16">
        <v>11841500</v>
      </c>
      <c r="N6" s="16">
        <v>11081728</v>
      </c>
      <c r="O6" s="16">
        <v>9870953</v>
      </c>
      <c r="P6" s="16">
        <v>12116862</v>
      </c>
      <c r="Q6" s="16">
        <v>13029449</v>
      </c>
      <c r="R6" s="16">
        <v>12569700</v>
      </c>
      <c r="S6" s="16">
        <v>9593280</v>
      </c>
    </row>
    <row r="7" spans="2:19" ht="15" customHeight="1" x14ac:dyDescent="0.25">
      <c r="B7" s="14" t="s">
        <v>81</v>
      </c>
      <c r="C7" s="15" t="s">
        <v>4</v>
      </c>
      <c r="D7" s="16">
        <v>970111</v>
      </c>
      <c r="E7" s="16">
        <v>1087146</v>
      </c>
      <c r="F7" s="16">
        <v>1021068</v>
      </c>
      <c r="G7" s="16">
        <v>1131723</v>
      </c>
      <c r="H7" s="16">
        <v>1052708</v>
      </c>
      <c r="I7" s="16">
        <v>1057788</v>
      </c>
      <c r="J7" s="16">
        <v>985184</v>
      </c>
      <c r="K7" s="16">
        <v>980179</v>
      </c>
      <c r="L7" s="17"/>
      <c r="M7" s="18">
        <v>925174</v>
      </c>
      <c r="N7" s="18">
        <v>841932</v>
      </c>
      <c r="O7" s="18">
        <v>881141</v>
      </c>
      <c r="P7" s="18">
        <v>920745</v>
      </c>
      <c r="Q7" s="18">
        <v>888468</v>
      </c>
      <c r="R7" s="18">
        <v>795717</v>
      </c>
      <c r="S7" s="18">
        <v>632597</v>
      </c>
    </row>
    <row r="8" spans="2:19" ht="15" customHeight="1" x14ac:dyDescent="0.25">
      <c r="B8" s="19" t="s">
        <v>92</v>
      </c>
      <c r="C8" s="20" t="s">
        <v>4</v>
      </c>
      <c r="D8" s="20" t="s">
        <v>72</v>
      </c>
      <c r="E8" s="20" t="s">
        <v>72</v>
      </c>
      <c r="F8" s="20" t="s">
        <v>72</v>
      </c>
      <c r="G8" s="20" t="s">
        <v>72</v>
      </c>
      <c r="H8" s="20" t="s">
        <v>72</v>
      </c>
      <c r="I8" s="20" t="s">
        <v>72</v>
      </c>
      <c r="J8" s="20" t="s">
        <v>72</v>
      </c>
      <c r="K8" s="20" t="s">
        <v>72</v>
      </c>
      <c r="L8" s="21"/>
      <c r="M8" s="22">
        <v>12483137.177654011</v>
      </c>
      <c r="N8" s="22">
        <v>11767177.821699012</v>
      </c>
      <c r="O8" s="22">
        <v>10786030</v>
      </c>
      <c r="P8" s="22">
        <v>12748103</v>
      </c>
      <c r="Q8" s="22">
        <f>+Q7+Q6</f>
        <v>13917917</v>
      </c>
      <c r="R8" s="22">
        <v>13365417</v>
      </c>
      <c r="S8" s="22">
        <v>10225877.119999999</v>
      </c>
    </row>
    <row r="9" spans="2:19" ht="15" customHeight="1" x14ac:dyDescent="0.25">
      <c r="B9" s="14" t="s">
        <v>23</v>
      </c>
      <c r="C9" s="15" t="s">
        <v>4</v>
      </c>
      <c r="D9" s="16">
        <v>13722000</v>
      </c>
      <c r="E9" s="16">
        <v>14546000</v>
      </c>
      <c r="F9" s="16">
        <v>15346000</v>
      </c>
      <c r="G9" s="16">
        <v>15346000</v>
      </c>
      <c r="H9" s="16">
        <v>15346000</v>
      </c>
      <c r="I9" s="16">
        <v>15346000</v>
      </c>
      <c r="J9" s="16">
        <v>15346000</v>
      </c>
      <c r="K9" s="16">
        <v>15346000</v>
      </c>
      <c r="L9" s="17"/>
      <c r="M9" s="16">
        <v>15346000</v>
      </c>
      <c r="N9" s="16">
        <v>15346000</v>
      </c>
      <c r="O9" s="16">
        <v>15768000</v>
      </c>
      <c r="P9" s="23"/>
      <c r="Q9" s="18">
        <v>18468000</v>
      </c>
      <c r="R9" s="18">
        <v>18468000</v>
      </c>
      <c r="S9" s="18">
        <v>18468000</v>
      </c>
    </row>
    <row r="10" spans="2:19" ht="15" customHeight="1" x14ac:dyDescent="0.25">
      <c r="B10" s="14" t="s">
        <v>1</v>
      </c>
      <c r="C10" s="15" t="s">
        <v>2</v>
      </c>
      <c r="D10" s="15">
        <v>18</v>
      </c>
      <c r="E10" s="15">
        <v>18</v>
      </c>
      <c r="F10" s="15">
        <v>18</v>
      </c>
      <c r="G10" s="15">
        <v>18</v>
      </c>
      <c r="H10" s="15">
        <v>18</v>
      </c>
      <c r="I10" s="15">
        <v>18</v>
      </c>
      <c r="J10" s="15">
        <v>18</v>
      </c>
      <c r="K10" s="15">
        <v>18</v>
      </c>
      <c r="L10" s="17" t="s">
        <v>47</v>
      </c>
      <c r="M10" s="15">
        <v>18</v>
      </c>
      <c r="N10" s="15">
        <v>18</v>
      </c>
      <c r="O10" s="15">
        <v>17</v>
      </c>
      <c r="P10" s="15">
        <v>16</v>
      </c>
      <c r="Q10" s="15">
        <v>16</v>
      </c>
      <c r="R10" s="15">
        <v>16</v>
      </c>
      <c r="S10" s="15">
        <v>16</v>
      </c>
    </row>
    <row r="11" spans="2:19" ht="15" customHeight="1" x14ac:dyDescent="0.25">
      <c r="B11" s="24" t="s">
        <v>52</v>
      </c>
      <c r="C11" s="15" t="s">
        <v>2</v>
      </c>
      <c r="D11" s="15" t="s">
        <v>72</v>
      </c>
      <c r="E11" s="15" t="s">
        <v>72</v>
      </c>
      <c r="F11" s="15" t="s">
        <v>72</v>
      </c>
      <c r="G11" s="15" t="s">
        <v>72</v>
      </c>
      <c r="H11" s="15" t="s">
        <v>72</v>
      </c>
      <c r="I11" s="15">
        <v>56</v>
      </c>
      <c r="J11" s="15">
        <v>51</v>
      </c>
      <c r="K11" s="15">
        <v>59</v>
      </c>
      <c r="L11" s="17" t="s">
        <v>53</v>
      </c>
      <c r="M11" s="15">
        <v>62</v>
      </c>
      <c r="N11" s="15">
        <v>70</v>
      </c>
      <c r="O11" s="15">
        <v>65</v>
      </c>
      <c r="P11" s="15">
        <v>59</v>
      </c>
      <c r="Q11" s="15"/>
      <c r="R11" s="15"/>
      <c r="S11" s="15"/>
    </row>
    <row r="12" spans="2:19" ht="15" customHeight="1" x14ac:dyDescent="0.25">
      <c r="B12" s="14" t="s">
        <v>106</v>
      </c>
      <c r="C12" s="15" t="s">
        <v>12</v>
      </c>
      <c r="D12" s="25">
        <v>0.61980114436990152</v>
      </c>
      <c r="E12" s="25">
        <v>0.61881336332579429</v>
      </c>
      <c r="F12" s="25">
        <v>0.64086651420065666</v>
      </c>
      <c r="G12" s="25">
        <v>0.63889657719080317</v>
      </c>
      <c r="H12" s="25">
        <v>0.63250645562102048</v>
      </c>
      <c r="I12" s="25">
        <v>0.62905679388643054</v>
      </c>
      <c r="J12" s="25">
        <v>0.64486071984925897</v>
      </c>
      <c r="K12" s="25">
        <v>0.60350957298930596</v>
      </c>
      <c r="L12" s="17" t="s">
        <v>91</v>
      </c>
      <c r="M12" s="25">
        <v>0.57570214443012668</v>
      </c>
      <c r="N12" s="25">
        <v>0.58262387392500603</v>
      </c>
      <c r="O12" s="25">
        <v>0.7021255045453777</v>
      </c>
      <c r="P12" s="25">
        <v>0.60732833253817087</v>
      </c>
      <c r="Q12" s="25">
        <v>0.57999999999999996</v>
      </c>
      <c r="R12" s="25">
        <v>0.56000000000000005</v>
      </c>
      <c r="S12" s="25">
        <v>0.6</v>
      </c>
    </row>
    <row r="13" spans="2:19" ht="15" customHeight="1" x14ac:dyDescent="0.25">
      <c r="B13" s="10" t="s">
        <v>3</v>
      </c>
      <c r="C13" s="10"/>
      <c r="D13" s="10"/>
      <c r="E13" s="10"/>
      <c r="F13" s="10"/>
      <c r="G13" s="10"/>
      <c r="H13" s="10"/>
      <c r="I13" s="12"/>
      <c r="J13" s="12"/>
      <c r="K13" s="12"/>
      <c r="L13" s="26"/>
      <c r="M13" s="10"/>
      <c r="N13" s="10"/>
      <c r="O13" s="10"/>
      <c r="P13" s="10"/>
      <c r="Q13" s="10"/>
      <c r="R13" s="10"/>
      <c r="S13" s="10"/>
    </row>
    <row r="14" spans="2:19" ht="15" customHeight="1" x14ac:dyDescent="0.25">
      <c r="B14" s="14" t="s">
        <v>48</v>
      </c>
      <c r="C14" s="27" t="s">
        <v>76</v>
      </c>
      <c r="D14" s="28">
        <v>12.458006800000001</v>
      </c>
      <c r="E14" s="28">
        <v>13.087496400000001</v>
      </c>
      <c r="F14" s="28">
        <v>13.88804152</v>
      </c>
      <c r="G14" s="28">
        <v>14.438345409</v>
      </c>
      <c r="H14" s="28">
        <v>13.300910587999999</v>
      </c>
      <c r="I14" s="28">
        <v>13.470982885</v>
      </c>
      <c r="J14" s="28">
        <v>12.484788679999996</v>
      </c>
      <c r="K14" s="28">
        <v>12.614944089999993</v>
      </c>
      <c r="L14" s="17" t="s">
        <v>58</v>
      </c>
      <c r="M14" s="28">
        <v>12.694429343338435</v>
      </c>
      <c r="N14" s="28">
        <v>12.055837603468396</v>
      </c>
      <c r="O14" s="28">
        <v>11.237498</v>
      </c>
      <c r="P14" s="28">
        <v>14.290271071000001</v>
      </c>
      <c r="Q14" s="28">
        <v>16.652238000000001</v>
      </c>
      <c r="R14" s="28">
        <f>15014167/1000000</f>
        <v>15.014167</v>
      </c>
      <c r="S14" s="28">
        <f>10377906.72/1000000</f>
        <v>10.37790672</v>
      </c>
    </row>
    <row r="15" spans="2:19" ht="15" customHeight="1" x14ac:dyDescent="0.25">
      <c r="B15" s="29" t="s">
        <v>49</v>
      </c>
      <c r="C15" s="27" t="s">
        <v>76</v>
      </c>
      <c r="D15" s="15" t="s">
        <v>72</v>
      </c>
      <c r="E15" s="15" t="s">
        <v>72</v>
      </c>
      <c r="F15" s="15" t="s">
        <v>72</v>
      </c>
      <c r="G15" s="15" t="s">
        <v>72</v>
      </c>
      <c r="H15" s="15" t="s">
        <v>72</v>
      </c>
      <c r="I15" s="28">
        <v>8.0585000000000004E-2</v>
      </c>
      <c r="J15" s="28">
        <v>6.1184000000000002E-2</v>
      </c>
      <c r="K15" s="28">
        <v>8.6648000000000003E-2</v>
      </c>
      <c r="L15" s="17" t="s">
        <v>70</v>
      </c>
      <c r="M15" s="28">
        <v>0.11991050400000035</v>
      </c>
      <c r="N15" s="28">
        <v>0.14923095299999983</v>
      </c>
      <c r="O15" s="28">
        <v>0.212899</v>
      </c>
      <c r="P15" s="28">
        <v>0.37972173326000003</v>
      </c>
      <c r="Q15" s="28">
        <v>0.66308800000000001</v>
      </c>
      <c r="R15" s="28">
        <f>116525.48/1000000</f>
        <v>0.11652548</v>
      </c>
      <c r="S15" s="28">
        <f>104155.13/1000000</f>
        <v>0.10415513</v>
      </c>
    </row>
    <row r="16" spans="2:19" ht="15" customHeight="1" x14ac:dyDescent="0.25">
      <c r="B16" s="30" t="s">
        <v>50</v>
      </c>
      <c r="C16" s="27" t="s">
        <v>76</v>
      </c>
      <c r="D16" s="28">
        <v>2.3269057000000002</v>
      </c>
      <c r="E16" s="28">
        <v>2.8779132000000001</v>
      </c>
      <c r="F16" s="28">
        <v>3.4876168860000001</v>
      </c>
      <c r="G16" s="28">
        <v>3.2605201800000003</v>
      </c>
      <c r="H16" s="28">
        <v>3.1161813719999998</v>
      </c>
      <c r="I16" s="28">
        <v>3.4540008710000003</v>
      </c>
      <c r="J16" s="28">
        <v>3.3226729954747145</v>
      </c>
      <c r="K16" s="28">
        <v>3.378327054287102</v>
      </c>
      <c r="L16" s="17" t="s">
        <v>59</v>
      </c>
      <c r="M16" s="28">
        <v>2.7955437409172301</v>
      </c>
      <c r="N16" s="28">
        <v>2.5467888759999995</v>
      </c>
      <c r="O16" s="28">
        <v>2.3048289999999998</v>
      </c>
      <c r="P16" s="28">
        <v>2.8927990000000001</v>
      </c>
      <c r="Q16" s="28">
        <v>3.6415959999999998</v>
      </c>
      <c r="R16" s="28">
        <f>3627234.6/1000000</f>
        <v>3.6272346</v>
      </c>
      <c r="S16" s="28">
        <f>2619845/1000000</f>
        <v>2.6198450000000002</v>
      </c>
    </row>
    <row r="17" spans="2:19" ht="15" customHeight="1" x14ac:dyDescent="0.25">
      <c r="B17" s="31" t="s">
        <v>57</v>
      </c>
      <c r="C17" s="27" t="s">
        <v>76</v>
      </c>
      <c r="D17" s="15" t="s">
        <v>72</v>
      </c>
      <c r="E17" s="15" t="s">
        <v>72</v>
      </c>
      <c r="F17" s="15" t="s">
        <v>72</v>
      </c>
      <c r="G17" s="15" t="s">
        <v>72</v>
      </c>
      <c r="H17" s="15" t="s">
        <v>72</v>
      </c>
      <c r="I17" s="28">
        <v>0.339976</v>
      </c>
      <c r="J17" s="28">
        <v>0.36380400000000002</v>
      </c>
      <c r="K17" s="28">
        <v>0.36179099999999997</v>
      </c>
      <c r="L17" s="17" t="s">
        <v>60</v>
      </c>
      <c r="M17" s="28">
        <v>0.84509848600000004</v>
      </c>
      <c r="N17" s="28">
        <v>0.79825627399999999</v>
      </c>
      <c r="O17" s="28">
        <v>0.71467400000000003</v>
      </c>
      <c r="P17" s="28">
        <v>0.80576999999999999</v>
      </c>
      <c r="Q17" s="28">
        <v>0.82804109999999997</v>
      </c>
      <c r="R17" s="28">
        <f>830931.2/1000000</f>
        <v>0.83093119999999998</v>
      </c>
      <c r="S17" s="28">
        <f>422451/1000000</f>
        <v>0.42245100000000002</v>
      </c>
    </row>
    <row r="18" spans="2:19" ht="15" customHeight="1" x14ac:dyDescent="0.25">
      <c r="B18" s="19" t="s">
        <v>107</v>
      </c>
      <c r="C18" s="20" t="s">
        <v>24</v>
      </c>
      <c r="D18" s="32">
        <v>1.5096036086995193</v>
      </c>
      <c r="E18" s="32">
        <v>1.4705825429921484</v>
      </c>
      <c r="F18" s="32">
        <v>1.6160964870021453</v>
      </c>
      <c r="G18" s="32">
        <v>1.6673260991496008</v>
      </c>
      <c r="H18" s="32">
        <v>1.5666555816293586</v>
      </c>
      <c r="I18" s="32">
        <v>1.5420194801093967</v>
      </c>
      <c r="J18" s="32">
        <v>1.6014709004853307</v>
      </c>
      <c r="K18" s="32">
        <v>1.4798608138167646</v>
      </c>
      <c r="L18" s="21" t="s">
        <v>77</v>
      </c>
      <c r="M18" s="32">
        <v>1.4907415523983312</v>
      </c>
      <c r="N18" s="32">
        <v>1.4979598841684505</v>
      </c>
      <c r="O18" s="32">
        <v>1.6586696453119509</v>
      </c>
      <c r="P18" s="32">
        <v>1.5962547302001751</v>
      </c>
      <c r="Q18" s="32">
        <v>1.7855681784433233</v>
      </c>
      <c r="R18" s="32">
        <v>1.6078216969046417</v>
      </c>
      <c r="S18" s="32">
        <v>1.4066016827322747</v>
      </c>
    </row>
    <row r="19" spans="2:19" ht="15" customHeight="1" x14ac:dyDescent="0.25">
      <c r="B19" s="33" t="s">
        <v>108</v>
      </c>
      <c r="C19" s="20" t="s">
        <v>25</v>
      </c>
      <c r="D19" s="34">
        <v>0.20423637821124693</v>
      </c>
      <c r="E19" s="34">
        <v>0.22697448321327957</v>
      </c>
      <c r="F19" s="34">
        <v>0.29713909042787534</v>
      </c>
      <c r="G19" s="34">
        <v>0.25035552337456118</v>
      </c>
      <c r="H19" s="34">
        <v>0.2500727361147892</v>
      </c>
      <c r="I19" s="34">
        <v>0.28633029200509486</v>
      </c>
      <c r="J19" s="34">
        <v>0.31021119952091902</v>
      </c>
      <c r="K19" s="34">
        <v>0.28902800510180937</v>
      </c>
      <c r="L19" s="21" t="s">
        <v>78</v>
      </c>
      <c r="M19" s="34">
        <v>0.28516763464918349</v>
      </c>
      <c r="N19" s="34">
        <v>0.28053845463557325</v>
      </c>
      <c r="O19" s="34">
        <v>0.28082929706529725</v>
      </c>
      <c r="P19" s="34">
        <v>0.28368465163890888</v>
      </c>
      <c r="Q19" s="34">
        <v>0.32114267530119628</v>
      </c>
      <c r="R19" s="34">
        <v>0.33355979839611438</v>
      </c>
      <c r="S19" s="34">
        <v>0.29750954018895936</v>
      </c>
    </row>
    <row r="20" spans="2:19" ht="15" customHeight="1" x14ac:dyDescent="0.25">
      <c r="B20" s="14" t="s">
        <v>5</v>
      </c>
      <c r="C20" s="15" t="s">
        <v>38</v>
      </c>
      <c r="D20" s="35">
        <v>8.8348069209431976</v>
      </c>
      <c r="E20" s="35">
        <v>8.5511579872860484</v>
      </c>
      <c r="F20" s="35">
        <v>5.4355598692410307</v>
      </c>
      <c r="G20" s="35">
        <v>6.0005175236264128</v>
      </c>
      <c r="H20" s="35">
        <v>5.7156322475543897</v>
      </c>
      <c r="I20" s="35">
        <v>5.3559078548183363</v>
      </c>
      <c r="J20" s="35">
        <v>6.549607805270468</v>
      </c>
      <c r="K20" s="35">
        <v>6.5621969020730617</v>
      </c>
      <c r="L20" s="17"/>
      <c r="M20" s="35">
        <v>4.2462500413185147</v>
      </c>
      <c r="N20" s="35">
        <v>4.0899103127730916</v>
      </c>
      <c r="O20" s="36">
        <v>6.095175507208177</v>
      </c>
      <c r="P20" s="35">
        <v>4.6056722280400075</v>
      </c>
      <c r="Q20" s="35">
        <v>3.0900256123096583</v>
      </c>
      <c r="R20" s="35">
        <v>3.2534869656517262</v>
      </c>
      <c r="S20" s="35">
        <v>4.2959199963474628</v>
      </c>
    </row>
    <row r="21" spans="2:19" s="4" customFormat="1" ht="15" customHeight="1" x14ac:dyDescent="0.25">
      <c r="B21" s="30" t="s">
        <v>84</v>
      </c>
      <c r="C21" s="37" t="s">
        <v>12</v>
      </c>
      <c r="D21" s="38">
        <v>73.099999999999994</v>
      </c>
      <c r="E21" s="39" t="s">
        <v>83</v>
      </c>
      <c r="F21" s="39" t="s">
        <v>83</v>
      </c>
      <c r="G21" s="39" t="s">
        <v>83</v>
      </c>
      <c r="H21" s="39" t="s">
        <v>83</v>
      </c>
      <c r="I21" s="38">
        <v>68.2</v>
      </c>
      <c r="J21" s="39" t="s">
        <v>83</v>
      </c>
      <c r="K21" s="39" t="s">
        <v>83</v>
      </c>
      <c r="L21" s="17" t="s">
        <v>93</v>
      </c>
      <c r="M21" s="40">
        <v>70.337086740208846</v>
      </c>
      <c r="N21" s="40">
        <v>70.182938110343386</v>
      </c>
      <c r="O21" s="40">
        <v>66.702216985304148</v>
      </c>
      <c r="P21" s="40">
        <v>68.112684992425926</v>
      </c>
      <c r="Q21" s="40">
        <v>67.822349400673176</v>
      </c>
      <c r="R21" s="40">
        <v>67.48997728030416</v>
      </c>
      <c r="S21" s="40">
        <v>67.116893730399042</v>
      </c>
    </row>
    <row r="22" spans="2:19" ht="15" customHeight="1" x14ac:dyDescent="0.25">
      <c r="B22" s="10" t="s">
        <v>26</v>
      </c>
      <c r="C22" s="10"/>
      <c r="D22" s="10"/>
      <c r="E22" s="10"/>
      <c r="F22" s="10"/>
      <c r="G22" s="10"/>
      <c r="H22" s="10"/>
      <c r="I22" s="12"/>
      <c r="J22" s="12"/>
      <c r="K22" s="12"/>
      <c r="L22" s="26"/>
      <c r="M22" s="12"/>
      <c r="N22" s="12"/>
      <c r="O22" s="12"/>
      <c r="P22" s="12"/>
      <c r="Q22" s="12"/>
      <c r="R22" s="12"/>
      <c r="S22" s="12"/>
    </row>
    <row r="23" spans="2:19" ht="15" customHeight="1" x14ac:dyDescent="0.25">
      <c r="B23" s="103" t="s">
        <v>110</v>
      </c>
      <c r="C23" s="15" t="s">
        <v>27</v>
      </c>
      <c r="D23" s="28">
        <v>3.8387605358956591</v>
      </c>
      <c r="E23" s="28">
        <v>3.6384005361180791</v>
      </c>
      <c r="F23" s="28">
        <v>3.6045600129957602</v>
      </c>
      <c r="G23" s="28">
        <v>3.6054921133020179</v>
      </c>
      <c r="H23" s="28">
        <v>3.6481857544691092</v>
      </c>
      <c r="I23" s="28">
        <v>3.6662514700080444</v>
      </c>
      <c r="J23" s="28">
        <v>3.7310661994094083</v>
      </c>
      <c r="K23" s="28">
        <v>3.5798286025624897</v>
      </c>
      <c r="L23" s="17" t="s">
        <v>65</v>
      </c>
      <c r="M23" s="28">
        <v>3.6193943864688345</v>
      </c>
      <c r="N23" s="28">
        <v>3.5504302127086325</v>
      </c>
      <c r="O23" s="28">
        <v>3.4682018366396727</v>
      </c>
      <c r="P23" s="28">
        <v>3.4632987754592537</v>
      </c>
      <c r="Q23" s="28">
        <v>3.4150723432813166</v>
      </c>
      <c r="R23" s="28">
        <v>3.4256097742235712</v>
      </c>
      <c r="S23" s="28">
        <v>3.4446673095325351</v>
      </c>
    </row>
    <row r="24" spans="2:19" ht="15" customHeight="1" x14ac:dyDescent="0.25">
      <c r="B24" s="103"/>
      <c r="C24" s="15" t="s">
        <v>28</v>
      </c>
      <c r="D24" s="28">
        <v>2.7805517133510964</v>
      </c>
      <c r="E24" s="28">
        <v>2.5537420096144494</v>
      </c>
      <c r="F24" s="28">
        <v>2.6391069989480562</v>
      </c>
      <c r="G24" s="28">
        <v>2.3973514922187174</v>
      </c>
      <c r="H24" s="28">
        <v>2.4855837767131312</v>
      </c>
      <c r="I24" s="28">
        <v>2.4316135351786037</v>
      </c>
      <c r="J24" s="28">
        <v>2.4595983065321039</v>
      </c>
      <c r="K24" s="28">
        <v>2.3744013983849528</v>
      </c>
      <c r="L24" s="17"/>
      <c r="M24" s="28">
        <v>2.5457765690808341</v>
      </c>
      <c r="N24" s="28">
        <v>2.4917962388362325</v>
      </c>
      <c r="O24" s="28">
        <v>2.3133675145636983</v>
      </c>
      <c r="P24" s="28">
        <v>2.3589457852751057</v>
      </c>
      <c r="Q24" s="28">
        <v>2.3161822969460113</v>
      </c>
      <c r="R24" s="28">
        <v>2.3119432583353667</v>
      </c>
      <c r="S24" s="28">
        <v>2.3119536975047477</v>
      </c>
    </row>
    <row r="25" spans="2:19" ht="15" customHeight="1" x14ac:dyDescent="0.25">
      <c r="B25" s="41" t="s">
        <v>109</v>
      </c>
      <c r="C25" s="20"/>
      <c r="D25" s="32"/>
      <c r="E25" s="32"/>
      <c r="F25" s="32"/>
      <c r="G25" s="32"/>
      <c r="H25" s="32"/>
      <c r="I25" s="32"/>
      <c r="J25" s="32"/>
      <c r="K25" s="32"/>
      <c r="L25" s="21"/>
      <c r="M25" s="32"/>
      <c r="N25" s="32"/>
      <c r="O25" s="32"/>
      <c r="P25" s="32"/>
      <c r="Q25" s="32"/>
      <c r="R25" s="32"/>
      <c r="S25" s="32"/>
    </row>
    <row r="26" spans="2:19" ht="15" customHeight="1" x14ac:dyDescent="0.25">
      <c r="B26" s="42" t="s">
        <v>6</v>
      </c>
      <c r="C26" s="20" t="s">
        <v>12</v>
      </c>
      <c r="D26" s="43">
        <v>0.7251901692162257</v>
      </c>
      <c r="E26" s="43">
        <v>0.73471260930375615</v>
      </c>
      <c r="F26" s="43">
        <v>0.63970825987023938</v>
      </c>
      <c r="G26" s="43">
        <v>0.66879067707271722</v>
      </c>
      <c r="H26" s="43">
        <v>0.6759070336671732</v>
      </c>
      <c r="I26" s="43">
        <v>0.67132426186038063</v>
      </c>
      <c r="J26" s="43">
        <v>0.46895543609891444</v>
      </c>
      <c r="K26" s="43">
        <v>0.56065844410518251</v>
      </c>
      <c r="L26" s="21"/>
      <c r="M26" s="43">
        <v>0.65624979152192708</v>
      </c>
      <c r="N26" s="44">
        <v>0.70462322567165181</v>
      </c>
      <c r="O26" s="43">
        <v>0.74183884217290841</v>
      </c>
      <c r="P26" s="43">
        <v>0.76085012767386662</v>
      </c>
      <c r="Q26" s="45">
        <v>0.82349023921522702</v>
      </c>
      <c r="R26" s="45">
        <v>0.83294921529422195</v>
      </c>
      <c r="S26" s="45">
        <v>0.82612393495371095</v>
      </c>
    </row>
    <row r="27" spans="2:19" ht="15" customHeight="1" x14ac:dyDescent="0.25">
      <c r="B27" s="42" t="s">
        <v>94</v>
      </c>
      <c r="C27" s="20" t="s">
        <v>12</v>
      </c>
      <c r="D27" s="43">
        <v>9.2614259730626203E-3</v>
      </c>
      <c r="E27" s="43">
        <v>4.6467073792419997E-3</v>
      </c>
      <c r="F27" s="43">
        <v>2.7064676616915424E-3</v>
      </c>
      <c r="G27" s="43">
        <v>9.3659988877011662E-4</v>
      </c>
      <c r="H27" s="43">
        <v>1.3822447993964799E-3</v>
      </c>
      <c r="I27" s="43">
        <v>9.9537544250665692E-4</v>
      </c>
      <c r="J27" s="43">
        <v>1.2919785254433633E-3</v>
      </c>
      <c r="K27" s="43">
        <v>1.1379112961401479E-3</v>
      </c>
      <c r="L27" s="21"/>
      <c r="M27" s="43">
        <v>2.3212332817113199E-3</v>
      </c>
      <c r="N27" s="44">
        <v>2.7324769255720116E-3</v>
      </c>
      <c r="O27" s="43">
        <v>8.4901918029825789E-4</v>
      </c>
      <c r="P27" s="45">
        <v>4.5320759626535492E-4</v>
      </c>
      <c r="Q27" s="45">
        <v>1.34344239101382E-4</v>
      </c>
      <c r="R27" s="45">
        <v>1.3744088174440601E-3</v>
      </c>
      <c r="S27" s="45">
        <v>4.8323648522345598E-4</v>
      </c>
    </row>
    <row r="28" spans="2:19" ht="15" customHeight="1" x14ac:dyDescent="0.25">
      <c r="B28" s="42" t="s">
        <v>95</v>
      </c>
      <c r="C28" s="20" t="s">
        <v>12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21"/>
      <c r="M28" s="43">
        <v>1.5784386315636976E-2</v>
      </c>
      <c r="N28" s="44">
        <v>1.8383652655508166E-3</v>
      </c>
      <c r="O28" s="43">
        <v>7.6411726226843198E-3</v>
      </c>
      <c r="P28" s="43">
        <v>7.2513215402456787E-3</v>
      </c>
      <c r="Q28" s="45">
        <v>0</v>
      </c>
      <c r="R28" s="45">
        <v>0</v>
      </c>
      <c r="S28" s="45">
        <v>0</v>
      </c>
    </row>
    <row r="29" spans="2:19" ht="15" customHeight="1" x14ac:dyDescent="0.25">
      <c r="B29" s="42" t="s">
        <v>61</v>
      </c>
      <c r="C29" s="20" t="s">
        <v>12</v>
      </c>
      <c r="D29" s="43">
        <v>0.23550982256192934</v>
      </c>
      <c r="E29" s="43">
        <v>0.22614517287845187</v>
      </c>
      <c r="F29" s="43">
        <v>0.3167620959529836</v>
      </c>
      <c r="G29" s="43">
        <v>0.28127534514927954</v>
      </c>
      <c r="H29" s="43">
        <v>0.26858421258579546</v>
      </c>
      <c r="I29" s="43">
        <v>0.27855648647529324</v>
      </c>
      <c r="J29" s="43">
        <v>0.47627692157256529</v>
      </c>
      <c r="K29" s="43">
        <v>0.37538268375660833</v>
      </c>
      <c r="L29" s="21"/>
      <c r="M29" s="43">
        <v>0.26753303344992174</v>
      </c>
      <c r="N29" s="44">
        <v>0.22425167894382611</v>
      </c>
      <c r="O29" s="43">
        <v>0.16307234224451156</v>
      </c>
      <c r="P29" s="43">
        <v>0.14978672852430119</v>
      </c>
      <c r="Q29" s="45">
        <v>0.101054009497002</v>
      </c>
      <c r="R29" s="45">
        <v>7.8392762794449095E-2</v>
      </c>
      <c r="S29" s="45">
        <v>6.6870872889019606E-2</v>
      </c>
    </row>
    <row r="30" spans="2:19" ht="15" customHeight="1" x14ac:dyDescent="0.25">
      <c r="B30" s="42" t="s">
        <v>8</v>
      </c>
      <c r="C30" s="20" t="s">
        <v>12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21"/>
      <c r="M30" s="43">
        <v>0</v>
      </c>
      <c r="N30" s="44">
        <v>0</v>
      </c>
      <c r="O30" s="43">
        <v>0</v>
      </c>
      <c r="P30" s="45">
        <v>0</v>
      </c>
      <c r="Q30" s="45">
        <v>5.9600767877825899E-3</v>
      </c>
      <c r="R30" s="45">
        <v>0</v>
      </c>
      <c r="S30" s="45">
        <v>0</v>
      </c>
    </row>
    <row r="31" spans="2:19" ht="15" customHeight="1" x14ac:dyDescent="0.25">
      <c r="B31" s="42" t="s">
        <v>10</v>
      </c>
      <c r="C31" s="20" t="s">
        <v>12</v>
      </c>
      <c r="D31" s="43">
        <v>2.9976250008022055E-2</v>
      </c>
      <c r="E31" s="43">
        <v>3.4456881574665831E-2</v>
      </c>
      <c r="F31" s="43">
        <v>3.9919461173663844E-2</v>
      </c>
      <c r="G31" s="43">
        <v>4.8686599658194073E-2</v>
      </c>
      <c r="H31" s="43">
        <v>5.4373929944172027E-2</v>
      </c>
      <c r="I31" s="43">
        <v>4.9000000000000002E-2</v>
      </c>
      <c r="J31" s="43">
        <v>3.6015237593324131E-2</v>
      </c>
      <c r="K31" s="43">
        <v>4.7481816011855228E-2</v>
      </c>
      <c r="L31" s="21"/>
      <c r="M31" s="43">
        <v>3.2391809790228085E-2</v>
      </c>
      <c r="N31" s="44">
        <v>3.1247143479827717E-2</v>
      </c>
      <c r="O31" s="43">
        <v>4.5665261517138352E-2</v>
      </c>
      <c r="P31" s="43">
        <v>4.2727063054991903E-2</v>
      </c>
      <c r="Q31" s="45">
        <v>2.7951032774226801E-2</v>
      </c>
      <c r="R31" s="45">
        <v>5.4423589787572502E-2</v>
      </c>
      <c r="S31" s="45">
        <v>7.1471120753800896E-2</v>
      </c>
    </row>
    <row r="32" spans="2:19" ht="15" customHeight="1" x14ac:dyDescent="0.25">
      <c r="B32" s="42" t="s">
        <v>9</v>
      </c>
      <c r="C32" s="20" t="s">
        <v>12</v>
      </c>
      <c r="D32" s="43" t="s">
        <v>72</v>
      </c>
      <c r="E32" s="43" t="s">
        <v>72</v>
      </c>
      <c r="F32" s="43" t="s">
        <v>72</v>
      </c>
      <c r="G32" s="43" t="s">
        <v>72</v>
      </c>
      <c r="H32" s="43" t="s">
        <v>72</v>
      </c>
      <c r="I32" s="43" t="s">
        <v>72</v>
      </c>
      <c r="J32" s="43">
        <v>1.7477858556236868E-2</v>
      </c>
      <c r="K32" s="43">
        <v>1.5433345820666427E-2</v>
      </c>
      <c r="L32" s="21"/>
      <c r="M32" s="43">
        <v>2.5719745640574675E-2</v>
      </c>
      <c r="N32" s="44">
        <v>3.5284375385436904E-2</v>
      </c>
      <c r="O32" s="43">
        <v>4.0682741761495916E-2</v>
      </c>
      <c r="P32" s="43">
        <v>3.8418544337863202E-2</v>
      </c>
      <c r="Q32" s="45">
        <v>4.0563980421095401E-2</v>
      </c>
      <c r="R32" s="45">
        <v>3.3407667530118798E-2</v>
      </c>
      <c r="S32" s="45">
        <v>3.5050834918244601E-2</v>
      </c>
    </row>
    <row r="33" spans="2:19" ht="15" customHeight="1" x14ac:dyDescent="0.25">
      <c r="B33" s="46" t="s">
        <v>62</v>
      </c>
      <c r="C33" s="15" t="s">
        <v>12</v>
      </c>
      <c r="D33" s="104">
        <v>2.9976250008022055E-2</v>
      </c>
      <c r="E33" s="104">
        <v>3.4456881574665831E-2</v>
      </c>
      <c r="F33" s="104">
        <v>3.9919461173663844E-2</v>
      </c>
      <c r="G33" s="104">
        <v>4.8686599658194073E-2</v>
      </c>
      <c r="H33" s="104">
        <v>5.4373929944172027E-2</v>
      </c>
      <c r="I33" s="104">
        <v>4.9000000000000002E-2</v>
      </c>
      <c r="J33" s="25">
        <v>3.6015237593324131E-2</v>
      </c>
      <c r="K33" s="25">
        <v>4.7481816011855228E-2</v>
      </c>
      <c r="L33" s="17" t="s">
        <v>103</v>
      </c>
      <c r="M33" s="47">
        <v>3.2391809790228085E-2</v>
      </c>
      <c r="N33" s="47">
        <v>3.1247143479827717E-2</v>
      </c>
      <c r="O33" s="47">
        <v>4.5665261517138352E-2</v>
      </c>
      <c r="P33" s="47">
        <v>4.2727063054991903E-2</v>
      </c>
      <c r="Q33" s="47">
        <v>2.7951032774226801E-2</v>
      </c>
      <c r="R33" s="90">
        <f>+R31</f>
        <v>5.4423589787572502E-2</v>
      </c>
      <c r="S33" s="90">
        <f>+S31</f>
        <v>7.1471120753800896E-2</v>
      </c>
    </row>
    <row r="34" spans="2:19" ht="15" customHeight="1" x14ac:dyDescent="0.25">
      <c r="B34" s="46" t="s">
        <v>45</v>
      </c>
      <c r="C34" s="15" t="s">
        <v>12</v>
      </c>
      <c r="D34" s="104"/>
      <c r="E34" s="104"/>
      <c r="F34" s="104"/>
      <c r="G34" s="104"/>
      <c r="H34" s="104"/>
      <c r="I34" s="104"/>
      <c r="J34" s="25">
        <v>1.7477858556236868E-2</v>
      </c>
      <c r="K34" s="25">
        <v>1.5433345820666427E-2</v>
      </c>
      <c r="L34" s="17" t="s">
        <v>104</v>
      </c>
      <c r="M34" s="48">
        <v>2.5719745640574675E-2</v>
      </c>
      <c r="N34" s="48">
        <v>3.5284375385436904E-2</v>
      </c>
      <c r="O34" s="48">
        <v>4.0682741761495916E-2</v>
      </c>
      <c r="P34" s="48">
        <v>3.8418544337863202E-2</v>
      </c>
      <c r="Q34" s="48">
        <v>4.0563980421095401E-2</v>
      </c>
      <c r="R34" s="89">
        <f>+R32</f>
        <v>3.3407667530118798E-2</v>
      </c>
      <c r="S34" s="89">
        <f>+S32</f>
        <v>3.5050834918244601E-2</v>
      </c>
    </row>
    <row r="35" spans="2:19" ht="15" customHeight="1" x14ac:dyDescent="0.25">
      <c r="B35" s="29" t="s">
        <v>105</v>
      </c>
      <c r="C35" s="15" t="s">
        <v>102</v>
      </c>
      <c r="D35" s="25" t="s">
        <v>72</v>
      </c>
      <c r="E35" s="25" t="s">
        <v>72</v>
      </c>
      <c r="F35" s="25" t="s">
        <v>72</v>
      </c>
      <c r="G35" s="25" t="s">
        <v>72</v>
      </c>
      <c r="H35" s="25" t="s">
        <v>72</v>
      </c>
      <c r="I35" s="49">
        <v>66.126501258485419</v>
      </c>
      <c r="J35" s="25" t="s">
        <v>72</v>
      </c>
      <c r="K35" s="25" t="s">
        <v>72</v>
      </c>
      <c r="L35" s="17"/>
      <c r="M35" s="49">
        <v>65.670843505566324</v>
      </c>
      <c r="N35" s="49">
        <v>62.6810425030422</v>
      </c>
      <c r="O35" s="49">
        <v>60.923305751328897</v>
      </c>
      <c r="P35" s="49">
        <v>61.933388557744983</v>
      </c>
      <c r="Q35" s="49">
        <v>58.186204403023964</v>
      </c>
      <c r="R35" s="49">
        <v>58.707637726459275</v>
      </c>
      <c r="S35" s="49">
        <v>58.138763861520097</v>
      </c>
    </row>
    <row r="36" spans="2:19" ht="15" customHeight="1" x14ac:dyDescent="0.25">
      <c r="B36" s="29" t="s">
        <v>96</v>
      </c>
      <c r="C36" s="15" t="s">
        <v>7</v>
      </c>
      <c r="D36" s="25"/>
      <c r="E36" s="25"/>
      <c r="F36" s="25"/>
      <c r="G36" s="25"/>
      <c r="H36" s="25"/>
      <c r="I36" s="49"/>
      <c r="J36" s="25"/>
      <c r="K36" s="25"/>
      <c r="L36" s="17"/>
      <c r="M36" s="49"/>
      <c r="N36" s="49"/>
      <c r="O36" s="49"/>
      <c r="P36" s="49"/>
      <c r="Q36" s="49">
        <v>4748730</v>
      </c>
      <c r="R36" s="95">
        <v>4623092</v>
      </c>
      <c r="S36" s="95">
        <v>3614366.8</v>
      </c>
    </row>
    <row r="37" spans="2:19" ht="15" customHeight="1" x14ac:dyDescent="0.25">
      <c r="B37" s="29" t="s">
        <v>130</v>
      </c>
      <c r="C37" s="15" t="s">
        <v>7</v>
      </c>
      <c r="D37" s="25"/>
      <c r="E37" s="25"/>
      <c r="F37" s="25"/>
      <c r="G37" s="25"/>
      <c r="H37" s="25"/>
      <c r="I37" s="49"/>
      <c r="J37" s="25"/>
      <c r="K37" s="25"/>
      <c r="L37" s="17"/>
      <c r="M37" s="49"/>
      <c r="N37" s="49"/>
      <c r="O37" s="49"/>
      <c r="P37" s="49"/>
      <c r="Q37" s="49">
        <v>3102297.2</v>
      </c>
      <c r="R37" s="95">
        <v>2072880.7</v>
      </c>
      <c r="S37" s="95">
        <v>2331309.37</v>
      </c>
    </row>
    <row r="38" spans="2:19" ht="15" customHeight="1" x14ac:dyDescent="0.25">
      <c r="B38" s="14" t="s">
        <v>111</v>
      </c>
      <c r="C38" s="15" t="s">
        <v>28</v>
      </c>
      <c r="D38" s="28">
        <v>0.3736952194023821</v>
      </c>
      <c r="E38" s="28">
        <v>0.36638887611669807</v>
      </c>
      <c r="F38" s="28">
        <v>0.37727186638245647</v>
      </c>
      <c r="G38" s="28">
        <v>0.36254342130723088</v>
      </c>
      <c r="H38" s="28">
        <v>0.36551700893179573</v>
      </c>
      <c r="I38" s="28">
        <v>0.37009996105008836</v>
      </c>
      <c r="J38" s="28">
        <v>0.37755654037251657</v>
      </c>
      <c r="K38" s="28">
        <v>0.35424631719235</v>
      </c>
      <c r="L38" s="17" t="s">
        <v>29</v>
      </c>
      <c r="M38" s="28">
        <v>0.34560283023680677</v>
      </c>
      <c r="N38" s="28">
        <v>0.35122221515988283</v>
      </c>
      <c r="O38" s="28">
        <v>0.35101042960466239</v>
      </c>
      <c r="P38" s="28">
        <v>0.34718173037901617</v>
      </c>
      <c r="Q38" s="28">
        <v>0.31937678974839318</v>
      </c>
      <c r="R38" s="28">
        <v>0.33890874964570805</v>
      </c>
      <c r="S38" s="94">
        <v>0.35384649685248171</v>
      </c>
    </row>
    <row r="39" spans="2:19" ht="15" customHeight="1" x14ac:dyDescent="0.25">
      <c r="B39" s="46" t="s">
        <v>30</v>
      </c>
      <c r="C39" s="15" t="s">
        <v>12</v>
      </c>
      <c r="D39" s="25">
        <v>0.3638095238095238</v>
      </c>
      <c r="E39" s="25">
        <v>0.3386491798776039</v>
      </c>
      <c r="F39" s="25">
        <v>0.30651363126278963</v>
      </c>
      <c r="G39" s="25">
        <v>0.32769525634882607</v>
      </c>
      <c r="H39" s="25">
        <v>0.32821210276198531</v>
      </c>
      <c r="I39" s="25">
        <v>0.32056619483763532</v>
      </c>
      <c r="J39" s="25">
        <v>0.29099022620219217</v>
      </c>
      <c r="K39" s="25">
        <v>0.31856183505621366</v>
      </c>
      <c r="L39" s="17"/>
      <c r="M39" s="50">
        <v>0.34824138961118267</v>
      </c>
      <c r="N39" s="50">
        <v>0.45482857175471342</v>
      </c>
      <c r="O39" s="51">
        <v>0.47523450616388591</v>
      </c>
      <c r="P39" s="25">
        <v>0.34329043458384451</v>
      </c>
      <c r="Q39" s="25">
        <v>0.65328986908078601</v>
      </c>
      <c r="R39" s="25">
        <v>0.44837539464929499</v>
      </c>
      <c r="S39" s="94">
        <v>64.501183720479062</v>
      </c>
    </row>
    <row r="40" spans="2:19" ht="15" customHeight="1" x14ac:dyDescent="0.25">
      <c r="B40" s="14" t="s">
        <v>31</v>
      </c>
      <c r="C40" s="15" t="s">
        <v>28</v>
      </c>
      <c r="D40" s="28">
        <v>3.1542469327534786</v>
      </c>
      <c r="E40" s="28">
        <v>2.9201308857311474</v>
      </c>
      <c r="F40" s="28">
        <v>3.016378865330513</v>
      </c>
      <c r="G40" s="28">
        <v>2.7598949135259483</v>
      </c>
      <c r="H40" s="28">
        <v>2.8511007856449271</v>
      </c>
      <c r="I40" s="28">
        <v>2.8017134962286923</v>
      </c>
      <c r="J40" s="28">
        <v>2.8371548469046206</v>
      </c>
      <c r="K40" s="28">
        <v>2.7286477155773028</v>
      </c>
      <c r="L40" s="17" t="s">
        <v>71</v>
      </c>
      <c r="M40" s="28">
        <v>2.8913793993176409</v>
      </c>
      <c r="N40" s="28">
        <v>2.8430184539961152</v>
      </c>
      <c r="O40" s="28">
        <v>2.6643779441683608</v>
      </c>
      <c r="P40" s="28">
        <v>2.706127515654122</v>
      </c>
      <c r="Q40" s="28">
        <v>2.6355590866944048</v>
      </c>
      <c r="R40" s="28">
        <v>2.6508520079810749</v>
      </c>
      <c r="S40" s="28">
        <v>2.6658001943572294</v>
      </c>
    </row>
    <row r="41" spans="2:19" ht="15" customHeight="1" x14ac:dyDescent="0.25">
      <c r="B41" s="10" t="s">
        <v>11</v>
      </c>
      <c r="C41" s="10"/>
      <c r="D41" s="10"/>
      <c r="E41" s="10"/>
      <c r="F41" s="10"/>
      <c r="G41" s="10"/>
      <c r="H41" s="10"/>
      <c r="I41" s="12"/>
      <c r="J41" s="12"/>
      <c r="K41" s="12"/>
      <c r="L41" s="26"/>
      <c r="M41" s="12"/>
      <c r="N41" s="12"/>
      <c r="O41" s="12"/>
      <c r="P41" s="12"/>
      <c r="Q41" s="12"/>
      <c r="R41" s="12"/>
      <c r="S41" s="12"/>
    </row>
    <row r="42" spans="2:19" ht="15" customHeight="1" x14ac:dyDescent="0.25">
      <c r="B42" s="19" t="s">
        <v>132</v>
      </c>
      <c r="C42" s="91" t="s">
        <v>133</v>
      </c>
      <c r="D42" s="10"/>
      <c r="E42" s="10"/>
      <c r="F42" s="10"/>
      <c r="G42" s="10"/>
      <c r="H42" s="10"/>
      <c r="I42" s="12"/>
      <c r="J42" s="12"/>
      <c r="K42" s="12"/>
      <c r="L42" s="26"/>
      <c r="M42" s="12"/>
      <c r="N42" s="12"/>
      <c r="O42" s="12"/>
      <c r="P42" s="12"/>
      <c r="Q42" s="32">
        <v>1197479.1000000001</v>
      </c>
      <c r="R42" s="11">
        <v>1045549.3</v>
      </c>
      <c r="S42" s="11">
        <v>638788.05000000005</v>
      </c>
    </row>
    <row r="43" spans="2:19" ht="15" customHeight="1" x14ac:dyDescent="0.25">
      <c r="B43" s="19" t="s">
        <v>134</v>
      </c>
      <c r="C43" s="91" t="s">
        <v>133</v>
      </c>
      <c r="D43" s="10"/>
      <c r="E43" s="10"/>
      <c r="F43" s="10"/>
      <c r="G43" s="10"/>
      <c r="H43" s="10"/>
      <c r="I43" s="12"/>
      <c r="J43" s="12"/>
      <c r="K43" s="12"/>
      <c r="L43" s="26"/>
      <c r="M43" s="12"/>
      <c r="N43" s="12"/>
      <c r="O43" s="12"/>
      <c r="P43" s="12"/>
      <c r="Q43" s="32">
        <v>1700456</v>
      </c>
      <c r="R43" s="11">
        <v>1483410.91</v>
      </c>
      <c r="S43" s="11">
        <v>1314240.07</v>
      </c>
    </row>
    <row r="44" spans="2:19" ht="15" customHeight="1" x14ac:dyDescent="0.25">
      <c r="B44" s="19" t="s">
        <v>135</v>
      </c>
      <c r="C44" s="91" t="s">
        <v>133</v>
      </c>
      <c r="D44" s="10"/>
      <c r="E44" s="10"/>
      <c r="F44" s="10"/>
      <c r="G44" s="10"/>
      <c r="H44" s="10"/>
      <c r="I44" s="12"/>
      <c r="J44" s="12"/>
      <c r="K44" s="12"/>
      <c r="L44" s="26"/>
      <c r="M44" s="12"/>
      <c r="N44" s="12"/>
      <c r="O44" s="12"/>
      <c r="P44" s="12"/>
      <c r="Q44" s="32">
        <v>0</v>
      </c>
      <c r="R44" s="11">
        <v>57125</v>
      </c>
      <c r="S44" s="11">
        <v>0</v>
      </c>
    </row>
    <row r="45" spans="2:19" ht="15" customHeight="1" x14ac:dyDescent="0.25">
      <c r="B45" s="19" t="s">
        <v>136</v>
      </c>
      <c r="C45" s="91" t="s">
        <v>133</v>
      </c>
      <c r="D45" s="10"/>
      <c r="E45" s="10"/>
      <c r="F45" s="10"/>
      <c r="G45" s="10"/>
      <c r="H45" s="10"/>
      <c r="I45" s="12"/>
      <c r="J45" s="12"/>
      <c r="K45" s="12"/>
      <c r="L45" s="26"/>
      <c r="M45" s="12"/>
      <c r="N45" s="12"/>
      <c r="O45" s="12"/>
      <c r="P45" s="12"/>
      <c r="Q45" s="32">
        <v>72248</v>
      </c>
      <c r="R45" s="11">
        <v>58072</v>
      </c>
      <c r="S45" s="11">
        <v>50298</v>
      </c>
    </row>
    <row r="46" spans="2:19" ht="15" customHeight="1" x14ac:dyDescent="0.25">
      <c r="B46" s="19" t="s">
        <v>137</v>
      </c>
      <c r="C46" s="91" t="s">
        <v>133</v>
      </c>
      <c r="D46" s="10"/>
      <c r="E46" s="10"/>
      <c r="F46" s="10"/>
      <c r="G46" s="10"/>
      <c r="H46" s="10"/>
      <c r="I46" s="12"/>
      <c r="J46" s="12"/>
      <c r="K46" s="12"/>
      <c r="L46" s="26"/>
      <c r="M46" s="12"/>
      <c r="N46" s="12"/>
      <c r="O46" s="12"/>
      <c r="P46" s="12"/>
      <c r="Q46" s="32">
        <v>14557</v>
      </c>
      <c r="R46" s="11">
        <v>10388</v>
      </c>
      <c r="S46" s="11">
        <v>30314</v>
      </c>
    </row>
    <row r="47" spans="2:19" ht="15" customHeight="1" x14ac:dyDescent="0.25">
      <c r="B47" s="19" t="s">
        <v>138</v>
      </c>
      <c r="C47" s="91" t="s">
        <v>133</v>
      </c>
      <c r="D47" s="10"/>
      <c r="E47" s="10"/>
      <c r="F47" s="10"/>
      <c r="G47" s="10"/>
      <c r="H47" s="10"/>
      <c r="I47" s="12"/>
      <c r="J47" s="12"/>
      <c r="K47" s="12"/>
      <c r="L47" s="26"/>
      <c r="M47" s="12"/>
      <c r="N47" s="12"/>
      <c r="O47" s="12"/>
      <c r="P47" s="12"/>
      <c r="Q47" s="32">
        <v>86392</v>
      </c>
      <c r="R47" s="11">
        <v>72216</v>
      </c>
      <c r="S47" s="11">
        <v>64442</v>
      </c>
    </row>
    <row r="48" spans="2:19" ht="15" customHeight="1" x14ac:dyDescent="0.25">
      <c r="B48" s="14" t="s">
        <v>32</v>
      </c>
      <c r="C48" s="15" t="s">
        <v>33</v>
      </c>
      <c r="D48" s="28">
        <v>0.37424230016521259</v>
      </c>
      <c r="E48" s="28">
        <v>0.27412136024437006</v>
      </c>
      <c r="F48" s="28">
        <v>0.35452774956056837</v>
      </c>
      <c r="G48" s="28">
        <v>0.27459542552113247</v>
      </c>
      <c r="H48" s="28">
        <v>0.24428958920159535</v>
      </c>
      <c r="I48" s="28">
        <v>0.23010318745518515</v>
      </c>
      <c r="J48" s="28">
        <v>0.28072736207759075</v>
      </c>
      <c r="K48" s="28">
        <v>0.23503355516949295</v>
      </c>
      <c r="L48" s="17"/>
      <c r="M48" s="28">
        <v>0.24793951815484597</v>
      </c>
      <c r="N48" s="28">
        <v>0.2476055120659261</v>
      </c>
      <c r="O48" s="28">
        <v>0.22786390446363286</v>
      </c>
      <c r="P48" s="28">
        <v>0.21352149209590379</v>
      </c>
      <c r="Q48" s="28">
        <v>0.22066032582318174</v>
      </c>
      <c r="R48" s="28">
        <v>0.20401617173635511</v>
      </c>
      <c r="S48" s="28">
        <v>0.20517380517867986</v>
      </c>
    </row>
    <row r="49" spans="2:19" ht="15" customHeight="1" x14ac:dyDescent="0.25">
      <c r="B49" s="46" t="s">
        <v>73</v>
      </c>
      <c r="C49" s="15" t="s">
        <v>12</v>
      </c>
      <c r="D49" s="15" t="s">
        <v>51</v>
      </c>
      <c r="E49" s="15" t="s">
        <v>51</v>
      </c>
      <c r="F49" s="15" t="s">
        <v>51</v>
      </c>
      <c r="G49" s="15" t="s">
        <v>51</v>
      </c>
      <c r="H49" s="15" t="s">
        <v>51</v>
      </c>
      <c r="I49" s="25">
        <v>0.14774647121944176</v>
      </c>
      <c r="J49" s="25">
        <v>0.18881553606342366</v>
      </c>
      <c r="K49" s="25">
        <v>0.16998544502773932</v>
      </c>
      <c r="L49" s="17"/>
      <c r="M49" s="25">
        <v>4.1540259363618014E-2</v>
      </c>
      <c r="N49" s="25">
        <v>3.9292242541073705E-2</v>
      </c>
      <c r="O49" s="25">
        <v>3.0429212383478017E-2</v>
      </c>
      <c r="P49" s="25">
        <v>3.0332806920359095E-2</v>
      </c>
      <c r="Q49" s="25">
        <v>2.8130343204709401E-2</v>
      </c>
      <c r="R49" s="52">
        <v>2.6484167273305201E-2</v>
      </c>
      <c r="S49" s="52">
        <v>3.0714717687027399E-2</v>
      </c>
    </row>
    <row r="50" spans="2:19" ht="15" customHeight="1" x14ac:dyDescent="0.25">
      <c r="B50" s="10" t="s">
        <v>13</v>
      </c>
      <c r="C50" s="10"/>
      <c r="D50" s="10"/>
      <c r="E50" s="10"/>
      <c r="F50" s="10"/>
      <c r="G50" s="10"/>
      <c r="H50" s="10"/>
      <c r="I50" s="12"/>
      <c r="J50" s="12"/>
      <c r="K50" s="12"/>
      <c r="L50" s="26"/>
      <c r="M50" s="12"/>
      <c r="N50" s="12"/>
      <c r="O50" s="12"/>
      <c r="P50" s="12"/>
      <c r="Q50" s="12"/>
      <c r="R50" s="12"/>
      <c r="S50" s="12"/>
    </row>
    <row r="51" spans="2:19" ht="15" customHeight="1" x14ac:dyDescent="0.25">
      <c r="B51" s="102" t="s">
        <v>112</v>
      </c>
      <c r="C51" s="20" t="s">
        <v>63</v>
      </c>
      <c r="D51" s="53">
        <v>741.18697578019373</v>
      </c>
      <c r="E51" s="53">
        <v>722.41450449304523</v>
      </c>
      <c r="F51" s="53">
        <v>767.43186651604242</v>
      </c>
      <c r="G51" s="53">
        <v>756.82010480645658</v>
      </c>
      <c r="H51" s="53">
        <v>759.64778811032227</v>
      </c>
      <c r="I51" s="53">
        <v>788.12964436952075</v>
      </c>
      <c r="J51" s="53">
        <v>852.89913858982811</v>
      </c>
      <c r="K51" s="53">
        <v>785.66205494321173</v>
      </c>
      <c r="L51" s="21" t="s">
        <v>64</v>
      </c>
      <c r="M51" s="53">
        <v>776.12657629652165</v>
      </c>
      <c r="N51" s="53">
        <v>759.44924042037348</v>
      </c>
      <c r="O51" s="53">
        <v>757.29064862410348</v>
      </c>
      <c r="P51" s="53">
        <v>747.86111154494745</v>
      </c>
      <c r="Q51" s="53">
        <v>742.17760268344762</v>
      </c>
      <c r="R51" s="32">
        <v>742.40479478921463</v>
      </c>
      <c r="S51" s="32">
        <v>750.61786553412776</v>
      </c>
    </row>
    <row r="52" spans="2:19" ht="15" customHeight="1" x14ac:dyDescent="0.25">
      <c r="B52" s="102"/>
      <c r="C52" s="15" t="s">
        <v>79</v>
      </c>
      <c r="D52" s="54">
        <v>536.86826676160047</v>
      </c>
      <c r="E52" s="54">
        <v>507.05254964782796</v>
      </c>
      <c r="F52" s="54">
        <v>561.88128449413625</v>
      </c>
      <c r="G52" s="54">
        <v>503.22223723774454</v>
      </c>
      <c r="H52" s="54">
        <v>517.5636179791511</v>
      </c>
      <c r="I52" s="54">
        <v>522.72102074880888</v>
      </c>
      <c r="J52" s="54">
        <v>562.24927803486605</v>
      </c>
      <c r="K52" s="54">
        <v>521.10793253616225</v>
      </c>
      <c r="L52" s="17"/>
      <c r="M52" s="54">
        <v>515.82706742261018</v>
      </c>
      <c r="N52" s="54">
        <v>519.23838036345865</v>
      </c>
      <c r="O52" s="54">
        <v>498.64062593929373</v>
      </c>
      <c r="P52" s="54">
        <v>518.62495988618855</v>
      </c>
      <c r="Q52" s="54">
        <v>508.33308355353176</v>
      </c>
      <c r="R52" s="28">
        <v>507.09702574831101</v>
      </c>
      <c r="S52" s="28">
        <v>505.66782149483407</v>
      </c>
    </row>
    <row r="53" spans="2:19" ht="15" customHeight="1" x14ac:dyDescent="0.25">
      <c r="B53" s="14" t="s">
        <v>34</v>
      </c>
      <c r="C53" s="15" t="s">
        <v>79</v>
      </c>
      <c r="D53" s="54">
        <v>51.083808858249554</v>
      </c>
      <c r="E53" s="54">
        <v>77.558526362761427</v>
      </c>
      <c r="F53" s="54">
        <v>54.473207251572198</v>
      </c>
      <c r="G53" s="54">
        <v>67.90892812717874</v>
      </c>
      <c r="H53" s="54">
        <v>55.161582845816177</v>
      </c>
      <c r="I53" s="54">
        <v>55.000966433832573</v>
      </c>
      <c r="J53" s="54">
        <v>59.255401475131066</v>
      </c>
      <c r="K53" s="54">
        <v>47.036038782762027</v>
      </c>
      <c r="L53" s="17" t="s">
        <v>101</v>
      </c>
      <c r="M53" s="54">
        <v>40.512325194021621</v>
      </c>
      <c r="N53" s="54">
        <v>27.846602691473947</v>
      </c>
      <c r="O53" s="54">
        <v>32.680631706012313</v>
      </c>
      <c r="P53" s="54">
        <v>23.223374646408175</v>
      </c>
      <c r="Q53" s="54">
        <v>8.2061668035443986</v>
      </c>
      <c r="R53" s="28">
        <v>16.935345716320196</v>
      </c>
      <c r="S53" s="28">
        <v>11.598293320802309</v>
      </c>
    </row>
    <row r="54" spans="2:19" ht="15" customHeight="1" x14ac:dyDescent="0.25">
      <c r="B54" s="14" t="s">
        <v>35</v>
      </c>
      <c r="C54" s="15" t="s">
        <v>79</v>
      </c>
      <c r="D54" s="54">
        <v>587.95207561985001</v>
      </c>
      <c r="E54" s="54">
        <v>584.61107601058939</v>
      </c>
      <c r="F54" s="54">
        <v>616.3544917457084</v>
      </c>
      <c r="G54" s="54">
        <v>571.13116536492328</v>
      </c>
      <c r="H54" s="54">
        <v>572.72520082496726</v>
      </c>
      <c r="I54" s="54">
        <v>577.72198718264144</v>
      </c>
      <c r="J54" s="54">
        <v>621.50467950999712</v>
      </c>
      <c r="K54" s="54">
        <v>568.14397131892429</v>
      </c>
      <c r="L54" s="17" t="s">
        <v>80</v>
      </c>
      <c r="M54" s="54">
        <v>556.33939261663181</v>
      </c>
      <c r="N54" s="54">
        <v>547.08498305493254</v>
      </c>
      <c r="O54" s="54">
        <v>531.32125764530599</v>
      </c>
      <c r="P54" s="54">
        <v>541.84833453259671</v>
      </c>
      <c r="Q54" s="54">
        <v>516.53925035707618</v>
      </c>
      <c r="R54" s="28">
        <v>524.03237146463118</v>
      </c>
      <c r="S54" s="28">
        <v>517.26611481563634</v>
      </c>
    </row>
    <row r="55" spans="2:19" ht="15" customHeight="1" x14ac:dyDescent="0.25">
      <c r="B55" s="19" t="s">
        <v>36</v>
      </c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19"/>
      <c r="N55" s="19"/>
      <c r="O55" s="19"/>
      <c r="P55" s="19"/>
      <c r="Q55" s="19"/>
      <c r="R55" s="19"/>
      <c r="S55" s="19"/>
    </row>
    <row r="56" spans="2:19" ht="15" customHeight="1" x14ac:dyDescent="0.25">
      <c r="B56" s="46" t="s">
        <v>14</v>
      </c>
      <c r="C56" s="15" t="s">
        <v>38</v>
      </c>
      <c r="D56" s="15" t="s">
        <v>72</v>
      </c>
      <c r="E56" s="15" t="s">
        <v>72</v>
      </c>
      <c r="F56" s="28">
        <v>1.5477126339136502</v>
      </c>
      <c r="G56" s="28">
        <v>1.0627662482454874</v>
      </c>
      <c r="H56" s="28">
        <v>1.3897649485197936</v>
      </c>
      <c r="I56" s="28">
        <v>1.426301839098451</v>
      </c>
      <c r="J56" s="28">
        <v>1.7340464070098995</v>
      </c>
      <c r="K56" s="28">
        <v>1.6679635165437421</v>
      </c>
      <c r="L56" s="17" t="s">
        <v>66</v>
      </c>
      <c r="M56" s="28">
        <v>1.7308738069132179</v>
      </c>
      <c r="N56" s="28">
        <v>2.2227488144084955</v>
      </c>
      <c r="O56" s="55">
        <v>1.5395062849152918</v>
      </c>
      <c r="P56" s="28">
        <v>1.4742974958518078</v>
      </c>
      <c r="Q56" s="28">
        <v>1.1571013104906431</v>
      </c>
      <c r="R56" s="28">
        <v>2.1693023120790023</v>
      </c>
      <c r="S56" s="28">
        <v>2.1847348386678052</v>
      </c>
    </row>
    <row r="57" spans="2:19" ht="15" customHeight="1" x14ac:dyDescent="0.25">
      <c r="B57" s="46" t="s">
        <v>15</v>
      </c>
      <c r="C57" s="15" t="s">
        <v>37</v>
      </c>
      <c r="D57" s="15" t="s">
        <v>72</v>
      </c>
      <c r="E57" s="15" t="s">
        <v>72</v>
      </c>
      <c r="F57" s="54">
        <v>19.936406271925254</v>
      </c>
      <c r="G57" s="54">
        <v>20.808442545663397</v>
      </c>
      <c r="H57" s="54">
        <v>57.619311296755505</v>
      </c>
      <c r="I57" s="54">
        <v>9.9016244928153228</v>
      </c>
      <c r="J57" s="54">
        <v>17.662752503099817</v>
      </c>
      <c r="K57" s="54">
        <v>45.671165598468846</v>
      </c>
      <c r="L57" s="17"/>
      <c r="M57" s="54">
        <v>24.331359287469862</v>
      </c>
      <c r="N57" s="54">
        <v>21.865712699791839</v>
      </c>
      <c r="O57" s="56">
        <v>61.888696006563933</v>
      </c>
      <c r="P57" s="54">
        <v>29.918524848923585</v>
      </c>
      <c r="Q57" s="54">
        <v>2.0692751652420402</v>
      </c>
      <c r="R57" s="28">
        <v>29.299497352009293</v>
      </c>
      <c r="S57" s="28">
        <v>9.7566202712203136</v>
      </c>
    </row>
    <row r="58" spans="2:19" ht="15" customHeight="1" x14ac:dyDescent="0.25">
      <c r="B58" s="46" t="s">
        <v>16</v>
      </c>
      <c r="C58" s="15" t="s">
        <v>37</v>
      </c>
      <c r="D58" s="15" t="s">
        <v>72</v>
      </c>
      <c r="E58" s="15" t="s">
        <v>72</v>
      </c>
      <c r="F58" s="54">
        <v>146.28551097818658</v>
      </c>
      <c r="G58" s="54">
        <v>154.6428165570704</v>
      </c>
      <c r="H58" s="54">
        <v>94.614440137708556</v>
      </c>
      <c r="I58" s="54">
        <v>128.31358203265711</v>
      </c>
      <c r="J58" s="54">
        <v>167.87608977457901</v>
      </c>
      <c r="K58" s="54">
        <v>136.16344125973285</v>
      </c>
      <c r="L58" s="17"/>
      <c r="M58" s="54">
        <v>55.172837655289072</v>
      </c>
      <c r="N58" s="54">
        <v>71.750978783360139</v>
      </c>
      <c r="O58" s="56">
        <v>57.206960523224595</v>
      </c>
      <c r="P58" s="54">
        <v>59.436485238433711</v>
      </c>
      <c r="Q58" s="54">
        <v>29.225637715758758</v>
      </c>
      <c r="R58" s="28">
        <v>72.584342112184004</v>
      </c>
      <c r="S58" s="28">
        <v>61.254403182188838</v>
      </c>
    </row>
    <row r="59" spans="2:19" ht="15" customHeight="1" x14ac:dyDescent="0.25">
      <c r="B59" s="10" t="s">
        <v>17</v>
      </c>
      <c r="C59" s="10"/>
      <c r="D59" s="10"/>
      <c r="E59" s="10"/>
      <c r="F59" s="10"/>
      <c r="G59" s="10"/>
      <c r="H59" s="10"/>
      <c r="I59" s="12"/>
      <c r="J59" s="12"/>
      <c r="K59" s="12"/>
      <c r="L59" s="26"/>
      <c r="M59" s="12"/>
      <c r="N59" s="12"/>
      <c r="O59" s="12"/>
      <c r="P59" s="12"/>
      <c r="Q59" s="12"/>
      <c r="R59" s="12"/>
      <c r="S59" s="12"/>
    </row>
    <row r="60" spans="2:19" ht="15" customHeight="1" x14ac:dyDescent="0.25">
      <c r="B60" s="97" t="s">
        <v>75</v>
      </c>
      <c r="C60" s="20" t="s">
        <v>4</v>
      </c>
      <c r="D60" s="10"/>
      <c r="E60" s="10"/>
      <c r="F60" s="10"/>
      <c r="G60" s="10"/>
      <c r="H60" s="10"/>
      <c r="I60" s="12"/>
      <c r="J60" s="12"/>
      <c r="K60" s="12"/>
      <c r="L60" s="26"/>
      <c r="M60" s="12"/>
      <c r="N60" s="12"/>
      <c r="O60" s="12"/>
      <c r="P60" s="12"/>
      <c r="Q60" s="12"/>
      <c r="R60" s="92">
        <v>1376.9</v>
      </c>
      <c r="S60" s="92">
        <v>1818.14</v>
      </c>
    </row>
    <row r="61" spans="2:19" ht="15" customHeight="1" x14ac:dyDescent="0.25">
      <c r="B61" s="97"/>
      <c r="C61" s="15" t="s">
        <v>38</v>
      </c>
      <c r="D61" s="15" t="s">
        <v>72</v>
      </c>
      <c r="E61" s="15" t="s">
        <v>72</v>
      </c>
      <c r="F61" s="15" t="s">
        <v>72</v>
      </c>
      <c r="G61" s="15" t="s">
        <v>72</v>
      </c>
      <c r="H61" s="15" t="s">
        <v>72</v>
      </c>
      <c r="I61" s="57">
        <v>6.7900088080685567E-2</v>
      </c>
      <c r="J61" s="57">
        <v>0.15310507625448108</v>
      </c>
      <c r="K61" s="57">
        <v>0.10370677535219153</v>
      </c>
      <c r="L61" s="17"/>
      <c r="M61" s="57">
        <v>0.12914757594656212</v>
      </c>
      <c r="N61" s="58">
        <v>6.7988352569596927E-2</v>
      </c>
      <c r="O61" s="58">
        <v>0.11269590835050364</v>
      </c>
      <c r="P61" s="57">
        <v>0.1686524221814632</v>
      </c>
      <c r="Q61" s="57">
        <v>0.10011555608500898</v>
      </c>
      <c r="R61" s="57">
        <v>0.10301960649637792</v>
      </c>
      <c r="S61" s="57">
        <v>0.17779795108666435</v>
      </c>
    </row>
    <row r="62" spans="2:19" ht="15" customHeight="1" x14ac:dyDescent="0.25">
      <c r="B62" s="96" t="s">
        <v>128</v>
      </c>
      <c r="C62" s="20" t="s">
        <v>4</v>
      </c>
      <c r="D62" s="15"/>
      <c r="E62" s="15"/>
      <c r="F62" s="15"/>
      <c r="G62" s="15"/>
      <c r="H62" s="15"/>
      <c r="I62" s="57"/>
      <c r="J62" s="57"/>
      <c r="K62" s="57"/>
      <c r="L62" s="17"/>
      <c r="M62" s="57"/>
      <c r="N62" s="58"/>
      <c r="O62" s="58"/>
      <c r="P62" s="57"/>
      <c r="Q62" s="57"/>
      <c r="R62" s="92">
        <v>945.4</v>
      </c>
      <c r="S62" s="92">
        <v>1530.92</v>
      </c>
    </row>
    <row r="63" spans="2:19" ht="15" customHeight="1" x14ac:dyDescent="0.25">
      <c r="B63" s="96"/>
      <c r="C63" s="15" t="s">
        <v>12</v>
      </c>
      <c r="D63" s="15" t="s">
        <v>72</v>
      </c>
      <c r="E63" s="15" t="s">
        <v>72</v>
      </c>
      <c r="F63" s="15" t="s">
        <v>72</v>
      </c>
      <c r="G63" s="15" t="s">
        <v>72</v>
      </c>
      <c r="H63" s="15" t="s">
        <v>72</v>
      </c>
      <c r="I63" s="25">
        <v>0.64599310881404914</v>
      </c>
      <c r="J63" s="25">
        <v>0.37290167865707435</v>
      </c>
      <c r="K63" s="25">
        <v>0.69076005961251863</v>
      </c>
      <c r="L63" s="17"/>
      <c r="M63" s="25">
        <v>0.77918709837850286</v>
      </c>
      <c r="N63" s="25">
        <v>0.69315504459274413</v>
      </c>
      <c r="O63" s="25">
        <v>0.81821662979061938</v>
      </c>
      <c r="P63" s="25">
        <v>0.78488501126056476</v>
      </c>
      <c r="Q63" s="25">
        <v>0.73266829338309203</v>
      </c>
      <c r="R63" s="25">
        <v>0.68661485946691803</v>
      </c>
      <c r="S63" s="25">
        <v>0.84202536658343097</v>
      </c>
    </row>
    <row r="64" spans="2:19" ht="15" customHeight="1" x14ac:dyDescent="0.25">
      <c r="B64" s="97" t="s">
        <v>74</v>
      </c>
      <c r="C64" s="20" t="s">
        <v>4</v>
      </c>
      <c r="D64" s="15"/>
      <c r="E64" s="15"/>
      <c r="F64" s="15"/>
      <c r="G64" s="15"/>
      <c r="H64" s="15"/>
      <c r="I64" s="25"/>
      <c r="J64" s="25"/>
      <c r="K64" s="25"/>
      <c r="L64" s="17"/>
      <c r="M64" s="25"/>
      <c r="N64" s="25"/>
      <c r="O64" s="25"/>
      <c r="P64" s="25"/>
      <c r="Q64" s="25"/>
      <c r="R64" s="87">
        <v>10130.1</v>
      </c>
      <c r="S64" s="87">
        <v>16235.35</v>
      </c>
    </row>
    <row r="65" spans="2:19" ht="15" customHeight="1" x14ac:dyDescent="0.25">
      <c r="B65" s="97"/>
      <c r="C65" s="15" t="s">
        <v>38</v>
      </c>
      <c r="D65" s="15" t="s">
        <v>72</v>
      </c>
      <c r="E65" s="15" t="s">
        <v>72</v>
      </c>
      <c r="F65" s="15" t="s">
        <v>72</v>
      </c>
      <c r="G65" s="15" t="s">
        <v>72</v>
      </c>
      <c r="H65" s="15" t="s">
        <v>72</v>
      </c>
      <c r="I65" s="57">
        <v>0.59836905452542344</v>
      </c>
      <c r="J65" s="57">
        <v>0.94726881711405553</v>
      </c>
      <c r="K65" s="57">
        <v>0.81684154756165051</v>
      </c>
      <c r="L65" s="17"/>
      <c r="M65" s="57">
        <v>0.5453721149298556</v>
      </c>
      <c r="N65" s="58">
        <v>0.52227755571695278</v>
      </c>
      <c r="O65" s="58">
        <v>0.91206931412615999</v>
      </c>
      <c r="P65" s="57">
        <v>0.73577727875982146</v>
      </c>
      <c r="Q65" s="57">
        <v>0.66445287753907423</v>
      </c>
      <c r="R65" s="57">
        <v>0.75793370307862451</v>
      </c>
      <c r="S65" s="57">
        <v>1.5876730973274202</v>
      </c>
    </row>
    <row r="66" spans="2:19" ht="15" customHeight="1" x14ac:dyDescent="0.25">
      <c r="B66" s="97" t="s">
        <v>129</v>
      </c>
      <c r="C66" s="20" t="s">
        <v>4</v>
      </c>
      <c r="D66" s="15"/>
      <c r="E66" s="15"/>
      <c r="F66" s="15"/>
      <c r="G66" s="15"/>
      <c r="H66" s="15"/>
      <c r="I66" s="57"/>
      <c r="J66" s="57"/>
      <c r="K66" s="57"/>
      <c r="L66" s="17"/>
      <c r="M66" s="57"/>
      <c r="N66" s="58"/>
      <c r="O66" s="58"/>
      <c r="P66" s="57"/>
      <c r="Q66" s="57"/>
      <c r="R66" s="92">
        <v>5147.6000000000004</v>
      </c>
      <c r="S66" s="92">
        <v>12629.26</v>
      </c>
    </row>
    <row r="67" spans="2:19" ht="15" customHeight="1" x14ac:dyDescent="0.25">
      <c r="B67" s="97"/>
      <c r="C67" s="15" t="s">
        <v>12</v>
      </c>
      <c r="D67" s="15" t="s">
        <v>72</v>
      </c>
      <c r="E67" s="15" t="s">
        <v>72</v>
      </c>
      <c r="F67" s="15" t="s">
        <v>72</v>
      </c>
      <c r="G67" s="15" t="s">
        <v>72</v>
      </c>
      <c r="H67" s="15" t="s">
        <v>72</v>
      </c>
      <c r="I67" s="25">
        <v>0.76313598869913979</v>
      </c>
      <c r="J67" s="25">
        <v>0.45954897815362933</v>
      </c>
      <c r="K67" s="25">
        <v>0.35531967228623867</v>
      </c>
      <c r="L67" s="17"/>
      <c r="M67" s="25">
        <v>0.78686517139891099</v>
      </c>
      <c r="N67" s="25">
        <v>0.50413571504273003</v>
      </c>
      <c r="O67" s="25">
        <v>0.79361076738194625</v>
      </c>
      <c r="P67" s="25">
        <v>0.69195827067767157</v>
      </c>
      <c r="Q67" s="25">
        <v>0.460412206146327</v>
      </c>
      <c r="R67" s="25">
        <v>0.50814898174746503</v>
      </c>
      <c r="S67" s="25">
        <v>0.77788652539058301</v>
      </c>
    </row>
    <row r="68" spans="2:19" ht="15" customHeight="1" x14ac:dyDescent="0.25">
      <c r="B68" s="10" t="s">
        <v>18</v>
      </c>
      <c r="C68" s="10"/>
      <c r="D68" s="10"/>
      <c r="E68" s="10"/>
      <c r="F68" s="10"/>
      <c r="G68" s="10"/>
      <c r="H68" s="10"/>
      <c r="I68" s="12"/>
      <c r="J68" s="12"/>
      <c r="K68" s="12"/>
      <c r="L68" s="26"/>
      <c r="M68" s="12"/>
      <c r="N68" s="12"/>
      <c r="O68" s="12"/>
      <c r="P68" s="12"/>
      <c r="Q68" s="12"/>
      <c r="R68" s="12"/>
      <c r="S68" s="12"/>
    </row>
    <row r="69" spans="2:19" ht="15" customHeight="1" x14ac:dyDescent="0.25">
      <c r="B69" s="14" t="s">
        <v>85</v>
      </c>
      <c r="C69" s="15" t="s">
        <v>39</v>
      </c>
      <c r="D69" s="62">
        <v>3358</v>
      </c>
      <c r="E69" s="62">
        <v>3562</v>
      </c>
      <c r="F69" s="62">
        <v>3719</v>
      </c>
      <c r="G69" s="62">
        <v>3681</v>
      </c>
      <c r="H69" s="62">
        <v>3595</v>
      </c>
      <c r="I69" s="20" t="s">
        <v>72</v>
      </c>
      <c r="J69" s="20" t="s">
        <v>72</v>
      </c>
      <c r="K69" s="20" t="s">
        <v>72</v>
      </c>
      <c r="L69" s="88" t="s">
        <v>87</v>
      </c>
      <c r="M69" s="20" t="s">
        <v>72</v>
      </c>
      <c r="N69" s="20" t="s">
        <v>72</v>
      </c>
      <c r="O69" s="59">
        <v>3247</v>
      </c>
      <c r="P69" s="59">
        <v>3406</v>
      </c>
      <c r="Q69" s="59">
        <v>3559</v>
      </c>
      <c r="R69" s="63">
        <v>3386</v>
      </c>
      <c r="S69" s="63">
        <v>3665</v>
      </c>
    </row>
    <row r="70" spans="2:19" ht="15" customHeight="1" x14ac:dyDescent="0.25">
      <c r="B70" s="46" t="s">
        <v>116</v>
      </c>
      <c r="C70" s="15" t="s">
        <v>39</v>
      </c>
      <c r="D70" s="59">
        <v>3135</v>
      </c>
      <c r="E70" s="59">
        <v>3330</v>
      </c>
      <c r="F70" s="59">
        <v>3467</v>
      </c>
      <c r="G70" s="59">
        <v>3436</v>
      </c>
      <c r="H70" s="59">
        <v>3361</v>
      </c>
      <c r="I70" s="20" t="s">
        <v>72</v>
      </c>
      <c r="J70" s="20" t="s">
        <v>72</v>
      </c>
      <c r="K70" s="20" t="s">
        <v>72</v>
      </c>
      <c r="L70" s="21"/>
      <c r="M70" s="20" t="s">
        <v>72</v>
      </c>
      <c r="N70" s="20" t="s">
        <v>72</v>
      </c>
      <c r="O70" s="20" t="s">
        <v>72</v>
      </c>
      <c r="P70" s="59">
        <v>3094</v>
      </c>
      <c r="Q70" s="59">
        <v>3132</v>
      </c>
      <c r="R70" s="59">
        <v>2952</v>
      </c>
      <c r="S70" s="59">
        <v>3136</v>
      </c>
    </row>
    <row r="71" spans="2:19" ht="15" customHeight="1" x14ac:dyDescent="0.25">
      <c r="B71" s="46" t="s">
        <v>117</v>
      </c>
      <c r="C71" s="15" t="s">
        <v>39</v>
      </c>
      <c r="D71" s="15">
        <v>223</v>
      </c>
      <c r="E71" s="15">
        <v>232</v>
      </c>
      <c r="F71" s="59">
        <v>252</v>
      </c>
      <c r="G71" s="59">
        <v>245</v>
      </c>
      <c r="H71" s="59">
        <v>234</v>
      </c>
      <c r="I71" s="20" t="s">
        <v>72</v>
      </c>
      <c r="J71" s="20" t="s">
        <v>72</v>
      </c>
      <c r="K71" s="20" t="s">
        <v>72</v>
      </c>
      <c r="L71" s="21"/>
      <c r="M71" s="20" t="s">
        <v>72</v>
      </c>
      <c r="N71" s="20" t="s">
        <v>72</v>
      </c>
      <c r="O71" s="20" t="s">
        <v>72</v>
      </c>
      <c r="P71" s="59">
        <v>312</v>
      </c>
      <c r="Q71" s="59">
        <v>427</v>
      </c>
      <c r="R71" s="59">
        <v>434</v>
      </c>
      <c r="S71" s="59">
        <v>529</v>
      </c>
    </row>
    <row r="72" spans="2:19" ht="15" customHeight="1" x14ac:dyDescent="0.25">
      <c r="B72" s="60" t="s">
        <v>56</v>
      </c>
      <c r="C72" s="20" t="s">
        <v>39</v>
      </c>
      <c r="D72" s="61">
        <v>1</v>
      </c>
      <c r="E72" s="61">
        <v>1</v>
      </c>
      <c r="F72" s="61">
        <v>0.99981532779316717</v>
      </c>
      <c r="G72" s="61">
        <v>0.99978526948679403</v>
      </c>
      <c r="H72" s="61">
        <v>0.99980426697983948</v>
      </c>
      <c r="I72" s="20" t="s">
        <v>72</v>
      </c>
      <c r="J72" s="20" t="s">
        <v>72</v>
      </c>
      <c r="K72" s="20" t="s">
        <v>72</v>
      </c>
      <c r="L72" s="21"/>
      <c r="M72" s="20" t="s">
        <v>72</v>
      </c>
      <c r="N72" s="20" t="s">
        <v>72</v>
      </c>
      <c r="O72" s="20" t="s">
        <v>72</v>
      </c>
      <c r="P72" s="20" t="s">
        <v>72</v>
      </c>
      <c r="Q72" s="98" t="s">
        <v>131</v>
      </c>
      <c r="R72" s="98" t="s">
        <v>131</v>
      </c>
      <c r="S72" s="98"/>
    </row>
    <row r="73" spans="2:19" ht="15" customHeight="1" x14ac:dyDescent="0.25">
      <c r="B73" s="60" t="s">
        <v>54</v>
      </c>
      <c r="C73" s="20" t="s">
        <v>39</v>
      </c>
      <c r="D73" s="61">
        <v>91</v>
      </c>
      <c r="E73" s="61">
        <v>94</v>
      </c>
      <c r="F73" s="61">
        <v>55</v>
      </c>
      <c r="G73" s="61">
        <v>53</v>
      </c>
      <c r="H73" s="61">
        <v>24</v>
      </c>
      <c r="I73" s="20" t="s">
        <v>72</v>
      </c>
      <c r="J73" s="20" t="s">
        <v>72</v>
      </c>
      <c r="K73" s="20" t="s">
        <v>72</v>
      </c>
      <c r="L73" s="21"/>
      <c r="M73" s="20" t="s">
        <v>72</v>
      </c>
      <c r="N73" s="20" t="s">
        <v>72</v>
      </c>
      <c r="O73" s="20" t="s">
        <v>72</v>
      </c>
      <c r="P73" s="20" t="s">
        <v>72</v>
      </c>
      <c r="Q73" s="99"/>
      <c r="R73" s="99"/>
      <c r="S73" s="99"/>
    </row>
    <row r="74" spans="2:19" ht="15" customHeight="1" x14ac:dyDescent="0.25">
      <c r="B74" s="60" t="s">
        <v>55</v>
      </c>
      <c r="C74" s="20" t="s">
        <v>39</v>
      </c>
      <c r="D74" s="61">
        <v>1793</v>
      </c>
      <c r="E74" s="61">
        <v>1955</v>
      </c>
      <c r="F74" s="61">
        <v>2073</v>
      </c>
      <c r="G74" s="61">
        <v>1955</v>
      </c>
      <c r="H74" s="61">
        <v>1886</v>
      </c>
      <c r="I74" s="20" t="s">
        <v>72</v>
      </c>
      <c r="J74" s="20" t="s">
        <v>72</v>
      </c>
      <c r="K74" s="20" t="s">
        <v>72</v>
      </c>
      <c r="L74" s="21"/>
      <c r="M74" s="20" t="s">
        <v>72</v>
      </c>
      <c r="N74" s="20" t="s">
        <v>72</v>
      </c>
      <c r="O74" s="20" t="s">
        <v>72</v>
      </c>
      <c r="P74" s="20" t="s">
        <v>72</v>
      </c>
      <c r="Q74" s="99"/>
      <c r="R74" s="100"/>
      <c r="S74" s="100"/>
    </row>
    <row r="75" spans="2:19" ht="15" customHeight="1" x14ac:dyDescent="0.25">
      <c r="B75" s="14" t="s">
        <v>86</v>
      </c>
      <c r="C75" s="15" t="s">
        <v>39</v>
      </c>
      <c r="D75" s="62">
        <v>4850</v>
      </c>
      <c r="E75" s="62">
        <v>4661</v>
      </c>
      <c r="F75" s="62">
        <v>5415</v>
      </c>
      <c r="G75" s="62">
        <v>4657</v>
      </c>
      <c r="H75" s="62">
        <v>5109</v>
      </c>
      <c r="I75" s="59">
        <v>5765</v>
      </c>
      <c r="J75" s="59">
        <v>5151</v>
      </c>
      <c r="K75" s="59">
        <v>6060</v>
      </c>
      <c r="L75" s="17" t="s">
        <v>88</v>
      </c>
      <c r="M75" s="59">
        <v>6460</v>
      </c>
      <c r="N75" s="59">
        <v>5184</v>
      </c>
      <c r="O75" s="63">
        <v>7047</v>
      </c>
      <c r="P75" s="63">
        <v>5158</v>
      </c>
      <c r="Q75" s="99"/>
      <c r="R75" s="63">
        <v>5999</v>
      </c>
      <c r="S75" s="63"/>
    </row>
    <row r="76" spans="2:19" ht="26.4" x14ac:dyDescent="0.25">
      <c r="B76" s="82" t="s">
        <v>118</v>
      </c>
      <c r="C76" s="72"/>
      <c r="D76" s="83"/>
      <c r="E76" s="83"/>
      <c r="F76" s="83"/>
      <c r="G76" s="83"/>
      <c r="H76" s="83"/>
      <c r="I76" s="83"/>
      <c r="J76" s="83"/>
      <c r="K76" s="83"/>
      <c r="L76" s="21"/>
      <c r="M76" s="83"/>
      <c r="N76" s="84"/>
      <c r="O76" s="84"/>
      <c r="P76" s="84"/>
      <c r="Q76" s="100"/>
      <c r="R76" s="93"/>
      <c r="S76" s="93"/>
    </row>
    <row r="77" spans="2:19" x14ac:dyDescent="0.25">
      <c r="B77" s="60" t="s">
        <v>119</v>
      </c>
      <c r="C77" s="72"/>
      <c r="D77" s="83"/>
      <c r="E77" s="83"/>
      <c r="F77" s="83"/>
      <c r="G77" s="83"/>
      <c r="H77" s="83"/>
      <c r="I77" s="83"/>
      <c r="J77" s="83"/>
      <c r="K77" s="83"/>
      <c r="L77" s="21"/>
      <c r="M77" s="83"/>
      <c r="N77" s="84"/>
      <c r="O77" s="84"/>
      <c r="P77" s="84"/>
      <c r="Q77" s="85"/>
      <c r="R77" s="85"/>
      <c r="S77" s="85"/>
    </row>
    <row r="78" spans="2:19" x14ac:dyDescent="0.25">
      <c r="B78" s="65" t="s">
        <v>120</v>
      </c>
      <c r="C78" s="15" t="s">
        <v>139</v>
      </c>
      <c r="D78" s="66" t="s">
        <v>72</v>
      </c>
      <c r="E78" s="66" t="s">
        <v>72</v>
      </c>
      <c r="F78" s="66" t="s">
        <v>72</v>
      </c>
      <c r="G78" s="66" t="s">
        <v>72</v>
      </c>
      <c r="H78" s="66" t="s">
        <v>72</v>
      </c>
      <c r="I78" s="66" t="s">
        <v>72</v>
      </c>
      <c r="J78" s="66" t="s">
        <v>72</v>
      </c>
      <c r="K78" s="66" t="s">
        <v>72</v>
      </c>
      <c r="L78" s="21"/>
      <c r="M78" s="66" t="s">
        <v>72</v>
      </c>
      <c r="N78" s="66" t="s">
        <v>72</v>
      </c>
      <c r="O78" s="66" t="s">
        <v>72</v>
      </c>
      <c r="P78" s="59">
        <v>78</v>
      </c>
      <c r="Q78" s="52">
        <v>2.7444253859348199E-2</v>
      </c>
      <c r="R78" s="52">
        <v>2.6800354400473E-2</v>
      </c>
      <c r="S78" s="52">
        <v>2.04638472032742E-2</v>
      </c>
    </row>
    <row r="79" spans="2:19" x14ac:dyDescent="0.25">
      <c r="B79" s="65" t="s">
        <v>121</v>
      </c>
      <c r="C79" s="15" t="s">
        <v>139</v>
      </c>
      <c r="D79" s="66" t="s">
        <v>72</v>
      </c>
      <c r="E79" s="66" t="s">
        <v>72</v>
      </c>
      <c r="F79" s="66" t="s">
        <v>72</v>
      </c>
      <c r="G79" s="66" t="s">
        <v>72</v>
      </c>
      <c r="H79" s="66" t="s">
        <v>72</v>
      </c>
      <c r="I79" s="66" t="s">
        <v>72</v>
      </c>
      <c r="J79" s="66" t="s">
        <v>72</v>
      </c>
      <c r="K79" s="66" t="s">
        <v>72</v>
      </c>
      <c r="L79" s="21"/>
      <c r="M79" s="66" t="s">
        <v>72</v>
      </c>
      <c r="N79" s="66" t="s">
        <v>72</v>
      </c>
      <c r="O79" s="66" t="s">
        <v>72</v>
      </c>
      <c r="P79" s="59">
        <v>1136</v>
      </c>
      <c r="Q79" s="52">
        <v>0.38279016580903402</v>
      </c>
      <c r="R79" s="52">
        <v>0.35794447725930301</v>
      </c>
      <c r="S79" s="52">
        <v>0.32360163710777601</v>
      </c>
    </row>
    <row r="80" spans="2:19" x14ac:dyDescent="0.25">
      <c r="B80" s="65" t="s">
        <v>122</v>
      </c>
      <c r="C80" s="15" t="s">
        <v>139</v>
      </c>
      <c r="D80" s="66" t="s">
        <v>72</v>
      </c>
      <c r="E80" s="66" t="s">
        <v>72</v>
      </c>
      <c r="F80" s="66" t="s">
        <v>72</v>
      </c>
      <c r="G80" s="66" t="s">
        <v>72</v>
      </c>
      <c r="H80" s="66" t="s">
        <v>72</v>
      </c>
      <c r="I80" s="66" t="s">
        <v>72</v>
      </c>
      <c r="J80" s="66" t="s">
        <v>72</v>
      </c>
      <c r="K80" s="66" t="s">
        <v>72</v>
      </c>
      <c r="L80" s="21"/>
      <c r="M80" s="66" t="s">
        <v>72</v>
      </c>
      <c r="N80" s="66" t="s">
        <v>72</v>
      </c>
      <c r="O80" s="66" t="s">
        <v>72</v>
      </c>
      <c r="P80" s="59">
        <v>1880</v>
      </c>
      <c r="Q80" s="52">
        <v>0.474556889651229</v>
      </c>
      <c r="R80" s="52">
        <v>0.51594802126402795</v>
      </c>
      <c r="S80" s="52">
        <v>0.51159618008185503</v>
      </c>
    </row>
    <row r="81" spans="2:19" x14ac:dyDescent="0.25">
      <c r="B81" s="60" t="s">
        <v>123</v>
      </c>
      <c r="C81" s="72"/>
      <c r="D81" s="83"/>
      <c r="E81" s="83"/>
      <c r="F81" s="83"/>
      <c r="G81" s="83"/>
      <c r="H81" s="83"/>
      <c r="I81" s="83"/>
      <c r="J81" s="83"/>
      <c r="K81" s="83"/>
      <c r="L81" s="21"/>
      <c r="M81" s="83"/>
      <c r="N81" s="83"/>
      <c r="O81" s="83"/>
      <c r="P81" s="86"/>
      <c r="Q81" s="45"/>
      <c r="R81" s="87"/>
      <c r="S81" s="87"/>
    </row>
    <row r="82" spans="2:19" x14ac:dyDescent="0.25">
      <c r="B82" s="65" t="s">
        <v>120</v>
      </c>
      <c r="C82" s="15" t="s">
        <v>139</v>
      </c>
      <c r="D82" s="66" t="s">
        <v>72</v>
      </c>
      <c r="E82" s="66" t="s">
        <v>72</v>
      </c>
      <c r="F82" s="66" t="s">
        <v>72</v>
      </c>
      <c r="G82" s="66" t="s">
        <v>72</v>
      </c>
      <c r="H82" s="66" t="s">
        <v>72</v>
      </c>
      <c r="I82" s="66" t="s">
        <v>72</v>
      </c>
      <c r="J82" s="66" t="s">
        <v>72</v>
      </c>
      <c r="K82" s="66" t="s">
        <v>72</v>
      </c>
      <c r="L82" s="21"/>
      <c r="M82" s="66" t="s">
        <v>72</v>
      </c>
      <c r="N82" s="66" t="s">
        <v>72</v>
      </c>
      <c r="O82" s="66" t="s">
        <v>72</v>
      </c>
      <c r="P82" s="59">
        <v>15</v>
      </c>
      <c r="Q82" s="52">
        <v>5.1457975986277903E-3</v>
      </c>
      <c r="R82" s="52">
        <v>2.06733608978145E-3</v>
      </c>
      <c r="S82" s="52">
        <v>3.81991814461119E-3</v>
      </c>
    </row>
    <row r="83" spans="2:19" x14ac:dyDescent="0.25">
      <c r="B83" s="65" t="s">
        <v>121</v>
      </c>
      <c r="C83" s="15" t="s">
        <v>139</v>
      </c>
      <c r="D83" s="66" t="s">
        <v>72</v>
      </c>
      <c r="E83" s="66" t="s">
        <v>72</v>
      </c>
      <c r="F83" s="66" t="s">
        <v>72</v>
      </c>
      <c r="G83" s="66" t="s">
        <v>72</v>
      </c>
      <c r="H83" s="66" t="s">
        <v>72</v>
      </c>
      <c r="I83" s="66" t="s">
        <v>72</v>
      </c>
      <c r="J83" s="66" t="s">
        <v>72</v>
      </c>
      <c r="K83" s="66" t="s">
        <v>72</v>
      </c>
      <c r="L83" s="21"/>
      <c r="M83" s="66" t="s">
        <v>72</v>
      </c>
      <c r="N83" s="66" t="s">
        <v>72</v>
      </c>
      <c r="O83" s="66" t="s">
        <v>72</v>
      </c>
      <c r="P83" s="59">
        <v>255</v>
      </c>
      <c r="Q83" s="52">
        <v>5.8033161806746697E-2</v>
      </c>
      <c r="R83" s="52">
        <v>7.73774365032487E-2</v>
      </c>
      <c r="S83" s="52">
        <v>0.108594815825375</v>
      </c>
    </row>
    <row r="84" spans="2:19" x14ac:dyDescent="0.25">
      <c r="B84" s="65" t="s">
        <v>122</v>
      </c>
      <c r="C84" s="15" t="s">
        <v>139</v>
      </c>
      <c r="D84" s="66" t="s">
        <v>72</v>
      </c>
      <c r="E84" s="66" t="s">
        <v>72</v>
      </c>
      <c r="F84" s="66" t="s">
        <v>72</v>
      </c>
      <c r="G84" s="66" t="s">
        <v>72</v>
      </c>
      <c r="H84" s="66" t="s">
        <v>72</v>
      </c>
      <c r="I84" s="66" t="s">
        <v>72</v>
      </c>
      <c r="J84" s="66" t="s">
        <v>72</v>
      </c>
      <c r="K84" s="66" t="s">
        <v>72</v>
      </c>
      <c r="L84" s="21"/>
      <c r="M84" s="66" t="s">
        <v>72</v>
      </c>
      <c r="N84" s="66" t="s">
        <v>72</v>
      </c>
      <c r="O84" s="66" t="s">
        <v>72</v>
      </c>
      <c r="P84" s="59">
        <v>42</v>
      </c>
      <c r="Q84" s="52">
        <v>5.2029731275014299E-2</v>
      </c>
      <c r="R84" s="52">
        <v>2.0082693443591301E-2</v>
      </c>
      <c r="S84" s="52">
        <v>3.19236016371078E-2</v>
      </c>
    </row>
    <row r="85" spans="2:19" ht="15" customHeight="1" x14ac:dyDescent="0.25">
      <c r="B85" s="10" t="s">
        <v>40</v>
      </c>
      <c r="C85" s="10"/>
      <c r="D85" s="10"/>
      <c r="E85" s="10"/>
      <c r="F85" s="10"/>
      <c r="G85" s="10"/>
      <c r="H85" s="10"/>
      <c r="I85" s="12"/>
      <c r="J85" s="12"/>
      <c r="K85" s="12"/>
      <c r="L85" s="26"/>
      <c r="M85" s="12"/>
      <c r="N85" s="12"/>
      <c r="O85" s="12"/>
      <c r="P85" s="12"/>
      <c r="Q85" s="12"/>
      <c r="R85" s="12"/>
      <c r="S85" s="12"/>
    </row>
    <row r="86" spans="2:19" ht="15" customHeight="1" x14ac:dyDescent="0.25">
      <c r="B86" s="67" t="s">
        <v>41</v>
      </c>
      <c r="C86" s="15" t="s">
        <v>68</v>
      </c>
      <c r="D86" s="15">
        <v>2.4500000000000002</v>
      </c>
      <c r="E86" s="15">
        <v>3.36</v>
      </c>
      <c r="F86" s="15">
        <v>2.4700000000000002</v>
      </c>
      <c r="G86" s="28">
        <v>2.4</v>
      </c>
      <c r="H86" s="15">
        <v>4.24</v>
      </c>
      <c r="I86" s="37">
        <v>7.99</v>
      </c>
      <c r="J86" s="37">
        <v>5.75</v>
      </c>
      <c r="K86" s="37">
        <v>3.96</v>
      </c>
      <c r="L86" s="17" t="s">
        <v>67</v>
      </c>
      <c r="M86" s="68">
        <v>3.5</v>
      </c>
      <c r="N86" s="37">
        <v>2.06</v>
      </c>
      <c r="O86" s="68">
        <v>2</v>
      </c>
      <c r="P86" s="68">
        <v>3.01</v>
      </c>
      <c r="Q86" s="28">
        <v>1.89</v>
      </c>
      <c r="R86" s="28">
        <v>1.72</v>
      </c>
      <c r="S86" s="28">
        <v>2.9557668689210059</v>
      </c>
    </row>
    <row r="87" spans="2:19" ht="15" customHeight="1" x14ac:dyDescent="0.25">
      <c r="B87" s="67" t="s">
        <v>42</v>
      </c>
      <c r="C87" s="15" t="s">
        <v>90</v>
      </c>
      <c r="D87" s="15">
        <v>0.56000000000000005</v>
      </c>
      <c r="E87" s="15">
        <v>0.82</v>
      </c>
      <c r="F87" s="15">
        <v>0.54</v>
      </c>
      <c r="G87" s="28">
        <v>0.6</v>
      </c>
      <c r="H87" s="15">
        <v>1.02</v>
      </c>
      <c r="I87" s="37">
        <v>1.98</v>
      </c>
      <c r="J87" s="37">
        <v>1.46</v>
      </c>
      <c r="K87" s="37">
        <v>1.01</v>
      </c>
      <c r="L87" s="17" t="s">
        <v>67</v>
      </c>
      <c r="M87" s="37">
        <v>0.77</v>
      </c>
      <c r="N87" s="68">
        <v>0.57999999999999996</v>
      </c>
      <c r="O87" s="68">
        <v>0.33</v>
      </c>
      <c r="P87" s="68">
        <v>0.62</v>
      </c>
      <c r="Q87" s="28">
        <v>0.38</v>
      </c>
      <c r="R87" s="28">
        <v>0.37</v>
      </c>
      <c r="S87" s="28">
        <v>0.59709521247982789</v>
      </c>
    </row>
    <row r="88" spans="2:19" ht="15" customHeight="1" x14ac:dyDescent="0.25">
      <c r="B88" s="67" t="s">
        <v>43</v>
      </c>
      <c r="C88" s="15" t="s">
        <v>69</v>
      </c>
      <c r="D88" s="35">
        <v>163.59</v>
      </c>
      <c r="E88" s="35">
        <v>125.52</v>
      </c>
      <c r="F88" s="35">
        <v>61</v>
      </c>
      <c r="G88" s="35">
        <v>110.26</v>
      </c>
      <c r="H88" s="35">
        <v>229.76</v>
      </c>
      <c r="I88" s="37">
        <v>615.63</v>
      </c>
      <c r="J88" s="37">
        <v>217.12</v>
      </c>
      <c r="K88" s="37">
        <v>186.87</v>
      </c>
      <c r="L88" s="17" t="s">
        <v>67</v>
      </c>
      <c r="M88" s="37">
        <v>150.11000000000001</v>
      </c>
      <c r="N88" s="37">
        <v>39.880000000000003</v>
      </c>
      <c r="O88" s="37">
        <v>60.58</v>
      </c>
      <c r="P88" s="37">
        <v>112.57</v>
      </c>
      <c r="Q88" s="28">
        <v>72.739999999999995</v>
      </c>
      <c r="R88" s="28">
        <v>46.88</v>
      </c>
      <c r="S88" s="28">
        <v>86.597928658732044</v>
      </c>
    </row>
    <row r="89" spans="2:19" ht="15" customHeight="1" x14ac:dyDescent="0.25">
      <c r="B89" s="10" t="s">
        <v>19</v>
      </c>
      <c r="C89" s="10"/>
      <c r="D89" s="10"/>
      <c r="E89" s="10"/>
      <c r="F89" s="10"/>
      <c r="G89" s="10"/>
      <c r="H89" s="10"/>
      <c r="I89" s="12"/>
      <c r="J89" s="12"/>
      <c r="K89" s="12"/>
      <c r="L89" s="26"/>
      <c r="M89" s="12"/>
      <c r="N89" s="12"/>
      <c r="O89" s="12"/>
      <c r="P89" s="12"/>
      <c r="Q89" s="12"/>
      <c r="R89" s="12"/>
      <c r="S89" s="12"/>
    </row>
    <row r="90" spans="2:19" ht="15" customHeight="1" x14ac:dyDescent="0.25">
      <c r="B90" s="67" t="s">
        <v>114</v>
      </c>
      <c r="C90" s="15" t="s">
        <v>89</v>
      </c>
      <c r="D90" s="35">
        <v>50.245681953543773</v>
      </c>
      <c r="E90" s="35">
        <v>54.992419988770351</v>
      </c>
      <c r="F90" s="35">
        <v>38.055122344716324</v>
      </c>
      <c r="G90" s="35">
        <v>31.544960608530289</v>
      </c>
      <c r="H90" s="35">
        <v>30.613351877607787</v>
      </c>
      <c r="I90" s="35">
        <v>28.314151642380835</v>
      </c>
      <c r="J90" s="35">
        <v>28.653502585801597</v>
      </c>
      <c r="K90" s="35">
        <v>28.652665192827314</v>
      </c>
      <c r="L90" s="17"/>
      <c r="M90" s="35">
        <v>32.465943783556163</v>
      </c>
      <c r="N90" s="35">
        <v>26.576883204476474</v>
      </c>
      <c r="O90" s="35">
        <v>12.249127176744409</v>
      </c>
      <c r="P90" s="35">
        <v>23.010452143276574</v>
      </c>
      <c r="Q90" s="35">
        <v>18.097476819331273</v>
      </c>
      <c r="R90" s="35">
        <v>45.58981393975192</v>
      </c>
      <c r="S90" s="35">
        <v>28.718766712141882</v>
      </c>
    </row>
    <row r="91" spans="2:19" ht="15" customHeight="1" x14ac:dyDescent="0.25">
      <c r="B91" s="69" t="s">
        <v>116</v>
      </c>
      <c r="C91" s="15" t="s">
        <v>89</v>
      </c>
      <c r="D91" s="66" t="s">
        <v>72</v>
      </c>
      <c r="E91" s="66" t="s">
        <v>72</v>
      </c>
      <c r="F91" s="66" t="s">
        <v>72</v>
      </c>
      <c r="G91" s="66" t="s">
        <v>72</v>
      </c>
      <c r="H91" s="66" t="s">
        <v>72</v>
      </c>
      <c r="I91" s="66" t="s">
        <v>72</v>
      </c>
      <c r="J91" s="66" t="s">
        <v>72</v>
      </c>
      <c r="K91" s="66" t="s">
        <v>72</v>
      </c>
      <c r="L91" s="21"/>
      <c r="M91" s="66" t="s">
        <v>72</v>
      </c>
      <c r="N91" s="66" t="s">
        <v>72</v>
      </c>
      <c r="O91" s="66" t="s">
        <v>72</v>
      </c>
      <c r="P91" s="35">
        <v>21.589576599870714</v>
      </c>
      <c r="Q91" s="35">
        <v>16.02477330779055</v>
      </c>
      <c r="R91" s="35">
        <v>29.177611788617885</v>
      </c>
      <c r="S91" s="35">
        <v>23.301367984693879</v>
      </c>
    </row>
    <row r="92" spans="2:19" ht="15" customHeight="1" x14ac:dyDescent="0.25">
      <c r="B92" s="69" t="s">
        <v>117</v>
      </c>
      <c r="C92" s="15" t="s">
        <v>89</v>
      </c>
      <c r="D92" s="66" t="s">
        <v>72</v>
      </c>
      <c r="E92" s="66" t="s">
        <v>72</v>
      </c>
      <c r="F92" s="66" t="s">
        <v>72</v>
      </c>
      <c r="G92" s="66" t="s">
        <v>72</v>
      </c>
      <c r="H92" s="66" t="s">
        <v>72</v>
      </c>
      <c r="I92" s="66" t="s">
        <v>72</v>
      </c>
      <c r="J92" s="66" t="s">
        <v>72</v>
      </c>
      <c r="K92" s="66" t="s">
        <v>72</v>
      </c>
      <c r="L92" s="21"/>
      <c r="M92" s="66" t="s">
        <v>72</v>
      </c>
      <c r="N92" s="66" t="s">
        <v>72</v>
      </c>
      <c r="O92" s="66" t="s">
        <v>72</v>
      </c>
      <c r="P92" s="35">
        <v>37.100801282051286</v>
      </c>
      <c r="Q92" s="35">
        <v>33.300538641686181</v>
      </c>
      <c r="R92" s="35">
        <v>157.22304147465437</v>
      </c>
      <c r="S92" s="35">
        <v>60.834007561436671</v>
      </c>
    </row>
    <row r="93" spans="2:19" x14ac:dyDescent="0.25">
      <c r="B93" s="67" t="s">
        <v>113</v>
      </c>
      <c r="C93" s="15" t="s">
        <v>20</v>
      </c>
      <c r="D93" s="15" t="s">
        <v>72</v>
      </c>
      <c r="E93" s="15" t="s">
        <v>72</v>
      </c>
      <c r="F93" s="15" t="s">
        <v>72</v>
      </c>
      <c r="G93" s="15" t="s">
        <v>72</v>
      </c>
      <c r="H93" s="15" t="s">
        <v>72</v>
      </c>
      <c r="I93" s="70">
        <v>65.164912280701756</v>
      </c>
      <c r="J93" s="70">
        <v>66.351669017395395</v>
      </c>
      <c r="K93" s="70">
        <v>69.615678776290636</v>
      </c>
      <c r="L93" s="17"/>
      <c r="M93" s="35">
        <v>72.773028739867357</v>
      </c>
      <c r="N93" s="35">
        <v>66.022598870056498</v>
      </c>
      <c r="O93" s="35">
        <v>78.801242435407886</v>
      </c>
      <c r="P93" s="25">
        <v>0.99785378743394015</v>
      </c>
      <c r="Q93" s="25">
        <v>0.99546501826355704</v>
      </c>
      <c r="R93" s="25">
        <v>0.96594211458948598</v>
      </c>
      <c r="S93" s="25">
        <v>0.96620736698499299</v>
      </c>
    </row>
    <row r="94" spans="2:19" x14ac:dyDescent="0.25">
      <c r="B94" s="71" t="s">
        <v>116</v>
      </c>
      <c r="C94" s="15" t="s">
        <v>20</v>
      </c>
      <c r="D94" s="20" t="s">
        <v>72</v>
      </c>
      <c r="E94" s="20" t="s">
        <v>72</v>
      </c>
      <c r="F94" s="20" t="s">
        <v>72</v>
      </c>
      <c r="G94" s="20" t="s">
        <v>72</v>
      </c>
      <c r="H94" s="20" t="s">
        <v>72</v>
      </c>
      <c r="I94" s="20" t="s">
        <v>72</v>
      </c>
      <c r="J94" s="20" t="s">
        <v>72</v>
      </c>
      <c r="K94" s="20" t="s">
        <v>72</v>
      </c>
      <c r="L94" s="21"/>
      <c r="M94" s="72" t="s">
        <v>72</v>
      </c>
      <c r="N94" s="72" t="s">
        <v>72</v>
      </c>
      <c r="O94" s="73" t="s">
        <v>72</v>
      </c>
      <c r="P94" s="25">
        <v>0.99799288946347764</v>
      </c>
      <c r="Q94" s="25">
        <v>0.995977011494253</v>
      </c>
      <c r="R94" s="25">
        <v>0.966178861788618</v>
      </c>
      <c r="S94" s="25">
        <v>0.96731186224489796</v>
      </c>
    </row>
    <row r="95" spans="2:19" x14ac:dyDescent="0.25">
      <c r="B95" s="71" t="s">
        <v>117</v>
      </c>
      <c r="C95" s="15" t="s">
        <v>20</v>
      </c>
      <c r="D95" s="20" t="s">
        <v>72</v>
      </c>
      <c r="E95" s="20" t="s">
        <v>72</v>
      </c>
      <c r="F95" s="20" t="s">
        <v>72</v>
      </c>
      <c r="G95" s="20" t="s">
        <v>72</v>
      </c>
      <c r="H95" s="20" t="s">
        <v>72</v>
      </c>
      <c r="I95" s="20" t="s">
        <v>72</v>
      </c>
      <c r="J95" s="20" t="s">
        <v>72</v>
      </c>
      <c r="K95" s="20" t="s">
        <v>72</v>
      </c>
      <c r="L95" s="21"/>
      <c r="M95" s="72" t="s">
        <v>72</v>
      </c>
      <c r="N95" s="72" t="s">
        <v>72</v>
      </c>
      <c r="O95" s="73" t="s">
        <v>72</v>
      </c>
      <c r="P95" s="25">
        <v>0.99647435897435888</v>
      </c>
      <c r="Q95" s="25">
        <v>0.99170960187353596</v>
      </c>
      <c r="R95" s="25">
        <v>0.96433179723502305</v>
      </c>
      <c r="S95" s="25">
        <v>0.95965973534971605</v>
      </c>
    </row>
    <row r="96" spans="2:19" x14ac:dyDescent="0.25">
      <c r="B96" s="74" t="s">
        <v>124</v>
      </c>
      <c r="C96" s="75"/>
      <c r="D96" s="75"/>
      <c r="E96" s="76"/>
      <c r="F96" s="76"/>
      <c r="G96" s="76"/>
      <c r="H96" s="76"/>
      <c r="I96" s="75"/>
      <c r="J96" s="75"/>
      <c r="K96" s="75"/>
      <c r="L96" s="77"/>
      <c r="M96" s="78"/>
      <c r="N96" s="78"/>
      <c r="O96" s="78"/>
      <c r="P96" s="78"/>
      <c r="Q96" s="78"/>
      <c r="R96" s="78"/>
      <c r="S96" s="78"/>
    </row>
    <row r="97" spans="2:19" x14ac:dyDescent="0.25">
      <c r="B97" s="14" t="s">
        <v>126</v>
      </c>
      <c r="C97" s="15" t="s">
        <v>127</v>
      </c>
      <c r="D97" s="72" t="s">
        <v>72</v>
      </c>
      <c r="E97" s="72" t="s">
        <v>72</v>
      </c>
      <c r="F97" s="72" t="s">
        <v>72</v>
      </c>
      <c r="G97" s="72" t="s">
        <v>72</v>
      </c>
      <c r="H97" s="72" t="s">
        <v>72</v>
      </c>
      <c r="I97" s="72" t="s">
        <v>72</v>
      </c>
      <c r="J97" s="72" t="s">
        <v>72</v>
      </c>
      <c r="K97" s="72" t="s">
        <v>72</v>
      </c>
      <c r="L97" s="21"/>
      <c r="M97" s="72" t="s">
        <v>72</v>
      </c>
      <c r="N97" s="72" t="s">
        <v>72</v>
      </c>
      <c r="O97" s="72" t="s">
        <v>72</v>
      </c>
      <c r="P97" s="79">
        <v>40410578.940000005</v>
      </c>
      <c r="Q97" s="79">
        <v>84759758</v>
      </c>
      <c r="R97" s="79">
        <v>283310562</v>
      </c>
      <c r="S97" s="79">
        <v>1077101535</v>
      </c>
    </row>
    <row r="98" spans="2:19" x14ac:dyDescent="0.25">
      <c r="B98" s="80" t="s">
        <v>125</v>
      </c>
      <c r="C98" s="64" t="s">
        <v>12</v>
      </c>
      <c r="D98" s="72" t="s">
        <v>72</v>
      </c>
      <c r="E98" s="72" t="s">
        <v>72</v>
      </c>
      <c r="F98" s="72" t="s">
        <v>72</v>
      </c>
      <c r="G98" s="72" t="s">
        <v>72</v>
      </c>
      <c r="H98" s="72" t="s">
        <v>72</v>
      </c>
      <c r="I98" s="72" t="s">
        <v>72</v>
      </c>
      <c r="J98" s="72" t="s">
        <v>72</v>
      </c>
      <c r="K98" s="72" t="s">
        <v>72</v>
      </c>
      <c r="L98" s="21"/>
      <c r="M98" s="72" t="s">
        <v>72</v>
      </c>
      <c r="N98" s="72" t="s">
        <v>72</v>
      </c>
      <c r="O98" s="72" t="s">
        <v>72</v>
      </c>
      <c r="P98" s="81">
        <v>0.93880638251321302</v>
      </c>
      <c r="Q98" s="81">
        <v>0.70399146173770399</v>
      </c>
      <c r="R98" s="81">
        <v>0.94349742133557601</v>
      </c>
      <c r="S98" s="81">
        <v>0.92951478208795202</v>
      </c>
    </row>
  </sheetData>
  <mergeCells count="20">
    <mergeCell ref="O2:P2"/>
    <mergeCell ref="I2:K2"/>
    <mergeCell ref="M2:N2"/>
    <mergeCell ref="B51:B52"/>
    <mergeCell ref="B23:B24"/>
    <mergeCell ref="D33:D34"/>
    <mergeCell ref="E33:E34"/>
    <mergeCell ref="F33:F34"/>
    <mergeCell ref="I33:I34"/>
    <mergeCell ref="G33:G34"/>
    <mergeCell ref="H33:H34"/>
    <mergeCell ref="D2:E2"/>
    <mergeCell ref="F2:H2"/>
    <mergeCell ref="B62:B63"/>
    <mergeCell ref="B60:B61"/>
    <mergeCell ref="B64:B65"/>
    <mergeCell ref="B66:B67"/>
    <mergeCell ref="S72:S74"/>
    <mergeCell ref="R72:R74"/>
    <mergeCell ref="Q72:Q76"/>
  </mergeCells>
  <pageMargins left="0.11811023622047245" right="0.11811023622047245" top="0.35433070866141736" bottom="0.35433070866141736" header="0.31496062992125984" footer="0.31496062992125984"/>
  <pageSetup paperSize="8" scale="52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CD4C8C5983C44DB5E1AB8D10CBC152" ma:contentTypeVersion="13" ma:contentTypeDescription="Crear nuevo documento." ma:contentTypeScope="" ma:versionID="68f092fe60acefb724bf6a6b0e3f7c25">
  <xsd:schema xmlns:xsd="http://www.w3.org/2001/XMLSchema" xmlns:xs="http://www.w3.org/2001/XMLSchema" xmlns:p="http://schemas.microsoft.com/office/2006/metadata/properties" xmlns:ns3="e8dbad25-f714-4bda-92a8-af4b19ae316a" xmlns:ns4="35d559b1-b128-44d4-9e7a-8eded39ec9bb" targetNamespace="http://schemas.microsoft.com/office/2006/metadata/properties" ma:root="true" ma:fieldsID="136e915964637d78fbd066fc5f04ca02" ns3:_="" ns4:_="">
    <xsd:import namespace="e8dbad25-f714-4bda-92a8-af4b19ae316a"/>
    <xsd:import namespace="35d559b1-b128-44d4-9e7a-8eded39ec9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bad25-f714-4bda-92a8-af4b19ae3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559b1-b128-44d4-9e7a-8eded39ec9b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7AFD48-9E69-4773-89CE-54E5C2F9A5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dbad25-f714-4bda-92a8-af4b19ae316a"/>
    <ds:schemaRef ds:uri="35d559b1-b128-44d4-9e7a-8eded39ec9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E402B8-71C3-4F84-AD4E-EA2F9C8329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4CA36A-60B8-4B21-9D19-075AC594083A}">
  <ds:schemaRefs>
    <ds:schemaRef ds:uri="http://purl.org/dc/elements/1.1/"/>
    <ds:schemaRef ds:uri="http://schemas.microsoft.com/office/2006/metadata/properties"/>
    <ds:schemaRef ds:uri="e8dbad25-f714-4bda-92a8-af4b19ae316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5d559b1-b128-44d4-9e7a-8eded39ec9b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Polzinetti</dc:creator>
  <cp:lastModifiedBy>Maria Laura Lefevre</cp:lastModifiedBy>
  <cp:lastPrinted>2020-11-05T21:08:37Z</cp:lastPrinted>
  <dcterms:created xsi:type="dcterms:W3CDTF">2019-01-03T14:11:44Z</dcterms:created>
  <dcterms:modified xsi:type="dcterms:W3CDTF">2025-11-26T15:05:09Z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0x0101006FCD4C8C5983C44DB5E1AB8D10CBC152</vt:lpwstr>
  </property>
</Properties>
</file>