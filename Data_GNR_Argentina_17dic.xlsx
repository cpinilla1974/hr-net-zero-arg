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CD3A062E-01A6-45AC-BF4F-6F1953D0B8EF}" xr6:coauthVersionLast="47" xr6:coauthVersionMax="47" xr10:uidLastSave="{00000000-0000-0000-0000-000000000000}"/>
  <bookViews>
    <workbookView xWindow="-120" yWindow="-120" windowWidth="20730" windowHeight="11160" xr2:uid="{5686D58F-42AE-45CE-A7C0-02B16D057768}"/>
  </bookViews>
  <sheets>
    <sheet name="Argent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0" i="1" l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H43" i="1"/>
  <c r="H42" i="1"/>
</calcChain>
</file>

<file path=xl/sharedStrings.xml><?xml version="1.0" encoding="utf-8"?>
<sst xmlns="http://schemas.openxmlformats.org/spreadsheetml/2006/main" count="749" uniqueCount="52">
  <si>
    <t>8TG - Total production volumes of clinker | Grey clinker (t clinker)</t>
  </si>
  <si>
    <t>Region</t>
  </si>
  <si>
    <t>Year</t>
  </si>
  <si>
    <t>Value</t>
  </si>
  <si>
    <t>Argentina</t>
  </si>
  <si>
    <t>8TGK - Total production volumes of clinker | Grey cement - by kiln type (t clinker)</t>
  </si>
  <si>
    <t>Kiln_Type</t>
  </si>
  <si>
    <t>DRY WITH PREHEATER WITHOUT PRECALCINER</t>
  </si>
  <si>
    <t>DRY WITH PREHEATER AND PRECALCINER</t>
  </si>
  <si>
    <t>21TGWcm - Total production volumes of cement | Grey and white cement (t cement)</t>
  </si>
  <si>
    <t>21TGWct - Total production volumes of cementitious products | Grey and white cementitious products (t cementitious)</t>
  </si>
  <si>
    <t>21TGWce - Total production volumes of cement equivalent | Grey and white cement equivalent (t cement)</t>
  </si>
  <si>
    <t>59cTGW - Total gross CO2 emissions | excluding CO2 from on-site power generation - Grey and white cement (t CO2)</t>
  </si>
  <si>
    <t>59cTGK - Total gross CO2 emissions | excluding CO2 from on-site power generation - Grey cement - by kiln type (t CO2)</t>
  </si>
  <si>
    <t>59cAG - Gross CO2 emissions - Weighted average | excluding CO2 from on-site power generation - Grey clinker (kg CO2 / t clinker)</t>
  </si>
  <si>
    <t>59cAGWct - Gross CO2 emissions - Weighted average ( (kg CO2 / t cementitious)</t>
  </si>
  <si>
    <t>59cAGWce - Gross CO2 emissions - Weighted average | excluding CO2 from on-site power generation - Grey and white cement equivalent (kg CO2 / t cement equivalent)</t>
  </si>
  <si>
    <t>59cAGK - Gross CO2 emissions - Weighted average | excluding CO2 from on-site power generation - Grey clinker - by kiln type (kg CO2 / t clinker)</t>
  </si>
  <si>
    <t>71TGW - Total net CO2 emissions | excluding CO2 from on-site power generation - Grey and white cement (t CO2)</t>
  </si>
  <si>
    <t>71AG - Net CO2 emissions - Weighted average | excluding CO2 from on-site power generation - Grey clinker (kg CO2 / t clinker)</t>
  </si>
  <si>
    <t>71AGWct - Net CO2 emissions - Weighted average ( (kg CO2 / t cementitious)</t>
  </si>
  <si>
    <t>Columna1</t>
  </si>
  <si>
    <t>71AGWce - Net CO2 emissions - Weighted average | excluding CO2 from on-site power generation - Grey and white cement equivalent (kg CO2 / t cement equivalent)</t>
  </si>
  <si>
    <t>593AG - Carbon intensity of the fuel mix - Weighted average | Grey clinker (g CO2 / MJ)</t>
  </si>
  <si>
    <t>33aTGW - Total power production from separate on-site power generation | Grey and white cement (MWh / year)</t>
  </si>
  <si>
    <t>33AGW - Cement plant power consumption - Weighted average ( (kWh / t cement)</t>
  </si>
  <si>
    <t>33eAGW - Power consumption up to and including clinker production - Weighted average | Grey and white clinker (kWh / t clinker)</t>
  </si>
  <si>
    <t>25aTGW - Total thermal energy consumption | excluding drying of fuels - Grey and white cement (GJ)</t>
  </si>
  <si>
    <t>Alternative fossil and mixed wastes</t>
  </si>
  <si>
    <t>Biomass</t>
  </si>
  <si>
    <t>Fossil fuel</t>
  </si>
  <si>
    <t>25aAG - Thermal energy consumption - Weighted average | excluding drying of fuels - Grey clinker (MJ / t clinker)</t>
  </si>
  <si>
    <t>25aAGK - Thermal energy consumption - Weighted average | excluding drying of fuels - Grey clinker - by kiln type (MJ / t clinker)</t>
  </si>
  <si>
    <t>25aAGFC - Thermal energy consumption - Weighted average | excluding drying of fuels - Grey clinker (%)</t>
  </si>
  <si>
    <t>108TGW - Total alternative fossil fuels and mixed fuels consumption | Grey and white cement (t alternative fossil fuels)</t>
  </si>
  <si>
    <t>115TGW - Total biomass fuels | Grey and white cement (t biomass)</t>
  </si>
  <si>
    <t>12TGW - Total mineral components used to produce Portland cement | Grey and white cement (t)</t>
  </si>
  <si>
    <t>Gypsum</t>
  </si>
  <si>
    <t>Limestone</t>
  </si>
  <si>
    <t>Pozzolana</t>
  </si>
  <si>
    <t>Slag</t>
  </si>
  <si>
    <t>Fly ash</t>
  </si>
  <si>
    <t xml:space="preserve">Others </t>
  </si>
  <si>
    <t>Total</t>
  </si>
  <si>
    <t>12AG - Mineral components used to produce clinker-based Portland cement - Weighted average | Grey cement (% volume of cements)</t>
  </si>
  <si>
    <t>19TGW - Total mineral components used as cement substitute | Grey and white cement (t)</t>
  </si>
  <si>
    <t xml:space="preserve"> Slag (processed - sold externally)</t>
  </si>
  <si>
    <t>Fly ash and pozzolana (processed - sold externally)</t>
  </si>
  <si>
    <t>19AGW - Mineral components used as cement substitute - Weighted average | Grey cement (% volume of cements)</t>
  </si>
  <si>
    <t xml:space="preserve"> Fly ash and pozzolana (processed - sold externally)</t>
  </si>
  <si>
    <t>92AGW - Clinker to cementitious ratio - Weighted average | Grey and white clinker in total cements and substitutes (%)</t>
  </si>
  <si>
    <t>92AGWce - Clinker to cement equivalent ratio - Weighted average | Grey and white clinker in Portland and blended cements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</si>
</sst>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2" fontId="0" fillId="0" borderId="0" xfId="0" applyNumberFormat="1"/>
    <xf numFmtId="41" fontId="0" fillId="0" borderId="0" xfId="1" applyFont="1"/>
    <xf numFmtId="9" fontId="0" fillId="0" borderId="0" xfId="2" applyFont="1"/>
    <xf numFmtId="0" fontId="3" fillId="0" borderId="0" xfId="0" applyFont="1"/>
    <xf numFmtId="0" fontId="4" fillId="0" borderId="0" xfId="0" applyFont="1"/>
    <xf numFmtId="9" fontId="0" fillId="0" borderId="0" xfId="0" applyNumberFormat="1"/>
  </cellXfs>
  <cellStyles count="3">
    <cellStyle name="Millares [0]" xfId="1" builtinId="6"/>
    <cellStyle name="Normal" xfId="0" builtinId="0"/>
    <cellStyle name="Porcentaje" xfId="2" builtinId="5"/>
  </cellStyles>
  <dxfs count="4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1038225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AC975-A559-4E4E-B19F-D3AE633E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15125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ACF64-42F7-4F0B-AF6D-055B788EF995}" name="Table1123529733188" displayName="Table1123529733188" ref="A10:C31" totalsRowShown="0">
  <autoFilter ref="A10:C31" xr:uid="{697DD4E2-7C02-4FF3-9E5A-CDF6775204C7}"/>
  <tableColumns count="3">
    <tableColumn id="1" xr3:uid="{D3835F9E-AD70-459C-82D5-B3ECE3832331}" name="Region"/>
    <tableColumn id="2" xr3:uid="{8F49BFB4-DD84-4DAF-BC9B-40A03AA5B2D4}" name="Year"/>
    <tableColumn id="3" xr3:uid="{4A93677E-2698-4433-9052-3EDB996F0D87}" name="Value" dataCellStyle="Millares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46C1D-3075-48DB-8B7C-433EC0118BEF}" name="Table2133629834189" displayName="Table2133629834189" ref="A36:D48" totalsRowShown="0">
  <autoFilter ref="A36:D48" xr:uid="{65EF36D5-995D-4DA9-A21A-53D2F84D7820}"/>
  <tableColumns count="4">
    <tableColumn id="1" xr3:uid="{CA31D5AD-0CBA-4044-9FD6-67B5E6686289}" name="Region"/>
    <tableColumn id="2" xr3:uid="{E945D1B9-F956-47C2-8BD6-1E340AE8D9B2}" name="Year"/>
    <tableColumn id="3" xr3:uid="{BBBD0157-8A9D-400F-8F23-C8AC971BDB73}" name="Kiln_Type" dataDxfId="44"/>
    <tableColumn id="4" xr3:uid="{B40902C5-8FB2-41CA-B716-D519B7C5BE28}" name="Value" dataCellStyle="Millares [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07F4B8-ED3A-47DA-BD77-4DDC2793F599}" name="Table3143729935190" displayName="Table3143729935190" ref="A53:C74" totalsRowShown="0">
  <autoFilter ref="A53:C74" xr:uid="{C6C9CB33-7862-4446-9894-57796FBFFAE0}"/>
  <tableColumns count="3">
    <tableColumn id="1" xr3:uid="{929D0F8C-3C7E-4DEA-9CB3-138F7E29536C}" name="Region"/>
    <tableColumn id="2" xr3:uid="{37491DC0-3C07-4D10-841E-02622BBA921D}" name="Year"/>
    <tableColumn id="3" xr3:uid="{EEA0BF93-0643-4E79-A4F0-A13B848F2EC7}" name="Value" dataCellStyle="Millares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7AA6B4-A390-48F4-B97A-912371CD095F}" name="Table4153830036191" displayName="Table4153830036191" ref="A79:C100" totalsRowShown="0">
  <autoFilter ref="A79:C100" xr:uid="{8413B324-6591-4C41-A631-B84E10524176}"/>
  <tableColumns count="3">
    <tableColumn id="1" xr3:uid="{EEC92DBA-E531-47B0-B6BA-EF4A9E9BF765}" name="Region"/>
    <tableColumn id="2" xr3:uid="{95004FD3-D96D-4B0F-951C-C694B0FC56D6}" name="Year"/>
    <tableColumn id="3" xr3:uid="{45B37BE9-7AE1-43B8-ACDD-1F18F9D40EEC}" name="Value" dataCellStyle="Millares [0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B46E99-3E06-4F5A-B4D5-A12D294CF246}" name="Table5163930137192" displayName="Table5163930137192" ref="A105:C117" totalsRowShown="0">
  <autoFilter ref="A105:C117" xr:uid="{4AB5513F-0253-4672-9559-4DD192467644}"/>
  <tableColumns count="3">
    <tableColumn id="1" xr3:uid="{64B02D4E-4EF5-42B7-9519-C6277F30AD55}" name="Region"/>
    <tableColumn id="2" xr3:uid="{84AF0926-6121-4CE5-8BF5-E6F543895B83}" name="Year"/>
    <tableColumn id="3" xr3:uid="{95A00CDF-7F03-4F25-8F43-4B0918202CC8}" name="Value" dataCellStyle="Millares [0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4D45EF-D866-43A0-B480-722CAE3065B2}" name="Table6174030238193" displayName="Table6174030238193" ref="A122:C143" totalsRowShown="0">
  <autoFilter ref="A122:C143" xr:uid="{64BA3FF5-E86C-4051-839B-18EEC47B908D}"/>
  <tableColumns count="3">
    <tableColumn id="1" xr3:uid="{F29A5737-DDD5-4540-8D60-B111A625F596}" name="Region"/>
    <tableColumn id="2" xr3:uid="{439438E4-A734-4AF6-863A-DCA386162A8D}" name="Year"/>
    <tableColumn id="3" xr3:uid="{D2F923B5-5B6D-4F16-A9D4-B1F33C0805FE}" name="Value" dataCellStyle="Millares [0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F86FC8-763C-4E80-8367-A7CA124490C9}" name="Table7184130339194" displayName="Table7184130339194" ref="A148:D160" totalsRowShown="0">
  <autoFilter ref="A148:D160" xr:uid="{A2647960-1C37-49F6-AA4C-8F5816A5367F}"/>
  <tableColumns count="4">
    <tableColumn id="1" xr3:uid="{60D60ECF-371E-48AB-8C5A-FE69D0BFCA78}" name="Region"/>
    <tableColumn id="2" xr3:uid="{318C959E-588E-4FC8-BE91-653F9C00C808}" name="Year"/>
    <tableColumn id="3" xr3:uid="{A36DF76B-5862-4134-BB18-70D6BEB3B394}" name="Kiln_Type" dataDxfId="43"/>
    <tableColumn id="4" xr3:uid="{22384979-3CA9-40EE-AB15-D94D666ED19D}" name="Value" dataCellStyle="Millares [0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CAC156-8E6D-4B66-8FBD-9D17A8837100}" name="Table8194230440195" displayName="Table8194230440195" ref="A165:C186" totalsRowShown="0">
  <autoFilter ref="A165:C186" xr:uid="{83985167-DD79-4087-B04C-F18B178B28A5}"/>
  <tableColumns count="3">
    <tableColumn id="1" xr3:uid="{550B245E-E8E2-4939-92CC-5B144786236A}" name="Region"/>
    <tableColumn id="2" xr3:uid="{C961E67A-64DE-4344-8A8D-4224208B7D30}" name="Year"/>
    <tableColumn id="3" xr3:uid="{EA9868C7-87C9-4EA1-A8A8-96C542DAD02B}" name="Value" dataCellStyle="Millares [0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36E479-18CE-4920-B22D-695AD06FD0D3}" name="Table192514330541196" displayName="Table192514330541196" ref="A191:C212" totalsRowShown="0">
  <autoFilter ref="A191:C212" xr:uid="{5941EF54-3FB8-4ED8-9A5F-09F3DC2B6827}"/>
  <tableColumns count="3">
    <tableColumn id="1" xr3:uid="{740779B2-4674-4552-87B2-D95405F8DD05}" name="Region"/>
    <tableColumn id="2" xr3:uid="{B886978C-E46F-4D33-946E-84ACC54BBB09}" name="Year"/>
    <tableColumn id="3" xr3:uid="{FD73B7DA-B498-4B4E-BFF2-54A134447E49}" name="Value" dataCellStyle="Millares [0]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D627E3-54E3-4087-8F15-055EE0D12F99}" name="Table202524430642197" displayName="Table202524430642197" ref="A217:C229" totalsRowShown="0">
  <autoFilter ref="A217:C229" xr:uid="{5709325A-A258-49E0-B71A-326917696258}"/>
  <tableColumns count="3">
    <tableColumn id="1" xr3:uid="{8EBD927D-5FEC-4959-9364-76BCA64A4429}" name="Region"/>
    <tableColumn id="2" xr3:uid="{51F2874E-0354-4F85-85A6-319544C681E2}" name="Year"/>
    <tableColumn id="3" xr3:uid="{ADD62045-673A-4592-AFF9-DAB98D03809C}" name="Value" dataCellStyle="Millares [0]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EDE259-678B-4FB2-B109-C1352896EC63}" name="Table92585031243198" displayName="Table92585031243198" ref="A234:D244" totalsRowShown="0">
  <autoFilter ref="A234:D244" xr:uid="{D57DEDE3-39CE-4E73-AD90-36E4D9E8EB6F}"/>
  <tableColumns count="4">
    <tableColumn id="1" xr3:uid="{496624EC-7F15-4C8B-BBB0-64F80F78C07B}" name="Region" dataDxfId="42"/>
    <tableColumn id="2" xr3:uid="{8E578273-E979-44FE-88F1-FDB62CEEA7EB}" name="Year"/>
    <tableColumn id="3" xr3:uid="{07BA74B7-C88E-4B05-A27F-E090924F2567}" name="Kiln_Type" dataDxfId="41"/>
    <tableColumn id="4" xr3:uid="{637DD416-060B-4222-803E-97639AD1040F}" name="Value" dataDxfId="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563446-3B1C-409A-A0EA-287D1893E084}" name="Table212534530744199" displayName="Table212534530744199" ref="A249:C270" totalsRowShown="0">
  <autoFilter ref="A249:C270" xr:uid="{20BF52D8-A05B-4F1A-B778-B129991658A3}"/>
  <tableColumns count="3">
    <tableColumn id="1" xr3:uid="{B6227064-9AF7-4D19-8B29-47BA8EA7BFA4}" name="Region"/>
    <tableColumn id="2" xr3:uid="{7B01BB10-1A79-4787-835A-5C31E36460BE}" name="Year"/>
    <tableColumn id="3" xr3:uid="{C06DE15D-2AAB-405B-B7F3-F20B0994B4E9}" name="Value" dataCellStyle="Millares [0]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0BD337E-9B21-4411-81A8-EAF10907A9C0}" name="Table222544630845200" displayName="Table222544630845200" ref="A275:C296" totalsRowShown="0">
  <autoFilter ref="A275:C296" xr:uid="{6AD14926-9081-4E58-9B1E-1E1C356E3B86}"/>
  <tableColumns count="3">
    <tableColumn id="1" xr3:uid="{AB1B77A9-076F-42F1-A3F6-9015217402E5}" name="Region"/>
    <tableColumn id="2" xr3:uid="{525EDFCF-BF76-4DC5-BD5D-26A09363FEB4}" name="Year"/>
    <tableColumn id="3" xr3:uid="{20D110AB-B10B-405F-81EC-56A64CC16D9E}" name="Value" dataCellStyle="Millares [0]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48D167-841F-4D94-ADE5-5565E3C686FB}" name="Table232554730946201" displayName="Table232554730946201" ref="A302:D323" totalsRowShown="0">
  <autoFilter ref="A302:D323" xr:uid="{B1ABFB3D-0E51-406B-81EA-B2D27007D690}"/>
  <tableColumns count="4">
    <tableColumn id="1" xr3:uid="{1CABD7E7-327E-45E9-AE9E-D749F2C3578A}" name="Region"/>
    <tableColumn id="2" xr3:uid="{5E20A432-767B-406C-B321-0627FF29BCAC}" name="Year"/>
    <tableColumn id="3" xr3:uid="{3819DE4B-EC20-4520-AE4C-5FAF19A3B698}" name="Value" dataDxfId="39"/>
    <tableColumn id="4" xr3:uid="{85E0978B-92C9-44FC-B552-0DCFEA307454}" name="Columna1" dataDxfId="3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97A96F-A30B-4EC0-823A-4D10DE8B9F92}" name="Table242564831047202" displayName="Table242564831047202" ref="A329:C341" totalsRowShown="0">
  <autoFilter ref="A329:C341" xr:uid="{9FE568D9-EB85-4AB7-9C96-DD54F900AE05}"/>
  <tableColumns count="3">
    <tableColumn id="1" xr3:uid="{52D8235F-F989-4FAE-B654-343EBF283B70}" name="Region"/>
    <tableColumn id="2" xr3:uid="{0064DA69-2EE1-4D2B-90D1-64553BC9E79E}" name="Year"/>
    <tableColumn id="3" xr3:uid="{8C71E369-CF6F-46A8-9820-84DC73152030}" name="Value" dataCellStyle="Millares [0]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607B8B1-643A-46E5-9527-59A8389FBA59}" name="Table252574931148203" displayName="Table252574931148203" ref="A346:C367" totalsRowShown="0">
  <autoFilter ref="A346:C367" xr:uid="{29B3B527-D3F5-4E96-B0EC-06B7248D4533}"/>
  <tableColumns count="3">
    <tableColumn id="1" xr3:uid="{DE033C48-6A8C-47CB-AEF6-55ACE22ED721}" name="Region"/>
    <tableColumn id="2" xr3:uid="{E7DC380D-4FEB-477D-A561-1FD633EA5159}" name="Year"/>
    <tableColumn id="3" xr3:uid="{CD7B9332-113E-47F0-A9D5-7B08491339A9}" name="Value" dataDxfId="3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20EA6A-8F8A-4357-867A-6F9AFFA0375D}" name="Table75932149204" displayName="Table75932149204" ref="A372:C384" totalsRowShown="0">
  <autoFilter ref="A372:C384" xr:uid="{BB1BDFF8-0469-4CB7-873E-0239DA4E1020}"/>
  <tableColumns count="3">
    <tableColumn id="1" xr3:uid="{94133B3A-AD58-4679-A38C-3281019BFF0E}" name="Region"/>
    <tableColumn id="2" xr3:uid="{2DB65FAD-66E7-42AF-9CED-2314B238A69F}" name="Year"/>
    <tableColumn id="3" xr3:uid="{4737C7F8-E1CB-4A9B-9F8C-443794903879}" name="Value" dataDxfId="3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D98F03F-1290-4934-8604-FEFB235B6AC4}" name="Table96132350205" displayName="Table96132350205" ref="A389:C410" totalsRowShown="0">
  <autoFilter ref="A389:C410" xr:uid="{EEE35488-0BED-47FC-B29B-2E06EC65A875}"/>
  <tableColumns count="3">
    <tableColumn id="1" xr3:uid="{B3F7CEB0-491B-43C3-B066-3607D2CAE499}" name="Region"/>
    <tableColumn id="2" xr3:uid="{E1A06994-A9B1-4D15-B53F-C842E8D7007C}" name="Year"/>
    <tableColumn id="3" xr3:uid="{37B1253A-1CD6-4A71-B2B8-C862491D584E}" name="Value" dataDxfId="3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D365F6-4C33-480D-B222-F1866EC90ED6}" name="Table216432651206" displayName="Table216432651206" ref="A415:C427" totalsRowShown="0">
  <autoFilter ref="A415:C427" xr:uid="{5D28A4ED-558F-4BC0-9C5D-BC266A1D57E1}"/>
  <tableColumns count="3">
    <tableColumn id="1" xr3:uid="{2F54AB38-5A50-4FD8-8173-C4BE00EF7441}" name="Region"/>
    <tableColumn id="2" xr3:uid="{E31922FF-62FE-4091-A80C-4FD96DFAD6E8}" name="Year"/>
    <tableColumn id="3" xr3:uid="{6D3A4043-5E11-4B09-A718-D38B7548478F}" name="Value" dataDxfId="3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0C04D4E-DB7B-44E4-BC72-730EFAAB3896}" name="Table35531752207" displayName="Table35531752207" ref="A432:E453" totalsRowShown="0">
  <autoFilter ref="A432:E453" xr:uid="{8C6D9457-3402-42AF-AE98-B348CA493D28}"/>
  <tableColumns count="5">
    <tableColumn id="1" xr3:uid="{FB376405-7DC1-4159-A30E-CD42A619F092}" name="Region"/>
    <tableColumn id="2" xr3:uid="{89696051-D1CC-4BBF-B6F5-B77E18BB53B4}" name="Year"/>
    <tableColumn id="3" xr3:uid="{4D73BB93-F4FF-499D-8593-DF473B0CE328}" name="Alternative fossil and mixed wastes" dataDxfId="33"/>
    <tableColumn id="4" xr3:uid="{9AB41459-52FB-4D18-BFE2-69E79D987AE1}" name="Biomass" dataDxfId="32"/>
    <tableColumn id="5" xr3:uid="{FB7B4060-88ED-4FC0-8184-E2B555877C1B}" name="Fossil fuel" dataDxfId="3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E2FB54-F04B-400B-B58B-EB7AB90BC4CE}" name="Table276933153208" displayName="Table276933153208" ref="A458:C479" totalsRowShown="0">
  <autoFilter ref="A458:C479" xr:uid="{2EEDDD29-B8FC-4CE7-8606-AA8A6A8D57B7}"/>
  <tableColumns count="3">
    <tableColumn id="1" xr3:uid="{B88F5C4B-070F-49F3-848C-471C75AE9C2C}" name="Region"/>
    <tableColumn id="2" xr3:uid="{67125116-DF58-403F-B371-3D72759129A1}" name="Year"/>
    <tableColumn id="3" xr3:uid="{C17526C4-77F6-46CA-9B30-82FAE32BC0D4}" name="Value" dataDxfId="3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9FD5568-E3CB-4495-83F5-857BAB8F73EE}" name="Table65832054209" displayName="Table65832054209" ref="A484:D494" totalsRowShown="0">
  <autoFilter ref="A484:D494" xr:uid="{6118B629-5B5C-4841-B77A-F9C7B03445A5}"/>
  <tableColumns count="4">
    <tableColumn id="1" xr3:uid="{39071C22-6224-4A66-BF8F-F49A9D0A4DD9}" name="Region" dataDxfId="29"/>
    <tableColumn id="2" xr3:uid="{A8A33DF7-0105-4888-9389-66CF5991352F}" name="Year"/>
    <tableColumn id="3" xr3:uid="{270A434D-C72D-4F94-B56D-65E1F6A0EE80}" name="Kiln_Type" dataDxfId="28"/>
    <tableColumn id="4" xr3:uid="{F5E89450-0CAD-44F1-AC01-72161726F671}" name="Value" dataDxfId="2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DF4C154-EDBE-4D07-A946-C7CF1FD7A5EE}" name="Table45631855210" displayName="Table45631855210" ref="A499:F520" totalsRowShown="0">
  <autoFilter ref="A499:F520" xr:uid="{825723E2-3209-45D9-AE1D-9D32A0901763}"/>
  <tableColumns count="6">
    <tableColumn id="1" xr3:uid="{48B24C52-4AE3-4623-A194-48163267B1F6}" name="Region"/>
    <tableColumn id="2" xr3:uid="{009A55EF-CAD0-4038-B6CF-6194EBFD910B}" name="Year"/>
    <tableColumn id="3" xr3:uid="{34E65EA2-C199-4330-9A01-4EAA43A7B326}" name="Alternative fossil and mixed wastes" dataDxfId="26"/>
    <tableColumn id="4" xr3:uid="{3C12AA98-75C5-40BA-8FDE-F48F63882A8B}" name="Biomass" dataDxfId="25"/>
    <tableColumn id="5" xr3:uid="{E731A676-1CAE-45D1-8185-5D070B762C59}" name="Fossil fuel" dataDxfId="24"/>
    <tableColumn id="6" xr3:uid="{3D8E9544-C975-455C-A3BC-37ECE0B2A001}" name="Columna1" dataDxfId="23">
      <calculatedColumnFormula>1-Table45631855210[[#This Row],[Fossil fuel]]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5ED7D5-BBC6-4944-BAE1-F56782CBE61A}" name="Table297233456211" displayName="Table297233456211" ref="A525:C546" totalsRowShown="0">
  <autoFilter ref="A525:C546" xr:uid="{7257F6A4-CCCB-447A-81F1-350CF17F0C66}"/>
  <tableColumns count="3">
    <tableColumn id="1" xr3:uid="{83544217-0806-4ECE-9999-CFFD8731AAA9}" name="Region"/>
    <tableColumn id="2" xr3:uid="{D506FB30-0ED4-4DDC-8DD4-94857BDEE070}" name="Year"/>
    <tableColumn id="3" xr3:uid="{EF8CB88D-F3A4-42BE-8665-F4957610A302}" name="Value" dataDxfId="2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A861961-0F0D-41C7-B743-CD4D4F7C4157}" name="Table307333557212" displayName="Table307333557212" ref="A551:C572" totalsRowShown="0">
  <autoFilter ref="A551:C572" xr:uid="{6ABE14E6-CA41-48DA-B5C6-A7A25D0F95BE}"/>
  <tableColumns count="3">
    <tableColumn id="1" xr3:uid="{62DAFD13-045D-45EF-82C9-51D1CDC82082}" name="Region"/>
    <tableColumn id="2" xr3:uid="{F589A51C-A9F2-4D98-9996-D1C3763CA6AF}" name="Year"/>
    <tableColumn id="3" xr3:uid="{8B48BB52-DEA5-4C28-BF0C-2A07C2C99815}" name="Value" dataDxfId="2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4226B2-D668-4AC1-8A79-6850892E9BFC}" name="Table15331558213" displayName="Table15331558213" ref="A577:I598" totalsRowShown="0">
  <autoFilter ref="A577:I598" xr:uid="{3F7B378F-4515-4C5C-AEEC-9600AEA9E066}"/>
  <tableColumns count="9">
    <tableColumn id="1" xr3:uid="{58524B88-A83B-42ED-B2A6-9BBDBA8DD534}" name="Region"/>
    <tableColumn id="2" xr3:uid="{AF9E1C61-B612-4B71-87D3-5E2FDB6A5333}" name="Year"/>
    <tableColumn id="3" xr3:uid="{5B614EDD-5B07-4AD0-9CF7-52D9F0FC0D88}" name="Gypsum" dataDxfId="20"/>
    <tableColumn id="4" xr3:uid="{8029237E-BB83-4F41-BA76-C8561CD0D7BD}" name="Limestone" dataDxfId="19"/>
    <tableColumn id="5" xr3:uid="{A627EEC4-EA6A-4FE2-AF46-EFD8FF293B79}" name="Pozzolana" dataDxfId="18"/>
    <tableColumn id="6" xr3:uid="{7AEAA676-D1F1-43EB-9602-D1B0082EDF07}" name="Slag" dataDxfId="17"/>
    <tableColumn id="7" xr3:uid="{B573B1CC-590A-4A95-8052-2FED943A70E7}" name="Fly ash" dataDxfId="16"/>
    <tableColumn id="8" xr3:uid="{B988360C-ECCF-4ABD-BC56-608EB2F3383C}" name="Others " dataDxfId="15"/>
    <tableColumn id="9" xr3:uid="{475116B5-C44E-492D-9088-DC6F09C1B5E2}" name="Total" dataDxfId="14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BB0F1C1-7B17-441F-A2F9-24A010C158D4}" name="Table25431659214" displayName="Table25431659214" ref="A606:H627" totalsRowShown="0">
  <autoFilter ref="A606:H627" xr:uid="{24470757-D265-48A5-A1AE-778D8E127EE3}"/>
  <tableColumns count="8">
    <tableColumn id="1" xr3:uid="{5F50CE78-A570-49F9-B58A-3FC88C8EB68D}" name="Region"/>
    <tableColumn id="2" xr3:uid="{1613A2EA-7383-4C8E-84E0-775ACB026FA0}" name="Year"/>
    <tableColumn id="3" xr3:uid="{2F90871C-8BCF-445F-A8CF-D6580F978EB6}" name="Gypsum" dataDxfId="13"/>
    <tableColumn id="4" xr3:uid="{100E9F92-3DE7-422B-9D78-AED6279FCABE}" name="Limestone" dataDxfId="12"/>
    <tableColumn id="5" xr3:uid="{E7908972-F58E-4519-A008-481E496CDEC0}" name="Pozzolana" dataDxfId="11"/>
    <tableColumn id="6" xr3:uid="{F7F4CEE5-C03A-48DF-A9D2-1C840BAA75C5}" name="Slag" dataDxfId="10"/>
    <tableColumn id="7" xr3:uid="{100D111B-41BE-4F84-872A-4F6BCF3D6077}" name="Fly ash" dataDxfId="9"/>
    <tableColumn id="8" xr3:uid="{9EAA7EE1-AC38-4C1F-99C3-A26C42619758}" name="Others " dataDxfId="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D318EE-80D7-468A-BFDD-B092898A92F1}" name="Table55731960" displayName="Table55731960" ref="A633:E654" totalsRowShown="0">
  <autoFilter ref="A633:E654" xr:uid="{F2FD0074-92E6-4235-AC28-256894BA76C8}"/>
  <tableColumns count="5">
    <tableColumn id="1" xr3:uid="{016C1117-7339-4B83-8AAB-E43EC942FA6B}" name="Region"/>
    <tableColumn id="2" xr3:uid="{8822D32B-BF0A-4AC3-9C16-F7A5B30FEF56}" name="Year"/>
    <tableColumn id="3" xr3:uid="{DAFF9223-C5FC-41A3-BC7E-17046E0294DF}" name=" Slag (processed - sold externally)" dataDxfId="7"/>
    <tableColumn id="4" xr3:uid="{B5190DB9-8654-4125-93C0-89E92ACF7858}" name="Fly ash and pozzolana (processed - sold externally)" dataDxfId="6"/>
    <tableColumn id="5" xr3:uid="{921D3EEB-B108-406D-9CF1-56D93DFB997C}" name="Total" dataDxfId="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3F91B31-C56D-44FE-BF9F-687F97FA8B6D}" name="Table261" displayName="Table261" ref="A663:D684" totalsRowShown="0">
  <autoFilter ref="A663:D684" xr:uid="{14271A2A-481E-44FE-AD68-A0C315FBC0B5}"/>
  <tableColumns count="4">
    <tableColumn id="1" xr3:uid="{E0F7E8E3-962F-4FA7-AE50-35B6E577587F}" name="Region" dataDxfId="4"/>
    <tableColumn id="2" xr3:uid="{46DBEA72-BFBE-4DAA-AEAD-E0C104D97337}" name="Year"/>
    <tableColumn id="3" xr3:uid="{F7A7D09F-322D-4DC9-9FA3-BE52973B6247}" name=" Slag (processed - sold externally)" dataDxfId="3"/>
    <tableColumn id="4" xr3:uid="{FD5C13A4-9A94-4916-87C3-54A8A37AD185}" name=" Fly ash and pozzolana (processed - sold externally)" dataDxfId="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4AD4386-2F7E-4B22-8ECE-A2B3294B254E}" name="Table327533762" displayName="Table327533762" ref="A694:C715" totalsRowShown="0">
  <autoFilter ref="A694:C715" xr:uid="{8A54846D-3DE1-41FE-826A-663A6501917E}"/>
  <tableColumns count="3">
    <tableColumn id="1" xr3:uid="{E6D5CE9B-8BDC-40C3-ADBC-9DB8E3D2FEFF}" name="Region"/>
    <tableColumn id="2" xr3:uid="{75608C23-1EF9-44FE-8F20-CD52803AC6CA}" name="Year"/>
    <tableColumn id="3" xr3:uid="{F7EC97C3-A2BC-4403-A008-C0ADA4458F70}" name="Value" dataDxfId="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B2CC8B7-3A65-470B-9E84-4AE9712B45B5}" name="Table337633863" displayName="Table337633863" ref="A723:C735" totalsRowShown="0">
  <autoFilter ref="A723:C735" xr:uid="{34A7A4A0-6BCD-4183-B740-D814915BD56F}"/>
  <tableColumns count="3">
    <tableColumn id="1" xr3:uid="{E04EFC14-901E-441E-BD57-10DE14FC02CC}" name="Region"/>
    <tableColumn id="2" xr3:uid="{A3EC6161-C4EA-44F6-85ED-8D8C194A22FD}" name="Year"/>
    <tableColumn id="3" xr3:uid="{A12B7B69-3E95-4833-98ED-8B9095B40026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471A-A7CB-4EE4-A538-1B1CF1516059}">
  <sheetPr>
    <tabColor theme="4"/>
  </sheetPr>
  <dimension ref="A8:I735"/>
  <sheetViews>
    <sheetView showGridLines="0" tabSelected="1" topLeftCell="A341" workbookViewId="0">
      <selection activeCell="C351" sqref="C351"/>
    </sheetView>
  </sheetViews>
  <sheetFormatPr baseColWidth="10" defaultRowHeight="15" x14ac:dyDescent="0.25"/>
  <cols>
    <col min="3" max="3" width="44.28515625" customWidth="1"/>
    <col min="4" max="4" width="18" customWidth="1"/>
    <col min="5" max="5" width="16" customWidth="1"/>
    <col min="7" max="9" width="13.42578125" customWidth="1"/>
  </cols>
  <sheetData>
    <row r="8" spans="1:9" x14ac:dyDescent="0.25">
      <c r="A8" s="1" t="s">
        <v>0</v>
      </c>
      <c r="C8" s="2"/>
      <c r="D8" s="2"/>
      <c r="E8" s="2"/>
      <c r="F8" s="2"/>
      <c r="G8" s="2"/>
      <c r="H8" s="2"/>
      <c r="I8" s="2"/>
    </row>
    <row r="9" spans="1:9" x14ac:dyDescent="0.25">
      <c r="C9" s="2"/>
      <c r="D9" s="2"/>
      <c r="E9" s="2"/>
      <c r="F9" s="2"/>
      <c r="G9" s="2"/>
      <c r="H9" s="2"/>
      <c r="I9" s="2"/>
    </row>
    <row r="10" spans="1:9" x14ac:dyDescent="0.25">
      <c r="A10" t="s">
        <v>1</v>
      </c>
      <c r="B10" t="s">
        <v>2</v>
      </c>
      <c r="C10" s="2" t="s">
        <v>3</v>
      </c>
      <c r="D10" s="2"/>
      <c r="E10" s="2"/>
      <c r="F10" s="2"/>
      <c r="G10" s="2"/>
      <c r="H10" s="2"/>
      <c r="I10" s="2"/>
    </row>
    <row r="11" spans="1:9" x14ac:dyDescent="0.25">
      <c r="A11" t="s">
        <v>4</v>
      </c>
      <c r="B11">
        <v>1990</v>
      </c>
      <c r="C11" s="3">
        <v>1036066</v>
      </c>
      <c r="D11" s="2"/>
      <c r="E11" s="2"/>
      <c r="F11" s="2"/>
      <c r="G11" s="2"/>
      <c r="H11" s="2"/>
      <c r="I11" s="2"/>
    </row>
    <row r="12" spans="1:9" x14ac:dyDescent="0.25">
      <c r="A12" t="s">
        <v>4</v>
      </c>
      <c r="B12">
        <v>2000</v>
      </c>
      <c r="C12" s="3">
        <v>2073993</v>
      </c>
      <c r="D12" s="2"/>
      <c r="E12" s="2"/>
      <c r="F12" s="2"/>
      <c r="G12" s="2"/>
      <c r="H12" s="2"/>
      <c r="I12" s="2"/>
    </row>
    <row r="13" spans="1:9" x14ac:dyDescent="0.25">
      <c r="A13" t="s">
        <v>4</v>
      </c>
      <c r="B13">
        <v>2005</v>
      </c>
      <c r="C13" s="3">
        <v>2527725</v>
      </c>
      <c r="D13" s="2"/>
      <c r="E13" s="2"/>
      <c r="F13" s="2"/>
      <c r="G13" s="2"/>
      <c r="H13" s="2"/>
      <c r="I13" s="2"/>
    </row>
    <row r="14" spans="1:9" x14ac:dyDescent="0.25">
      <c r="A14" t="s">
        <v>4</v>
      </c>
      <c r="B14">
        <v>2006</v>
      </c>
      <c r="C14" s="3">
        <v>2452827</v>
      </c>
      <c r="D14" s="2"/>
      <c r="E14" s="2"/>
      <c r="F14" s="2"/>
      <c r="G14" s="2"/>
      <c r="H14" s="2"/>
      <c r="I14" s="2"/>
    </row>
    <row r="15" spans="1:9" x14ac:dyDescent="0.25">
      <c r="A15" t="s">
        <v>4</v>
      </c>
      <c r="B15">
        <v>2007</v>
      </c>
      <c r="C15" s="3">
        <v>7955719.5949999997</v>
      </c>
      <c r="D15" s="2"/>
      <c r="E15" s="2"/>
      <c r="F15" s="2"/>
      <c r="G15" s="2"/>
      <c r="H15" s="2"/>
      <c r="I15" s="2"/>
    </row>
    <row r="16" spans="1:9" x14ac:dyDescent="0.25">
      <c r="A16" t="s">
        <v>4</v>
      </c>
      <c r="B16">
        <v>2008</v>
      </c>
      <c r="C16" s="3">
        <v>8093649.4459999902</v>
      </c>
      <c r="D16" s="2"/>
      <c r="E16" s="2"/>
      <c r="F16" s="2"/>
      <c r="G16" s="2"/>
      <c r="H16" s="2"/>
      <c r="I16" s="2"/>
    </row>
    <row r="17" spans="1:9" x14ac:dyDescent="0.25">
      <c r="A17" t="s">
        <v>4</v>
      </c>
      <c r="B17">
        <v>2009</v>
      </c>
      <c r="C17" s="3">
        <v>7646463.1270000003</v>
      </c>
      <c r="D17" s="2"/>
      <c r="E17" s="2"/>
      <c r="F17" s="2"/>
      <c r="G17" s="2"/>
      <c r="H17" s="2"/>
      <c r="I17" s="2"/>
    </row>
    <row r="18" spans="1:9" x14ac:dyDescent="0.25">
      <c r="A18" t="s">
        <v>4</v>
      </c>
      <c r="B18">
        <v>2010</v>
      </c>
      <c r="C18" s="3">
        <v>8254887.5802999996</v>
      </c>
      <c r="D18" s="2"/>
      <c r="E18" s="2"/>
      <c r="F18" s="2"/>
      <c r="G18" s="2"/>
      <c r="H18" s="2"/>
      <c r="I18" s="2"/>
    </row>
    <row r="19" spans="1:9" x14ac:dyDescent="0.25">
      <c r="A19" t="s">
        <v>4</v>
      </c>
      <c r="B19">
        <v>2011</v>
      </c>
      <c r="C19" s="3">
        <v>8629410.8619999997</v>
      </c>
      <c r="D19" s="2"/>
      <c r="E19" s="2"/>
      <c r="F19" s="2"/>
      <c r="G19" s="2"/>
      <c r="H19" s="2"/>
      <c r="I19" s="2"/>
    </row>
    <row r="20" spans="1:9" x14ac:dyDescent="0.25">
      <c r="A20" t="s">
        <v>4</v>
      </c>
      <c r="B20">
        <v>2012</v>
      </c>
      <c r="C20" s="3">
        <v>8602126.4560000002</v>
      </c>
      <c r="D20" s="2"/>
      <c r="E20" s="2"/>
      <c r="F20" s="2"/>
      <c r="G20" s="2"/>
      <c r="H20" s="2"/>
      <c r="I20" s="2"/>
    </row>
    <row r="21" spans="1:9" x14ac:dyDescent="0.25">
      <c r="A21" t="s">
        <v>4</v>
      </c>
      <c r="B21">
        <v>2013</v>
      </c>
      <c r="C21" s="3">
        <v>8672955.0749999993</v>
      </c>
      <c r="D21" s="2"/>
      <c r="E21" s="2"/>
      <c r="F21" s="2"/>
      <c r="G21" s="2"/>
      <c r="H21" s="2"/>
      <c r="I21" s="2"/>
    </row>
    <row r="22" spans="1:9" x14ac:dyDescent="0.25">
      <c r="A22" t="s">
        <v>4</v>
      </c>
      <c r="B22">
        <v>2014</v>
      </c>
      <c r="C22" s="3">
        <v>8511641.6487000007</v>
      </c>
      <c r="D22" s="2"/>
      <c r="E22" s="2"/>
      <c r="F22" s="2"/>
      <c r="G22" s="2"/>
      <c r="H22" s="2"/>
      <c r="I22" s="2"/>
    </row>
    <row r="23" spans="1:9" x14ac:dyDescent="0.25">
      <c r="A23" t="s">
        <v>4</v>
      </c>
      <c r="B23">
        <v>2015</v>
      </c>
      <c r="C23" s="3">
        <v>8966886.4217000008</v>
      </c>
      <c r="D23" s="2"/>
      <c r="E23" s="2"/>
      <c r="F23" s="2"/>
      <c r="G23" s="2"/>
      <c r="H23" s="2"/>
      <c r="I23" s="2"/>
    </row>
    <row r="24" spans="1:9" x14ac:dyDescent="0.25">
      <c r="A24" t="s">
        <v>4</v>
      </c>
      <c r="B24">
        <v>2016</v>
      </c>
      <c r="C24" s="3">
        <v>8383550.3329999996</v>
      </c>
      <c r="D24" s="2"/>
      <c r="E24" s="2"/>
      <c r="F24" s="2"/>
      <c r="G24" s="2"/>
      <c r="H24" s="2"/>
      <c r="I24" s="2"/>
    </row>
    <row r="25" spans="1:9" x14ac:dyDescent="0.25">
      <c r="A25" t="s">
        <v>4</v>
      </c>
      <c r="B25">
        <v>2017</v>
      </c>
      <c r="C25" s="3">
        <v>8138994.2369999997</v>
      </c>
      <c r="D25" s="2"/>
      <c r="E25" s="2"/>
      <c r="F25" s="2"/>
      <c r="G25" s="2"/>
      <c r="H25" s="2"/>
      <c r="I25" s="2"/>
    </row>
    <row r="26" spans="1:9" x14ac:dyDescent="0.25">
      <c r="A26" t="s">
        <v>4</v>
      </c>
      <c r="B26">
        <v>2018</v>
      </c>
      <c r="C26" s="3">
        <v>8547155.0119000003</v>
      </c>
      <c r="D26" s="2"/>
      <c r="E26" s="2"/>
      <c r="F26" s="2"/>
      <c r="G26" s="2"/>
      <c r="H26" s="2"/>
      <c r="I26" s="2"/>
    </row>
    <row r="27" spans="1:9" x14ac:dyDescent="0.25">
      <c r="A27" t="s">
        <v>4</v>
      </c>
      <c r="B27">
        <v>2019</v>
      </c>
      <c r="C27" s="3">
        <v>8152756.9650999997</v>
      </c>
      <c r="D27" s="2"/>
      <c r="E27" s="2"/>
      <c r="F27" s="2"/>
      <c r="G27" s="2"/>
      <c r="H27" s="2"/>
      <c r="I27" s="2"/>
    </row>
    <row r="28" spans="1:9" x14ac:dyDescent="0.25">
      <c r="A28" t="s">
        <v>4</v>
      </c>
      <c r="B28">
        <v>2020</v>
      </c>
      <c r="C28" s="3">
        <v>6628428.5549999997</v>
      </c>
      <c r="D28" s="2"/>
      <c r="E28" s="2"/>
      <c r="F28" s="2"/>
      <c r="G28" s="2"/>
      <c r="H28" s="2"/>
      <c r="I28" s="2"/>
    </row>
    <row r="29" spans="1:9" x14ac:dyDescent="0.25">
      <c r="A29" t="s">
        <v>4</v>
      </c>
      <c r="B29">
        <v>2021</v>
      </c>
      <c r="C29" s="3">
        <v>9108198.7849073894</v>
      </c>
      <c r="D29" s="2"/>
      <c r="E29" s="2"/>
      <c r="F29" s="2"/>
      <c r="G29" s="2"/>
      <c r="H29" s="2"/>
      <c r="I29" s="2"/>
    </row>
    <row r="30" spans="1:9" x14ac:dyDescent="0.25">
      <c r="A30" t="s">
        <v>4</v>
      </c>
      <c r="B30">
        <v>2022</v>
      </c>
      <c r="C30" s="3">
        <v>9697378.8620162401</v>
      </c>
      <c r="D30" s="2"/>
      <c r="E30" s="2"/>
      <c r="F30" s="2"/>
      <c r="G30" s="2"/>
      <c r="H30" s="2"/>
      <c r="I30" s="2"/>
    </row>
    <row r="31" spans="1:9" x14ac:dyDescent="0.25">
      <c r="A31" t="s">
        <v>4</v>
      </c>
      <c r="B31">
        <v>2023</v>
      </c>
      <c r="C31" s="3">
        <v>9410682.8707239702</v>
      </c>
      <c r="D31" s="2"/>
      <c r="E31" s="2"/>
      <c r="F31" s="2"/>
      <c r="G31" s="2"/>
      <c r="H31" s="2"/>
      <c r="I31" s="2"/>
    </row>
    <row r="34" spans="1:9" x14ac:dyDescent="0.25">
      <c r="A34" s="1" t="s">
        <v>5</v>
      </c>
      <c r="C34" s="2"/>
      <c r="D34" s="2"/>
      <c r="E34" s="2"/>
      <c r="F34" s="2"/>
      <c r="G34" s="2"/>
      <c r="H34" s="2"/>
      <c r="I34" s="2"/>
    </row>
    <row r="35" spans="1:9" x14ac:dyDescent="0.25">
      <c r="C35" s="2"/>
      <c r="D35" s="2"/>
      <c r="E35" s="2"/>
      <c r="F35" s="2"/>
      <c r="G35" s="2"/>
      <c r="H35" s="2"/>
      <c r="I35" s="2"/>
    </row>
    <row r="36" spans="1:9" x14ac:dyDescent="0.25">
      <c r="A36" t="s">
        <v>1</v>
      </c>
      <c r="B36" t="s">
        <v>2</v>
      </c>
      <c r="C36" s="2" t="s">
        <v>6</v>
      </c>
      <c r="D36" s="2" t="s">
        <v>3</v>
      </c>
      <c r="E36" s="2"/>
      <c r="F36" s="2"/>
      <c r="G36" s="2"/>
      <c r="H36" s="2"/>
      <c r="I36" s="2"/>
    </row>
    <row r="37" spans="1:9" x14ac:dyDescent="0.25">
      <c r="A37" t="s">
        <v>4</v>
      </c>
      <c r="B37">
        <v>2007</v>
      </c>
      <c r="C37" s="2" t="s">
        <v>7</v>
      </c>
      <c r="D37" s="3">
        <v>2483279.41</v>
      </c>
      <c r="E37" s="2"/>
      <c r="F37" s="2"/>
      <c r="G37" s="2"/>
      <c r="H37" s="2"/>
      <c r="I37" s="2"/>
    </row>
    <row r="38" spans="1:9" x14ac:dyDescent="0.25">
      <c r="A38" t="s">
        <v>4</v>
      </c>
      <c r="B38">
        <v>2008</v>
      </c>
      <c r="C38" s="2" t="s">
        <v>7</v>
      </c>
      <c r="D38" s="3">
        <v>2315243.0299999998</v>
      </c>
      <c r="E38" s="2"/>
      <c r="F38" s="2"/>
      <c r="G38" s="2"/>
      <c r="H38" s="2"/>
      <c r="I38" s="2"/>
    </row>
    <row r="39" spans="1:9" x14ac:dyDescent="0.25">
      <c r="A39" t="s">
        <v>4</v>
      </c>
      <c r="B39">
        <v>2016</v>
      </c>
      <c r="C39" s="2" t="s">
        <v>8</v>
      </c>
      <c r="D39" s="3">
        <v>5646199.773</v>
      </c>
      <c r="E39" s="2"/>
      <c r="F39" s="2"/>
      <c r="G39" s="2"/>
      <c r="H39" s="2"/>
      <c r="I39" s="2"/>
    </row>
    <row r="40" spans="1:9" x14ac:dyDescent="0.25">
      <c r="A40" t="s">
        <v>4</v>
      </c>
      <c r="B40">
        <v>2016</v>
      </c>
      <c r="C40" s="2" t="s">
        <v>7</v>
      </c>
      <c r="D40" s="3">
        <v>1690759.02</v>
      </c>
      <c r="E40" s="2"/>
      <c r="F40" s="2"/>
      <c r="G40" s="2"/>
      <c r="H40" s="2"/>
      <c r="I40" s="2"/>
    </row>
    <row r="41" spans="1:9" x14ac:dyDescent="0.25">
      <c r="A41" t="s">
        <v>4</v>
      </c>
      <c r="B41">
        <v>2017</v>
      </c>
      <c r="C41" s="2" t="s">
        <v>8</v>
      </c>
      <c r="D41" s="3">
        <v>5838944.2970000003</v>
      </c>
      <c r="E41" s="2"/>
      <c r="F41" s="2"/>
      <c r="G41" s="2"/>
      <c r="H41" s="2"/>
      <c r="I41" s="2"/>
    </row>
    <row r="42" spans="1:9" x14ac:dyDescent="0.25">
      <c r="A42" t="s">
        <v>4</v>
      </c>
      <c r="B42">
        <v>2018</v>
      </c>
      <c r="C42" s="2" t="s">
        <v>8</v>
      </c>
      <c r="D42" s="3">
        <v>5729140.71</v>
      </c>
      <c r="E42" s="2"/>
      <c r="F42" s="2"/>
      <c r="G42" s="2"/>
      <c r="H42" s="4">
        <f>17214/39849</f>
        <v>0.43198072724535119</v>
      </c>
      <c r="I42" s="2"/>
    </row>
    <row r="43" spans="1:9" x14ac:dyDescent="0.25">
      <c r="A43" t="s">
        <v>4</v>
      </c>
      <c r="B43">
        <v>2018</v>
      </c>
      <c r="C43" s="2" t="s">
        <v>7</v>
      </c>
      <c r="D43" s="3">
        <v>1737385.1218999999</v>
      </c>
      <c r="E43" s="2"/>
      <c r="F43" s="2"/>
      <c r="G43" s="2"/>
      <c r="H43" s="4">
        <f>22634/39849</f>
        <v>0.56799417802203322</v>
      </c>
      <c r="I43" s="2"/>
    </row>
    <row r="44" spans="1:9" x14ac:dyDescent="0.25">
      <c r="A44" t="s">
        <v>4</v>
      </c>
      <c r="B44">
        <v>2019</v>
      </c>
      <c r="C44" s="2" t="s">
        <v>7</v>
      </c>
      <c r="D44" s="3">
        <v>2771968.1360999998</v>
      </c>
      <c r="E44" s="2"/>
      <c r="F44" s="2"/>
      <c r="G44" s="2"/>
      <c r="H44" s="2"/>
      <c r="I44" s="2"/>
    </row>
    <row r="45" spans="1:9" x14ac:dyDescent="0.25">
      <c r="A45" t="s">
        <v>4</v>
      </c>
      <c r="B45">
        <v>2020</v>
      </c>
      <c r="C45" s="2" t="s">
        <v>7</v>
      </c>
      <c r="D45" s="3">
        <v>2499698</v>
      </c>
      <c r="E45" s="2"/>
      <c r="F45" s="2"/>
      <c r="G45" s="2"/>
      <c r="H45" s="2"/>
      <c r="I45" s="2"/>
    </row>
    <row r="46" spans="1:9" x14ac:dyDescent="0.25">
      <c r="A46" t="s">
        <v>4</v>
      </c>
      <c r="B46">
        <v>2021</v>
      </c>
      <c r="C46" s="2" t="s">
        <v>7</v>
      </c>
      <c r="D46" s="3">
        <v>3027168.8249073899</v>
      </c>
      <c r="E46" s="2"/>
      <c r="F46" s="2"/>
      <c r="G46" s="2"/>
      <c r="H46" s="2"/>
      <c r="I46" s="2"/>
    </row>
    <row r="47" spans="1:9" x14ac:dyDescent="0.25">
      <c r="A47" t="s">
        <v>4</v>
      </c>
      <c r="B47">
        <v>2022</v>
      </c>
      <c r="C47" s="2" t="s">
        <v>7</v>
      </c>
      <c r="D47" s="3">
        <v>3121376.9450162398</v>
      </c>
      <c r="E47" s="2"/>
      <c r="F47" s="2"/>
      <c r="G47" s="2"/>
      <c r="H47" s="2"/>
      <c r="I47" s="2"/>
    </row>
    <row r="48" spans="1:9" x14ac:dyDescent="0.25">
      <c r="A48" t="s">
        <v>4</v>
      </c>
      <c r="B48">
        <v>2023</v>
      </c>
      <c r="C48" s="2" t="s">
        <v>7</v>
      </c>
      <c r="D48" s="3">
        <v>2987996.92072397</v>
      </c>
      <c r="E48" s="2"/>
      <c r="F48" s="2"/>
      <c r="G48" s="2"/>
      <c r="H48" s="2"/>
      <c r="I48" s="2"/>
    </row>
    <row r="51" spans="1:9" x14ac:dyDescent="0.25">
      <c r="A51" s="1" t="s">
        <v>9</v>
      </c>
      <c r="C51" s="2"/>
      <c r="D51" s="2"/>
      <c r="E51" s="2"/>
      <c r="F51" s="2"/>
      <c r="G51" s="2"/>
      <c r="H51" s="2"/>
      <c r="I51" s="2"/>
    </row>
    <row r="52" spans="1:9" x14ac:dyDescent="0.25">
      <c r="C52" s="2"/>
      <c r="D52" s="2"/>
      <c r="E52" s="2"/>
      <c r="F52" s="2"/>
      <c r="G52" s="2"/>
      <c r="H52" s="2"/>
      <c r="I52" s="2"/>
    </row>
    <row r="53" spans="1:9" x14ac:dyDescent="0.25">
      <c r="A53" t="s">
        <v>1</v>
      </c>
      <c r="B53" t="s">
        <v>2</v>
      </c>
      <c r="C53" s="2" t="s">
        <v>3</v>
      </c>
      <c r="D53" s="2"/>
      <c r="E53" s="2"/>
      <c r="F53" s="2"/>
      <c r="G53" s="2"/>
      <c r="H53" s="2"/>
      <c r="I53" s="2"/>
    </row>
    <row r="54" spans="1:9" x14ac:dyDescent="0.25">
      <c r="A54" t="s">
        <v>4</v>
      </c>
      <c r="B54">
        <v>1990</v>
      </c>
      <c r="C54" s="3">
        <v>1194046</v>
      </c>
      <c r="D54" s="2"/>
      <c r="E54" s="2"/>
      <c r="F54" s="2"/>
      <c r="G54" s="2"/>
      <c r="H54" s="2"/>
      <c r="I54" s="2"/>
    </row>
    <row r="55" spans="1:9" x14ac:dyDescent="0.25">
      <c r="A55" t="s">
        <v>4</v>
      </c>
      <c r="B55">
        <v>2000</v>
      </c>
      <c r="C55" s="3">
        <v>2829431.6540000001</v>
      </c>
      <c r="D55" s="2"/>
      <c r="E55" s="2"/>
      <c r="F55" s="2"/>
      <c r="G55" s="2"/>
      <c r="H55" s="2"/>
      <c r="I55" s="2"/>
    </row>
    <row r="56" spans="1:9" x14ac:dyDescent="0.25">
      <c r="A56" t="s">
        <v>4</v>
      </c>
      <c r="B56">
        <v>2005</v>
      </c>
      <c r="C56" s="3">
        <v>3201328.0787999998</v>
      </c>
      <c r="D56" s="2"/>
      <c r="E56" s="2"/>
      <c r="F56" s="2"/>
      <c r="G56" s="2"/>
      <c r="H56" s="2"/>
      <c r="I56" s="2"/>
    </row>
    <row r="57" spans="1:9" x14ac:dyDescent="0.25">
      <c r="A57" t="s">
        <v>4</v>
      </c>
      <c r="B57">
        <v>2006</v>
      </c>
      <c r="C57" s="3">
        <v>3641605.2168999999</v>
      </c>
      <c r="D57" s="2"/>
      <c r="E57" s="2"/>
      <c r="F57" s="2"/>
      <c r="G57" s="2"/>
      <c r="H57" s="2"/>
      <c r="I57" s="2"/>
    </row>
    <row r="58" spans="1:9" x14ac:dyDescent="0.25">
      <c r="A58" t="s">
        <v>4</v>
      </c>
      <c r="B58">
        <v>2007</v>
      </c>
      <c r="C58" s="3">
        <v>10553088.9583</v>
      </c>
      <c r="D58" s="2"/>
      <c r="E58" s="2"/>
      <c r="F58" s="2"/>
      <c r="G58" s="2"/>
      <c r="H58" s="2"/>
      <c r="I58" s="2"/>
    </row>
    <row r="59" spans="1:9" x14ac:dyDescent="0.25">
      <c r="A59" t="s">
        <v>4</v>
      </c>
      <c r="B59">
        <v>2008</v>
      </c>
      <c r="C59" s="3">
        <v>10950546.8057999</v>
      </c>
      <c r="D59" s="2"/>
      <c r="E59" s="2"/>
      <c r="F59" s="2"/>
      <c r="G59" s="2"/>
      <c r="H59" s="2"/>
      <c r="I59" s="2"/>
    </row>
    <row r="60" spans="1:9" x14ac:dyDescent="0.25">
      <c r="A60" t="s">
        <v>4</v>
      </c>
      <c r="B60">
        <v>2009</v>
      </c>
      <c r="C60" s="3">
        <v>10363524.2236</v>
      </c>
      <c r="D60" s="2"/>
      <c r="E60" s="2"/>
      <c r="F60" s="2"/>
      <c r="G60" s="2"/>
      <c r="H60" s="2"/>
      <c r="I60" s="2"/>
    </row>
    <row r="61" spans="1:9" x14ac:dyDescent="0.25">
      <c r="A61" t="s">
        <v>4</v>
      </c>
      <c r="B61">
        <v>2010</v>
      </c>
      <c r="C61" s="3">
        <v>11508010.2173</v>
      </c>
      <c r="D61" s="2"/>
      <c r="E61" s="2"/>
      <c r="F61" s="2"/>
      <c r="G61" s="2"/>
      <c r="H61" s="2"/>
      <c r="I61" s="2"/>
    </row>
    <row r="62" spans="1:9" x14ac:dyDescent="0.25">
      <c r="A62" t="s">
        <v>4</v>
      </c>
      <c r="B62">
        <v>2011</v>
      </c>
      <c r="C62" s="3">
        <v>12750692.981499899</v>
      </c>
      <c r="D62" s="2"/>
      <c r="E62" s="2"/>
      <c r="F62" s="2"/>
      <c r="G62" s="2"/>
      <c r="H62" s="2"/>
      <c r="I62" s="2"/>
    </row>
    <row r="63" spans="1:9" x14ac:dyDescent="0.25">
      <c r="A63" t="s">
        <v>4</v>
      </c>
      <c r="B63">
        <v>2012</v>
      </c>
      <c r="C63" s="3">
        <v>11707436.9969</v>
      </c>
      <c r="D63" s="2"/>
      <c r="E63" s="2"/>
      <c r="F63" s="2"/>
      <c r="G63" s="2"/>
      <c r="H63" s="2"/>
      <c r="I63" s="2"/>
    </row>
    <row r="64" spans="1:9" x14ac:dyDescent="0.25">
      <c r="A64" t="s">
        <v>4</v>
      </c>
      <c r="B64">
        <v>2013</v>
      </c>
      <c r="C64" s="3">
        <v>14384358.836999999</v>
      </c>
      <c r="D64" s="2"/>
      <c r="E64" s="2"/>
      <c r="F64" s="2"/>
      <c r="G64" s="2"/>
      <c r="H64" s="2"/>
      <c r="I64" s="2"/>
    </row>
    <row r="65" spans="1:9" x14ac:dyDescent="0.25">
      <c r="A65" t="s">
        <v>4</v>
      </c>
      <c r="B65">
        <v>2014</v>
      </c>
      <c r="C65" s="3">
        <v>14050058.3532</v>
      </c>
      <c r="D65" s="2"/>
      <c r="E65" s="2"/>
      <c r="F65" s="2"/>
      <c r="G65" s="2"/>
      <c r="H65" s="2"/>
      <c r="I65" s="2"/>
    </row>
    <row r="66" spans="1:9" x14ac:dyDescent="0.25">
      <c r="A66" t="s">
        <v>4</v>
      </c>
      <c r="B66">
        <v>2015</v>
      </c>
      <c r="C66" s="3">
        <v>14861959.694700001</v>
      </c>
      <c r="D66" s="2"/>
      <c r="E66" s="2"/>
      <c r="F66" s="2"/>
      <c r="G66" s="2"/>
      <c r="H66" s="2"/>
      <c r="I66" s="2"/>
    </row>
    <row r="67" spans="1:9" x14ac:dyDescent="0.25">
      <c r="A67" t="s">
        <v>4</v>
      </c>
      <c r="B67">
        <v>2016</v>
      </c>
      <c r="C67" s="3">
        <v>13691669.533</v>
      </c>
      <c r="D67" s="2"/>
      <c r="E67" s="2"/>
      <c r="F67" s="2"/>
      <c r="G67" s="2"/>
      <c r="H67" s="2"/>
      <c r="I67" s="2"/>
    </row>
    <row r="68" spans="1:9" x14ac:dyDescent="0.25">
      <c r="A68" t="s">
        <v>4</v>
      </c>
      <c r="B68">
        <v>2017</v>
      </c>
      <c r="C68" s="3">
        <v>14154434.080499999</v>
      </c>
      <c r="D68" s="2"/>
      <c r="E68" s="2"/>
      <c r="F68" s="2"/>
      <c r="G68" s="2"/>
      <c r="H68" s="2"/>
      <c r="I68" s="2"/>
    </row>
    <row r="69" spans="1:9" x14ac:dyDescent="0.25">
      <c r="A69" t="s">
        <v>4</v>
      </c>
      <c r="B69">
        <v>2018</v>
      </c>
      <c r="C69" s="3">
        <v>14596675.0296</v>
      </c>
      <c r="D69" s="2"/>
      <c r="E69" s="2"/>
      <c r="F69" s="2"/>
      <c r="G69" s="2"/>
      <c r="H69" s="2"/>
      <c r="I69" s="2"/>
    </row>
    <row r="70" spans="1:9" x14ac:dyDescent="0.25">
      <c r="A70" t="s">
        <v>4</v>
      </c>
      <c r="B70">
        <v>2019</v>
      </c>
      <c r="C70" s="3">
        <v>13469024.5519999</v>
      </c>
      <c r="D70" s="2"/>
      <c r="E70" s="2"/>
      <c r="F70" s="2"/>
      <c r="G70" s="2"/>
      <c r="H70" s="2"/>
      <c r="I70" s="2"/>
    </row>
    <row r="71" spans="1:9" x14ac:dyDescent="0.25">
      <c r="A71" t="s">
        <v>4</v>
      </c>
      <c r="B71">
        <v>2020</v>
      </c>
      <c r="C71" s="3">
        <v>11615103.515327601</v>
      </c>
      <c r="D71" s="2"/>
      <c r="E71" s="2"/>
      <c r="F71" s="2"/>
      <c r="G71" s="2"/>
      <c r="H71" s="2"/>
      <c r="I71" s="2"/>
    </row>
    <row r="72" spans="1:9" x14ac:dyDescent="0.25">
      <c r="A72" t="s">
        <v>4</v>
      </c>
      <c r="B72">
        <v>2021</v>
      </c>
      <c r="C72" s="3">
        <v>14742757.8512886</v>
      </c>
      <c r="D72" s="2"/>
      <c r="E72" s="2"/>
      <c r="F72" s="2"/>
      <c r="G72" s="2"/>
      <c r="H72" s="2"/>
      <c r="I72" s="2"/>
    </row>
    <row r="73" spans="1:9" x14ac:dyDescent="0.25">
      <c r="A73" t="s">
        <v>4</v>
      </c>
      <c r="B73">
        <v>2022</v>
      </c>
      <c r="C73" s="3">
        <v>13456748.2086551</v>
      </c>
      <c r="D73" s="2"/>
      <c r="E73" s="2"/>
      <c r="F73" s="2"/>
      <c r="G73" s="2"/>
      <c r="H73" s="2"/>
      <c r="I73" s="2"/>
    </row>
    <row r="74" spans="1:9" x14ac:dyDescent="0.25">
      <c r="A74" t="s">
        <v>4</v>
      </c>
      <c r="B74">
        <v>2023</v>
      </c>
      <c r="C74" s="3">
        <v>13420688.4010645</v>
      </c>
      <c r="D74" s="2"/>
      <c r="E74" s="2"/>
      <c r="F74" s="2"/>
      <c r="G74" s="2"/>
      <c r="H74" s="2"/>
      <c r="I74" s="2"/>
    </row>
    <row r="75" spans="1:9" x14ac:dyDescent="0.25">
      <c r="C75" s="2"/>
      <c r="D75" s="2"/>
      <c r="E75" s="2"/>
      <c r="F75" s="2"/>
      <c r="G75" s="2"/>
      <c r="H75" s="2"/>
      <c r="I75" s="2"/>
    </row>
    <row r="76" spans="1:9" x14ac:dyDescent="0.25">
      <c r="C76" s="2"/>
      <c r="D76" s="2"/>
      <c r="E76" s="2"/>
      <c r="F76" s="2"/>
      <c r="G76" s="2"/>
      <c r="H76" s="2"/>
      <c r="I76" s="2"/>
    </row>
    <row r="77" spans="1:9" x14ac:dyDescent="0.25">
      <c r="A77" s="1" t="s">
        <v>10</v>
      </c>
      <c r="C77" s="2"/>
      <c r="D77" s="2"/>
      <c r="E77" s="2"/>
      <c r="F77" s="2"/>
      <c r="G77" s="2"/>
      <c r="H77" s="2"/>
      <c r="I77" s="2"/>
    </row>
    <row r="78" spans="1:9" x14ac:dyDescent="0.25">
      <c r="C78" s="2"/>
      <c r="D78" s="2"/>
      <c r="E78" s="2"/>
      <c r="F78" s="2"/>
      <c r="G78" s="2"/>
      <c r="H78" s="2"/>
      <c r="I78" s="2"/>
    </row>
    <row r="79" spans="1:9" x14ac:dyDescent="0.25">
      <c r="A79" t="s">
        <v>1</v>
      </c>
      <c r="B79" t="s">
        <v>2</v>
      </c>
      <c r="C79" s="2" t="s">
        <v>3</v>
      </c>
      <c r="D79" s="2"/>
      <c r="E79" s="2"/>
      <c r="F79" s="2"/>
      <c r="G79" s="2"/>
      <c r="H79" s="2"/>
      <c r="I79" s="2"/>
    </row>
    <row r="80" spans="1:9" x14ac:dyDescent="0.25">
      <c r="A80" t="s">
        <v>4</v>
      </c>
      <c r="B80">
        <v>1990</v>
      </c>
      <c r="C80" s="3">
        <v>1253245</v>
      </c>
      <c r="D80" s="2"/>
      <c r="E80" s="2"/>
      <c r="F80" s="2"/>
      <c r="G80" s="2"/>
      <c r="H80" s="2"/>
      <c r="I80" s="2"/>
    </row>
    <row r="81" spans="1:9" x14ac:dyDescent="0.25">
      <c r="A81" t="s">
        <v>4</v>
      </c>
      <c r="B81">
        <v>2000</v>
      </c>
      <c r="C81" s="3">
        <v>2693413.6540000001</v>
      </c>
      <c r="D81" s="2"/>
      <c r="E81" s="2"/>
      <c r="F81" s="2"/>
      <c r="G81" s="2"/>
      <c r="H81" s="2"/>
      <c r="I81" s="2"/>
    </row>
    <row r="82" spans="1:9" x14ac:dyDescent="0.25">
      <c r="A82" t="s">
        <v>4</v>
      </c>
      <c r="B82">
        <v>2005</v>
      </c>
      <c r="C82" s="3">
        <v>3374112.78879999</v>
      </c>
      <c r="D82" s="2"/>
      <c r="E82" s="2"/>
      <c r="F82" s="2"/>
      <c r="G82" s="2"/>
      <c r="H82" s="2"/>
      <c r="I82" s="2"/>
    </row>
    <row r="83" spans="1:9" x14ac:dyDescent="0.25">
      <c r="A83" t="s">
        <v>4</v>
      </c>
      <c r="B83">
        <v>2006</v>
      </c>
      <c r="C83" s="3">
        <v>3341186.4969000001</v>
      </c>
      <c r="D83" s="2"/>
      <c r="E83" s="2"/>
      <c r="F83" s="2"/>
      <c r="G83" s="2"/>
      <c r="H83" s="2"/>
      <c r="I83" s="2"/>
    </row>
    <row r="84" spans="1:9" x14ac:dyDescent="0.25">
      <c r="A84" t="s">
        <v>4</v>
      </c>
      <c r="B84">
        <v>2007</v>
      </c>
      <c r="C84" s="3">
        <v>10658420.642200001</v>
      </c>
      <c r="D84" s="2"/>
      <c r="E84" s="2"/>
      <c r="F84" s="2"/>
      <c r="G84" s="2"/>
      <c r="H84" s="2"/>
      <c r="I84" s="2"/>
    </row>
    <row r="85" spans="1:9" x14ac:dyDescent="0.25">
      <c r="A85" t="s">
        <v>4</v>
      </c>
      <c r="B85">
        <v>2008</v>
      </c>
      <c r="C85" s="3">
        <v>10844039.718800001</v>
      </c>
      <c r="D85" s="2"/>
      <c r="E85" s="2"/>
      <c r="F85" s="2"/>
      <c r="G85" s="2"/>
      <c r="H85" s="2"/>
      <c r="I85" s="2"/>
    </row>
    <row r="86" spans="1:9" x14ac:dyDescent="0.25">
      <c r="A86" t="s">
        <v>4</v>
      </c>
      <c r="B86">
        <v>2009</v>
      </c>
      <c r="C86" s="3">
        <v>10344517.6711</v>
      </c>
      <c r="D86" s="2"/>
      <c r="E86" s="2"/>
      <c r="F86" s="2"/>
      <c r="G86" s="2"/>
      <c r="H86" s="2"/>
      <c r="I86" s="2"/>
    </row>
    <row r="87" spans="1:9" x14ac:dyDescent="0.25">
      <c r="A87" t="s">
        <v>4</v>
      </c>
      <c r="B87">
        <v>2010</v>
      </c>
      <c r="C87" s="3">
        <v>11283078.883099999</v>
      </c>
      <c r="D87" s="2"/>
      <c r="E87" s="2"/>
      <c r="F87" s="2"/>
      <c r="G87" s="2"/>
      <c r="H87" s="2"/>
      <c r="I87" s="2"/>
    </row>
    <row r="88" spans="1:9" x14ac:dyDescent="0.25">
      <c r="A88" t="s">
        <v>4</v>
      </c>
      <c r="B88">
        <v>2011</v>
      </c>
      <c r="C88" s="3">
        <v>12134548.489</v>
      </c>
      <c r="D88" s="2"/>
      <c r="E88" s="2"/>
      <c r="F88" s="2"/>
      <c r="G88" s="2"/>
      <c r="H88" s="2"/>
      <c r="I88" s="2"/>
    </row>
    <row r="89" spans="1:9" x14ac:dyDescent="0.25">
      <c r="A89" t="s">
        <v>4</v>
      </c>
      <c r="B89">
        <v>2012</v>
      </c>
      <c r="C89" s="3">
        <v>11644905.6654</v>
      </c>
      <c r="D89" s="2"/>
      <c r="E89" s="2"/>
      <c r="F89" s="2"/>
      <c r="G89" s="2"/>
      <c r="H89" s="2"/>
      <c r="I89" s="2"/>
    </row>
    <row r="90" spans="1:9" x14ac:dyDescent="0.25">
      <c r="A90" t="s">
        <v>4</v>
      </c>
      <c r="B90">
        <v>2013</v>
      </c>
      <c r="C90" s="3">
        <v>12542178.9800999</v>
      </c>
      <c r="D90" s="2"/>
      <c r="E90" s="2"/>
      <c r="F90" s="2"/>
      <c r="G90" s="2"/>
      <c r="H90" s="2"/>
      <c r="I90" s="2"/>
    </row>
    <row r="91" spans="1:9" x14ac:dyDescent="0.25">
      <c r="A91" t="s">
        <v>4</v>
      </c>
      <c r="B91">
        <v>2014</v>
      </c>
      <c r="C91" s="3">
        <v>12429467.3051</v>
      </c>
      <c r="D91" s="2"/>
      <c r="E91" s="2"/>
      <c r="F91" s="2"/>
      <c r="G91" s="2"/>
      <c r="H91" s="2"/>
      <c r="I91" s="2"/>
    </row>
    <row r="92" spans="1:9" x14ac:dyDescent="0.25">
      <c r="A92" t="s">
        <v>4</v>
      </c>
      <c r="B92">
        <v>2015</v>
      </c>
      <c r="C92" s="3">
        <v>13408408.162599999</v>
      </c>
      <c r="D92" s="2"/>
      <c r="E92" s="2"/>
      <c r="F92" s="2"/>
      <c r="G92" s="2"/>
      <c r="H92" s="2"/>
      <c r="I92" s="2"/>
    </row>
    <row r="93" spans="1:9" x14ac:dyDescent="0.25">
      <c r="A93" t="s">
        <v>4</v>
      </c>
      <c r="B93">
        <v>2016</v>
      </c>
      <c r="C93" s="3">
        <v>12446394.685599901</v>
      </c>
      <c r="D93" s="2"/>
      <c r="E93" s="2"/>
      <c r="F93" s="2"/>
      <c r="G93" s="2"/>
      <c r="H93" s="2"/>
      <c r="I93" s="2"/>
    </row>
    <row r="94" spans="1:9" x14ac:dyDescent="0.25">
      <c r="A94" t="s">
        <v>4</v>
      </c>
      <c r="B94">
        <v>2017</v>
      </c>
      <c r="C94" s="3">
        <v>12389198.4925</v>
      </c>
      <c r="D94" s="2"/>
      <c r="E94" s="2"/>
      <c r="F94" s="2"/>
      <c r="G94" s="2"/>
      <c r="H94" s="2"/>
      <c r="I94" s="2"/>
    </row>
    <row r="95" spans="1:9" x14ac:dyDescent="0.25">
      <c r="A95" t="s">
        <v>4</v>
      </c>
      <c r="B95">
        <v>2018</v>
      </c>
      <c r="C95" s="3">
        <v>12939398.7886</v>
      </c>
      <c r="D95" s="2"/>
      <c r="E95" s="2"/>
      <c r="F95" s="2"/>
      <c r="G95" s="2"/>
      <c r="H95" s="2"/>
      <c r="I95" s="2"/>
    </row>
    <row r="96" spans="1:9" x14ac:dyDescent="0.25">
      <c r="A96" t="s">
        <v>4</v>
      </c>
      <c r="B96">
        <v>2019</v>
      </c>
      <c r="C96" s="3">
        <v>12014194.2751</v>
      </c>
      <c r="D96" s="2"/>
      <c r="E96" s="2"/>
      <c r="F96" s="2"/>
      <c r="G96" s="2"/>
      <c r="H96" s="2"/>
      <c r="I96" s="2"/>
    </row>
    <row r="97" spans="1:9" x14ac:dyDescent="0.25">
      <c r="A97" t="s">
        <v>4</v>
      </c>
      <c r="B97">
        <v>2020</v>
      </c>
      <c r="C97" s="3">
        <v>10136676.1013276</v>
      </c>
      <c r="D97" s="2"/>
      <c r="E97" s="2"/>
      <c r="F97" s="2"/>
      <c r="G97" s="2"/>
      <c r="H97" s="2"/>
      <c r="I97" s="2"/>
    </row>
    <row r="98" spans="1:9" x14ac:dyDescent="0.25">
      <c r="A98" t="s">
        <v>4</v>
      </c>
      <c r="B98">
        <v>2021</v>
      </c>
      <c r="C98" s="3">
        <v>13517684.4924736</v>
      </c>
      <c r="D98" s="2"/>
      <c r="E98" s="2"/>
      <c r="F98" s="2"/>
      <c r="G98" s="2"/>
      <c r="H98" s="2"/>
      <c r="I98" s="2"/>
    </row>
    <row r="99" spans="1:9" x14ac:dyDescent="0.25">
      <c r="A99" t="s">
        <v>4</v>
      </c>
      <c r="B99">
        <v>2022</v>
      </c>
      <c r="C99" s="3">
        <v>13597321.3077763</v>
      </c>
      <c r="D99" s="2"/>
      <c r="E99" s="2"/>
      <c r="F99" s="2"/>
      <c r="G99" s="2"/>
      <c r="H99" s="2"/>
      <c r="I99" s="2"/>
    </row>
    <row r="100" spans="1:9" x14ac:dyDescent="0.25">
      <c r="A100" t="s">
        <v>4</v>
      </c>
      <c r="B100">
        <v>2023</v>
      </c>
      <c r="C100" s="3">
        <v>13773966.1432877</v>
      </c>
      <c r="D100" s="2"/>
      <c r="E100" s="2"/>
      <c r="F100" s="2"/>
      <c r="G100" s="2"/>
      <c r="H100" s="2"/>
      <c r="I100" s="2"/>
    </row>
    <row r="101" spans="1:9" x14ac:dyDescent="0.25">
      <c r="C101" s="2"/>
      <c r="D101" s="2"/>
      <c r="E101" s="2"/>
      <c r="F101" s="2"/>
      <c r="G101" s="2"/>
      <c r="H101" s="2"/>
      <c r="I101" s="2"/>
    </row>
    <row r="102" spans="1:9" x14ac:dyDescent="0.25">
      <c r="C102" s="2"/>
      <c r="D102" s="2"/>
      <c r="E102" s="2"/>
      <c r="F102" s="2"/>
      <c r="G102" s="2"/>
      <c r="H102" s="2"/>
      <c r="I102" s="2"/>
    </row>
    <row r="103" spans="1:9" x14ac:dyDescent="0.25">
      <c r="A103" s="1" t="s">
        <v>11</v>
      </c>
      <c r="C103" s="2"/>
      <c r="D103" s="2"/>
      <c r="E103" s="2"/>
      <c r="F103" s="2"/>
      <c r="G103" s="2"/>
      <c r="H103" s="2"/>
      <c r="I103" s="2"/>
    </row>
    <row r="104" spans="1:9" x14ac:dyDescent="0.25">
      <c r="C104" s="2"/>
      <c r="D104" s="2"/>
      <c r="E104" s="2"/>
      <c r="F104" s="2"/>
      <c r="G104" s="2"/>
      <c r="H104" s="2"/>
      <c r="I104" s="2"/>
    </row>
    <row r="105" spans="1:9" x14ac:dyDescent="0.25">
      <c r="A105" t="s">
        <v>1</v>
      </c>
      <c r="B105" t="s">
        <v>2</v>
      </c>
      <c r="C105" s="2" t="s">
        <v>3</v>
      </c>
      <c r="D105" s="2"/>
      <c r="E105" s="2"/>
      <c r="F105" s="2"/>
      <c r="G105" s="2"/>
      <c r="H105" s="2"/>
      <c r="I105" s="2"/>
    </row>
    <row r="106" spans="1:9" x14ac:dyDescent="0.25">
      <c r="A106" t="s">
        <v>4</v>
      </c>
      <c r="B106">
        <v>2012</v>
      </c>
      <c r="C106" s="3">
        <v>11099861.6438</v>
      </c>
      <c r="D106" s="2"/>
      <c r="E106" s="2"/>
      <c r="F106" s="2"/>
      <c r="G106" s="2"/>
      <c r="H106" s="2"/>
      <c r="I106" s="2"/>
    </row>
    <row r="107" spans="1:9" x14ac:dyDescent="0.25">
      <c r="A107" t="s">
        <v>4</v>
      </c>
      <c r="B107">
        <v>2013</v>
      </c>
      <c r="C107" s="3">
        <v>11301657.5902</v>
      </c>
      <c r="D107" s="2"/>
      <c r="E107" s="2"/>
      <c r="F107" s="2"/>
      <c r="G107" s="2"/>
      <c r="H107" s="2"/>
      <c r="I107" s="2"/>
    </row>
    <row r="108" spans="1:9" x14ac:dyDescent="0.25">
      <c r="A108" t="s">
        <v>4</v>
      </c>
      <c r="B108">
        <v>2014</v>
      </c>
      <c r="C108" s="3">
        <v>11119338.261399999</v>
      </c>
      <c r="D108" s="2"/>
      <c r="E108" s="2"/>
      <c r="F108" s="2"/>
      <c r="G108" s="2"/>
      <c r="H108" s="2"/>
      <c r="I108" s="2"/>
    </row>
    <row r="109" spans="1:9" x14ac:dyDescent="0.25">
      <c r="A109" t="s">
        <v>4</v>
      </c>
      <c r="B109">
        <v>2015</v>
      </c>
      <c r="C109" s="3">
        <v>11756081.6808</v>
      </c>
      <c r="D109" s="2"/>
      <c r="E109" s="2"/>
      <c r="F109" s="2"/>
      <c r="G109" s="2"/>
      <c r="H109" s="2"/>
      <c r="I109" s="2"/>
    </row>
    <row r="110" spans="1:9" x14ac:dyDescent="0.25">
      <c r="A110" t="s">
        <v>4</v>
      </c>
      <c r="B110">
        <v>2016</v>
      </c>
      <c r="C110" s="3">
        <v>11433019.6631</v>
      </c>
      <c r="D110" s="2"/>
      <c r="E110" s="2"/>
      <c r="F110" s="2"/>
      <c r="G110" s="2"/>
      <c r="H110" s="2"/>
      <c r="I110" s="2"/>
    </row>
    <row r="111" spans="1:9" x14ac:dyDescent="0.25">
      <c r="A111" t="s">
        <v>4</v>
      </c>
      <c r="B111">
        <v>2017</v>
      </c>
      <c r="C111" s="3">
        <v>11012708.9717</v>
      </c>
      <c r="D111" s="2"/>
      <c r="E111" s="2"/>
      <c r="F111" s="2"/>
      <c r="G111" s="2"/>
      <c r="H111" s="2"/>
      <c r="I111" s="2"/>
    </row>
    <row r="112" spans="1:9" x14ac:dyDescent="0.25">
      <c r="A112" t="s">
        <v>4</v>
      </c>
      <c r="B112">
        <v>2018</v>
      </c>
      <c r="C112" s="3">
        <v>11615100.588199999</v>
      </c>
      <c r="D112" s="2"/>
      <c r="E112" s="2"/>
      <c r="F112" s="2"/>
      <c r="G112" s="2"/>
      <c r="H112" s="2"/>
      <c r="I112" s="2"/>
    </row>
    <row r="113" spans="1:9" x14ac:dyDescent="0.25">
      <c r="A113" t="s">
        <v>4</v>
      </c>
      <c r="B113">
        <v>2019</v>
      </c>
      <c r="C113" s="3">
        <v>11216050.4485</v>
      </c>
      <c r="D113" s="2"/>
      <c r="E113" s="2"/>
      <c r="F113" s="2"/>
      <c r="G113" s="2"/>
      <c r="H113" s="2"/>
      <c r="I113" s="2"/>
    </row>
    <row r="114" spans="1:9" x14ac:dyDescent="0.25">
      <c r="A114" t="s">
        <v>4</v>
      </c>
      <c r="B114">
        <v>2020</v>
      </c>
      <c r="C114" s="3">
        <v>9049039.4989063405</v>
      </c>
      <c r="D114" s="2"/>
      <c r="E114" s="2"/>
      <c r="F114" s="2"/>
      <c r="G114" s="2"/>
      <c r="H114" s="2"/>
      <c r="I114" s="2"/>
    </row>
    <row r="115" spans="1:9" x14ac:dyDescent="0.25">
      <c r="A115" t="s">
        <v>4</v>
      </c>
      <c r="B115">
        <v>2021</v>
      </c>
      <c r="C115" s="3">
        <v>12219066.5131502</v>
      </c>
      <c r="D115" s="2"/>
      <c r="E115" s="2"/>
      <c r="F115" s="2"/>
      <c r="G115" s="2"/>
      <c r="H115" s="2"/>
      <c r="I115" s="2"/>
    </row>
    <row r="116" spans="1:9" x14ac:dyDescent="0.25">
      <c r="A116" t="s">
        <v>4</v>
      </c>
      <c r="B116">
        <v>2022</v>
      </c>
      <c r="C116" s="3">
        <v>13697073.858202299</v>
      </c>
      <c r="D116" s="2"/>
      <c r="E116" s="2"/>
      <c r="F116" s="2"/>
      <c r="G116" s="2"/>
      <c r="H116" s="2"/>
      <c r="I116" s="2"/>
    </row>
    <row r="117" spans="1:9" x14ac:dyDescent="0.25">
      <c r="A117" t="s">
        <v>4</v>
      </c>
      <c r="B117">
        <v>2023</v>
      </c>
      <c r="C117" s="3">
        <v>13349094.534652401</v>
      </c>
      <c r="D117" s="2"/>
      <c r="E117" s="2"/>
      <c r="F117" s="2"/>
      <c r="G117" s="2"/>
      <c r="H117" s="2"/>
      <c r="I117" s="2"/>
    </row>
    <row r="118" spans="1:9" x14ac:dyDescent="0.25">
      <c r="C118" s="2"/>
      <c r="D118" s="2"/>
      <c r="E118" s="2"/>
      <c r="F118" s="2"/>
      <c r="G118" s="2"/>
      <c r="H118" s="2"/>
      <c r="I118" s="2"/>
    </row>
    <row r="119" spans="1:9" x14ac:dyDescent="0.25">
      <c r="C119" s="2"/>
      <c r="D119" s="2"/>
      <c r="E119" s="2"/>
      <c r="F119" s="2"/>
      <c r="G119" s="2"/>
      <c r="H119" s="2"/>
      <c r="I119" s="2"/>
    </row>
    <row r="120" spans="1:9" x14ac:dyDescent="0.25">
      <c r="A120" s="1" t="s">
        <v>12</v>
      </c>
      <c r="C120" s="2"/>
      <c r="D120" s="2"/>
      <c r="E120" s="2"/>
      <c r="F120" s="2"/>
      <c r="G120" s="2"/>
      <c r="H120" s="2"/>
      <c r="I120" s="2"/>
    </row>
    <row r="121" spans="1:9" x14ac:dyDescent="0.25">
      <c r="C121" s="2"/>
      <c r="D121" s="2"/>
      <c r="E121" s="2"/>
      <c r="F121" s="2"/>
      <c r="G121" s="2"/>
      <c r="H121" s="2"/>
      <c r="I121" s="2"/>
    </row>
    <row r="122" spans="1:9" x14ac:dyDescent="0.25">
      <c r="A122" t="s">
        <v>1</v>
      </c>
      <c r="B122" t="s">
        <v>2</v>
      </c>
      <c r="C122" s="2" t="s">
        <v>3</v>
      </c>
      <c r="D122" s="2"/>
      <c r="E122" s="2"/>
      <c r="F122" s="2"/>
      <c r="G122" s="2"/>
      <c r="H122" s="2"/>
      <c r="I122" s="2"/>
    </row>
    <row r="123" spans="1:9" x14ac:dyDescent="0.25">
      <c r="A123" t="s">
        <v>4</v>
      </c>
      <c r="B123">
        <v>1990</v>
      </c>
      <c r="C123" s="3">
        <v>767051.67709999997</v>
      </c>
      <c r="D123" s="2"/>
      <c r="E123" s="2"/>
      <c r="F123" s="2"/>
      <c r="G123" s="2"/>
      <c r="H123" s="2"/>
      <c r="I123" s="2"/>
    </row>
    <row r="124" spans="1:9" x14ac:dyDescent="0.25">
      <c r="A124" t="s">
        <v>4</v>
      </c>
      <c r="B124">
        <v>2000</v>
      </c>
      <c r="C124" s="3">
        <v>1655062.4583999999</v>
      </c>
      <c r="D124" s="2"/>
      <c r="E124" s="2"/>
      <c r="F124" s="2"/>
      <c r="G124" s="2"/>
      <c r="H124" s="2"/>
      <c r="I124" s="2"/>
    </row>
    <row r="125" spans="1:9" x14ac:dyDescent="0.25">
      <c r="A125" t="s">
        <v>4</v>
      </c>
      <c r="B125">
        <v>2005</v>
      </c>
      <c r="C125" s="3">
        <v>2020068.2977</v>
      </c>
      <c r="D125" s="2"/>
      <c r="E125" s="2"/>
      <c r="F125" s="2"/>
      <c r="G125" s="2"/>
      <c r="H125" s="2"/>
      <c r="I125" s="2"/>
    </row>
    <row r="126" spans="1:9" x14ac:dyDescent="0.25">
      <c r="A126" t="s">
        <v>4</v>
      </c>
      <c r="B126">
        <v>2006</v>
      </c>
      <c r="C126" s="3">
        <v>1963065.6124</v>
      </c>
      <c r="D126" s="2"/>
      <c r="E126" s="2"/>
      <c r="F126" s="2"/>
      <c r="G126" s="2"/>
      <c r="H126" s="2"/>
      <c r="I126" s="2"/>
    </row>
    <row r="127" spans="1:9" x14ac:dyDescent="0.25">
      <c r="A127" t="s">
        <v>4</v>
      </c>
      <c r="B127">
        <v>2007</v>
      </c>
      <c r="C127" s="3">
        <v>6190824.6655999999</v>
      </c>
      <c r="D127" s="2"/>
      <c r="E127" s="2"/>
      <c r="F127" s="2"/>
      <c r="G127" s="2"/>
      <c r="H127" s="2"/>
      <c r="I127" s="2"/>
    </row>
    <row r="128" spans="1:9" x14ac:dyDescent="0.25">
      <c r="A128" t="s">
        <v>4</v>
      </c>
      <c r="B128">
        <v>2008</v>
      </c>
      <c r="C128" s="3">
        <v>6243682.9705999997</v>
      </c>
      <c r="D128" s="2"/>
      <c r="E128" s="2"/>
      <c r="F128" s="2"/>
      <c r="G128" s="2"/>
      <c r="H128" s="2"/>
      <c r="I128" s="2"/>
    </row>
    <row r="129" spans="1:9" x14ac:dyDescent="0.25">
      <c r="A129" t="s">
        <v>4</v>
      </c>
      <c r="B129">
        <v>2009</v>
      </c>
      <c r="C129" s="3">
        <v>5973964.7520999899</v>
      </c>
      <c r="D129" s="2"/>
      <c r="E129" s="2"/>
      <c r="F129" s="2"/>
      <c r="G129" s="2"/>
      <c r="H129" s="2"/>
      <c r="I129" s="2"/>
    </row>
    <row r="130" spans="1:9" x14ac:dyDescent="0.25">
      <c r="A130" t="s">
        <v>4</v>
      </c>
      <c r="B130">
        <v>2010</v>
      </c>
      <c r="C130" s="3">
        <v>6489758.0620999997</v>
      </c>
      <c r="D130" s="2"/>
      <c r="E130" s="2"/>
      <c r="F130" s="2"/>
      <c r="G130" s="2"/>
      <c r="H130" s="2"/>
      <c r="I130" s="2"/>
    </row>
    <row r="131" spans="1:9" x14ac:dyDescent="0.25">
      <c r="A131" t="s">
        <v>4</v>
      </c>
      <c r="B131">
        <v>2011</v>
      </c>
      <c r="C131" s="3">
        <v>6786718.6969999997</v>
      </c>
      <c r="D131" s="2"/>
      <c r="E131" s="2"/>
      <c r="F131" s="2"/>
      <c r="G131" s="2"/>
      <c r="H131" s="2"/>
      <c r="I131" s="2"/>
    </row>
    <row r="132" spans="1:9" x14ac:dyDescent="0.25">
      <c r="A132" t="s">
        <v>4</v>
      </c>
      <c r="B132">
        <v>2012</v>
      </c>
      <c r="C132" s="3">
        <v>6712713.1933000004</v>
      </c>
      <c r="D132" s="2"/>
      <c r="E132" s="2"/>
      <c r="F132" s="2"/>
      <c r="G132" s="2"/>
      <c r="H132" s="2"/>
      <c r="I132" s="2"/>
    </row>
    <row r="133" spans="1:9" x14ac:dyDescent="0.25">
      <c r="A133" t="s">
        <v>4</v>
      </c>
      <c r="B133">
        <v>2013</v>
      </c>
      <c r="C133" s="3">
        <v>6708484.20379999</v>
      </c>
      <c r="D133" s="2"/>
      <c r="E133" s="2"/>
      <c r="F133" s="2"/>
      <c r="G133" s="2"/>
      <c r="H133" s="2"/>
      <c r="I133" s="2"/>
    </row>
    <row r="134" spans="1:9" x14ac:dyDescent="0.25">
      <c r="A134" t="s">
        <v>4</v>
      </c>
      <c r="B134">
        <v>2014</v>
      </c>
      <c r="C134" s="3">
        <v>6618337.1640999997</v>
      </c>
      <c r="D134" s="2"/>
      <c r="E134" s="2"/>
      <c r="F134" s="2"/>
      <c r="G134" s="2"/>
      <c r="H134" s="2"/>
      <c r="I134" s="2"/>
    </row>
    <row r="135" spans="1:9" x14ac:dyDescent="0.25">
      <c r="A135" t="s">
        <v>4</v>
      </c>
      <c r="B135">
        <v>2015</v>
      </c>
      <c r="C135" s="3">
        <v>7028264.1717999903</v>
      </c>
      <c r="D135" s="2"/>
      <c r="E135" s="2"/>
      <c r="F135" s="2"/>
      <c r="G135" s="2"/>
      <c r="H135" s="2"/>
      <c r="I135" s="2"/>
    </row>
    <row r="136" spans="1:9" x14ac:dyDescent="0.25">
      <c r="A136" t="s">
        <v>4</v>
      </c>
      <c r="B136">
        <v>2016</v>
      </c>
      <c r="C136" s="3">
        <v>6747656.1304000001</v>
      </c>
      <c r="D136" s="2"/>
      <c r="E136" s="2"/>
      <c r="F136" s="2"/>
      <c r="G136" s="2"/>
      <c r="H136" s="2"/>
      <c r="I136" s="2"/>
    </row>
    <row r="137" spans="1:9" x14ac:dyDescent="0.25">
      <c r="A137" t="s">
        <v>4</v>
      </c>
      <c r="B137">
        <v>2017</v>
      </c>
      <c r="C137" s="3">
        <v>6406629.8723999998</v>
      </c>
      <c r="D137" s="2"/>
      <c r="E137" s="2"/>
      <c r="F137" s="2"/>
      <c r="G137" s="2"/>
      <c r="H137" s="2"/>
      <c r="I137" s="2"/>
    </row>
    <row r="138" spans="1:9" x14ac:dyDescent="0.25">
      <c r="A138" t="s">
        <v>4</v>
      </c>
      <c r="B138">
        <v>2018</v>
      </c>
      <c r="C138" s="3">
        <v>6681395.892</v>
      </c>
      <c r="D138" s="2"/>
      <c r="E138" s="2"/>
      <c r="F138" s="2"/>
      <c r="G138" s="2"/>
      <c r="H138" s="2"/>
      <c r="I138" s="2"/>
    </row>
    <row r="139" spans="1:9" x14ac:dyDescent="0.25">
      <c r="A139" t="s">
        <v>4</v>
      </c>
      <c r="B139">
        <v>2019</v>
      </c>
      <c r="C139" s="3">
        <v>6234119.4412000002</v>
      </c>
      <c r="D139" s="2"/>
      <c r="E139" s="2"/>
      <c r="F139" s="2"/>
      <c r="G139" s="2"/>
      <c r="H139" s="2"/>
      <c r="I139" s="2"/>
    </row>
    <row r="140" spans="1:9" x14ac:dyDescent="0.25">
      <c r="A140" t="s">
        <v>4</v>
      </c>
      <c r="B140">
        <v>2020</v>
      </c>
      <c r="C140" s="3">
        <v>5040030.8948167702</v>
      </c>
      <c r="D140" s="2"/>
      <c r="E140" s="2"/>
      <c r="F140" s="2"/>
      <c r="G140" s="2"/>
      <c r="H140" s="2"/>
      <c r="I140" s="2"/>
    </row>
    <row r="141" spans="1:9" x14ac:dyDescent="0.25">
      <c r="A141" t="s">
        <v>4</v>
      </c>
      <c r="B141">
        <v>2021</v>
      </c>
      <c r="C141" s="3">
        <v>6724523.3299294598</v>
      </c>
      <c r="D141" s="2"/>
      <c r="E141" s="2"/>
      <c r="F141" s="2"/>
      <c r="G141" s="2"/>
      <c r="H141" s="2"/>
      <c r="I141" s="2"/>
    </row>
    <row r="142" spans="1:9" x14ac:dyDescent="0.25">
      <c r="A142" t="s">
        <v>4</v>
      </c>
      <c r="B142">
        <v>2022</v>
      </c>
      <c r="C142" s="3">
        <v>7231532.3024623599</v>
      </c>
      <c r="D142" s="2"/>
      <c r="E142" s="2"/>
      <c r="F142" s="2"/>
      <c r="G142" s="2"/>
      <c r="H142" s="2"/>
      <c r="I142" s="2"/>
    </row>
    <row r="143" spans="1:9" x14ac:dyDescent="0.25">
      <c r="A143" t="s">
        <v>4</v>
      </c>
      <c r="B143">
        <v>2023</v>
      </c>
      <c r="C143" s="3">
        <v>7035446.79378225</v>
      </c>
      <c r="D143" s="2"/>
      <c r="E143" s="2"/>
      <c r="F143" s="2"/>
      <c r="G143" s="2"/>
      <c r="H143" s="2"/>
      <c r="I143" s="2"/>
    </row>
    <row r="146" spans="1:9" x14ac:dyDescent="0.25">
      <c r="A146" s="1" t="s">
        <v>13</v>
      </c>
      <c r="C146" s="2"/>
      <c r="D146" s="2"/>
      <c r="E146" s="2"/>
      <c r="F146" s="2"/>
      <c r="G146" s="2"/>
      <c r="H146" s="2"/>
      <c r="I146" s="2"/>
    </row>
    <row r="147" spans="1:9" x14ac:dyDescent="0.25">
      <c r="C147" s="2"/>
      <c r="D147" s="2"/>
      <c r="E147" s="2"/>
      <c r="F147" s="2"/>
      <c r="G147" s="2"/>
      <c r="H147" s="2"/>
      <c r="I147" s="2"/>
    </row>
    <row r="148" spans="1:9" x14ac:dyDescent="0.25">
      <c r="A148" t="s">
        <v>1</v>
      </c>
      <c r="B148" t="s">
        <v>2</v>
      </c>
      <c r="C148" s="2" t="s">
        <v>6</v>
      </c>
      <c r="D148" s="2" t="s">
        <v>3</v>
      </c>
      <c r="E148" s="2"/>
      <c r="F148" s="2"/>
      <c r="G148" s="2"/>
      <c r="H148" s="2"/>
      <c r="I148" s="2"/>
    </row>
    <row r="149" spans="1:9" x14ac:dyDescent="0.25">
      <c r="A149" t="s">
        <v>4</v>
      </c>
      <c r="B149">
        <v>2007</v>
      </c>
      <c r="C149" s="2" t="s">
        <v>7</v>
      </c>
      <c r="D149" s="3">
        <v>1987966.1835</v>
      </c>
      <c r="E149" s="2"/>
      <c r="F149" s="2"/>
      <c r="G149" s="2"/>
      <c r="H149" s="2"/>
      <c r="I149" s="2"/>
    </row>
    <row r="150" spans="1:9" x14ac:dyDescent="0.25">
      <c r="A150" t="s">
        <v>4</v>
      </c>
      <c r="B150">
        <v>2008</v>
      </c>
      <c r="C150" s="2" t="s">
        <v>7</v>
      </c>
      <c r="D150" s="3">
        <v>1806555.4450000001</v>
      </c>
      <c r="E150" s="2"/>
      <c r="F150" s="2"/>
      <c r="G150" s="2"/>
      <c r="H150" s="2"/>
      <c r="I150" s="2"/>
    </row>
    <row r="151" spans="1:9" x14ac:dyDescent="0.25">
      <c r="A151" t="s">
        <v>4</v>
      </c>
      <c r="B151">
        <v>2016</v>
      </c>
      <c r="C151" s="2" t="s">
        <v>8</v>
      </c>
      <c r="D151" s="3">
        <v>4556908.9980999902</v>
      </c>
      <c r="E151" s="2"/>
      <c r="F151" s="2"/>
      <c r="G151" s="2"/>
      <c r="H151" s="2"/>
      <c r="I151" s="2"/>
    </row>
    <row r="152" spans="1:9" x14ac:dyDescent="0.25">
      <c r="A152" t="s">
        <v>4</v>
      </c>
      <c r="B152">
        <v>2016</v>
      </c>
      <c r="C152" s="2" t="s">
        <v>7</v>
      </c>
      <c r="D152" s="3">
        <v>1321992.2320000001</v>
      </c>
      <c r="E152" s="2"/>
      <c r="F152" s="2"/>
      <c r="G152" s="2"/>
      <c r="H152" s="2"/>
      <c r="I152" s="2"/>
    </row>
    <row r="153" spans="1:9" x14ac:dyDescent="0.25">
      <c r="A153" t="s">
        <v>4</v>
      </c>
      <c r="B153">
        <v>2017</v>
      </c>
      <c r="C153" s="2" t="s">
        <v>8</v>
      </c>
      <c r="D153" s="3">
        <v>4564879.6881999997</v>
      </c>
      <c r="E153" s="2"/>
      <c r="F153" s="2"/>
      <c r="G153" s="2"/>
      <c r="H153" s="2"/>
      <c r="I153" s="2"/>
    </row>
    <row r="154" spans="1:9" x14ac:dyDescent="0.25">
      <c r="A154" t="s">
        <v>4</v>
      </c>
      <c r="B154">
        <v>2018</v>
      </c>
      <c r="C154" s="2" t="s">
        <v>8</v>
      </c>
      <c r="D154" s="3">
        <v>4481343.0268999999</v>
      </c>
      <c r="E154" s="2"/>
      <c r="F154" s="2"/>
      <c r="G154" s="2"/>
      <c r="H154" s="2"/>
      <c r="I154" s="2"/>
    </row>
    <row r="155" spans="1:9" x14ac:dyDescent="0.25">
      <c r="A155" t="s">
        <v>4</v>
      </c>
      <c r="B155">
        <v>2018</v>
      </c>
      <c r="C155" s="2" t="s">
        <v>7</v>
      </c>
      <c r="D155" s="3">
        <v>1342650.5956999999</v>
      </c>
      <c r="E155" s="2"/>
      <c r="F155" s="2"/>
      <c r="G155" s="2"/>
      <c r="H155" s="2"/>
      <c r="I155" s="2"/>
    </row>
    <row r="156" spans="1:9" x14ac:dyDescent="0.25">
      <c r="A156" t="s">
        <v>4</v>
      </c>
      <c r="B156">
        <v>2019</v>
      </c>
      <c r="C156" s="2" t="s">
        <v>7</v>
      </c>
      <c r="D156" s="3">
        <v>2202624.1494999998</v>
      </c>
      <c r="E156" s="2"/>
      <c r="F156" s="2"/>
      <c r="G156" s="2"/>
      <c r="H156" s="2"/>
      <c r="I156" s="2"/>
    </row>
    <row r="157" spans="1:9" x14ac:dyDescent="0.25">
      <c r="A157" t="s">
        <v>4</v>
      </c>
      <c r="B157">
        <v>2020</v>
      </c>
      <c r="C157" s="2" t="s">
        <v>7</v>
      </c>
      <c r="D157" s="3">
        <v>1955904.4481194899</v>
      </c>
      <c r="E157" s="2"/>
      <c r="F157" s="2"/>
      <c r="G157" s="2"/>
      <c r="H157" s="2"/>
      <c r="I157" s="2"/>
    </row>
    <row r="158" spans="1:9" x14ac:dyDescent="0.25">
      <c r="A158" t="s">
        <v>4</v>
      </c>
      <c r="B158">
        <v>2021</v>
      </c>
      <c r="C158" s="2" t="s">
        <v>7</v>
      </c>
      <c r="D158" s="3">
        <v>2213507.8139778702</v>
      </c>
      <c r="E158" s="2"/>
      <c r="F158" s="2"/>
      <c r="G158" s="2"/>
      <c r="H158" s="2"/>
      <c r="I158" s="2"/>
    </row>
    <row r="159" spans="1:9" x14ac:dyDescent="0.25">
      <c r="A159" t="s">
        <v>4</v>
      </c>
      <c r="B159">
        <v>2022</v>
      </c>
      <c r="C159" s="2" t="s">
        <v>7</v>
      </c>
      <c r="D159" s="3">
        <v>2380373.9500732701</v>
      </c>
      <c r="E159" s="2"/>
      <c r="F159" s="2"/>
      <c r="G159" s="2"/>
      <c r="H159" s="2"/>
      <c r="I159" s="2"/>
    </row>
    <row r="160" spans="1:9" x14ac:dyDescent="0.25">
      <c r="A160" t="s">
        <v>4</v>
      </c>
      <c r="B160">
        <v>2023</v>
      </c>
      <c r="C160" s="2" t="s">
        <v>7</v>
      </c>
      <c r="D160" s="3">
        <v>2267966.75036107</v>
      </c>
      <c r="E160" s="2"/>
      <c r="F160" s="2"/>
      <c r="G160" s="2"/>
      <c r="H160" s="2"/>
      <c r="I160" s="2"/>
    </row>
    <row r="163" spans="1:9" x14ac:dyDescent="0.25">
      <c r="A163" s="1" t="s">
        <v>14</v>
      </c>
      <c r="C163" s="2"/>
      <c r="D163" s="2"/>
      <c r="E163" s="2"/>
      <c r="F163" s="2"/>
      <c r="G163" s="2"/>
      <c r="H163" s="2"/>
      <c r="I163" s="2"/>
    </row>
    <row r="164" spans="1:9" x14ac:dyDescent="0.25">
      <c r="C164" s="2"/>
      <c r="D164" s="2"/>
      <c r="E164" s="2"/>
      <c r="F164" s="2"/>
      <c r="G164" s="2"/>
      <c r="H164" s="2"/>
      <c r="I164" s="2"/>
    </row>
    <row r="165" spans="1:9" x14ac:dyDescent="0.25">
      <c r="A165" t="s">
        <v>1</v>
      </c>
      <c r="B165" t="s">
        <v>2</v>
      </c>
      <c r="C165" s="2" t="s">
        <v>3</v>
      </c>
      <c r="D165" s="2"/>
      <c r="E165" s="2"/>
      <c r="F165" s="2"/>
      <c r="G165" s="2"/>
      <c r="H165" s="2"/>
      <c r="I165" s="2"/>
    </row>
    <row r="166" spans="1:9" x14ac:dyDescent="0.25">
      <c r="A166" t="s">
        <v>4</v>
      </c>
      <c r="B166">
        <v>1990</v>
      </c>
      <c r="C166" s="3">
        <v>740.350234166066</v>
      </c>
      <c r="D166" s="2"/>
      <c r="E166" s="2"/>
      <c r="F166" s="2"/>
      <c r="G166" s="2"/>
      <c r="H166" s="2"/>
      <c r="I166" s="2"/>
    </row>
    <row r="167" spans="1:9" x14ac:dyDescent="0.25">
      <c r="A167" t="s">
        <v>4</v>
      </c>
      <c r="B167">
        <v>2000</v>
      </c>
      <c r="C167" s="3">
        <v>796.39957572011997</v>
      </c>
      <c r="D167" s="2"/>
      <c r="E167" s="2"/>
      <c r="F167" s="2"/>
      <c r="G167" s="2"/>
      <c r="H167" s="2"/>
      <c r="I167" s="2"/>
    </row>
    <row r="168" spans="1:9" x14ac:dyDescent="0.25">
      <c r="A168" t="s">
        <v>4</v>
      </c>
      <c r="B168">
        <v>2005</v>
      </c>
      <c r="C168" s="3">
        <v>797.01362808165402</v>
      </c>
      <c r="D168" s="2"/>
      <c r="E168" s="2"/>
      <c r="F168" s="2"/>
      <c r="G168" s="2"/>
      <c r="H168" s="2"/>
      <c r="I168" s="2"/>
    </row>
    <row r="169" spans="1:9" x14ac:dyDescent="0.25">
      <c r="A169" t="s">
        <v>4</v>
      </c>
      <c r="B169">
        <v>2006</v>
      </c>
      <c r="C169" s="3">
        <v>797.50794969086598</v>
      </c>
      <c r="D169" s="2"/>
      <c r="E169" s="2"/>
      <c r="F169" s="2"/>
      <c r="G169" s="2"/>
      <c r="H169" s="2"/>
      <c r="I169" s="2"/>
    </row>
    <row r="170" spans="1:9" x14ac:dyDescent="0.25">
      <c r="A170" t="s">
        <v>4</v>
      </c>
      <c r="B170">
        <v>2007</v>
      </c>
      <c r="C170" s="3">
        <v>778.22649753368296</v>
      </c>
      <c r="D170" s="2"/>
      <c r="E170" s="2"/>
      <c r="F170" s="2"/>
      <c r="G170" s="2"/>
      <c r="H170" s="2"/>
      <c r="I170" s="2"/>
    </row>
    <row r="171" spans="1:9" x14ac:dyDescent="0.25">
      <c r="A171" t="s">
        <v>4</v>
      </c>
      <c r="B171">
        <v>2008</v>
      </c>
      <c r="C171" s="3">
        <v>772.91335725408806</v>
      </c>
      <c r="D171" s="2"/>
      <c r="E171" s="2"/>
      <c r="F171" s="2"/>
      <c r="G171" s="2"/>
      <c r="H171" s="2"/>
      <c r="I171" s="2"/>
    </row>
    <row r="172" spans="1:9" x14ac:dyDescent="0.25">
      <c r="A172" t="s">
        <v>4</v>
      </c>
      <c r="B172">
        <v>2009</v>
      </c>
      <c r="C172" s="3">
        <v>781.60009129514799</v>
      </c>
      <c r="D172" s="2"/>
      <c r="E172" s="2"/>
      <c r="F172" s="2"/>
      <c r="G172" s="2"/>
      <c r="H172" s="2"/>
      <c r="I172" s="2"/>
    </row>
    <row r="173" spans="1:9" x14ac:dyDescent="0.25">
      <c r="A173" t="s">
        <v>4</v>
      </c>
      <c r="B173">
        <v>2010</v>
      </c>
      <c r="C173" s="3">
        <v>784.88785963542796</v>
      </c>
      <c r="D173" s="2"/>
      <c r="E173" s="2"/>
      <c r="F173" s="2"/>
      <c r="G173" s="2"/>
      <c r="H173" s="2"/>
      <c r="I173" s="2"/>
    </row>
    <row r="174" spans="1:9" x14ac:dyDescent="0.25">
      <c r="A174" t="s">
        <v>4</v>
      </c>
      <c r="B174">
        <v>2011</v>
      </c>
      <c r="C174" s="3">
        <v>779.67999638132699</v>
      </c>
      <c r="D174" s="2"/>
      <c r="E174" s="2"/>
      <c r="F174" s="2"/>
      <c r="G174" s="2"/>
      <c r="H174" s="2"/>
      <c r="I174" s="2"/>
    </row>
    <row r="175" spans="1:9" x14ac:dyDescent="0.25">
      <c r="A175" t="s">
        <v>4</v>
      </c>
      <c r="B175">
        <v>2012</v>
      </c>
      <c r="C175" s="3">
        <v>779.12870604516502</v>
      </c>
      <c r="D175" s="2"/>
      <c r="E175" s="2"/>
      <c r="F175" s="2"/>
      <c r="G175" s="2"/>
      <c r="H175" s="2"/>
      <c r="I175" s="2"/>
    </row>
    <row r="176" spans="1:9" x14ac:dyDescent="0.25">
      <c r="A176" t="s">
        <v>4</v>
      </c>
      <c r="B176">
        <v>2013</v>
      </c>
      <c r="C176" s="3">
        <v>772.88269971556394</v>
      </c>
      <c r="D176" s="2"/>
      <c r="E176" s="2"/>
      <c r="F176" s="2"/>
      <c r="G176" s="2"/>
      <c r="H176" s="2"/>
      <c r="I176" s="2"/>
    </row>
    <row r="177" spans="1:9" x14ac:dyDescent="0.25">
      <c r="A177" t="s">
        <v>4</v>
      </c>
      <c r="B177">
        <v>2014</v>
      </c>
      <c r="C177" s="3">
        <v>776.25581453822895</v>
      </c>
      <c r="D177" s="2"/>
      <c r="E177" s="2"/>
      <c r="F177" s="2"/>
      <c r="G177" s="2"/>
      <c r="H177" s="2"/>
      <c r="I177" s="2"/>
    </row>
    <row r="178" spans="1:9" x14ac:dyDescent="0.25">
      <c r="A178" t="s">
        <v>4</v>
      </c>
      <c r="B178">
        <v>2015</v>
      </c>
      <c r="C178" s="3">
        <v>782.90594257637304</v>
      </c>
      <c r="D178" s="2"/>
      <c r="E178" s="2"/>
      <c r="F178" s="2"/>
      <c r="G178" s="2"/>
      <c r="H178" s="2"/>
      <c r="I178" s="2"/>
    </row>
    <row r="179" spans="1:9" x14ac:dyDescent="0.25">
      <c r="A179" t="s">
        <v>4</v>
      </c>
      <c r="B179">
        <v>2016</v>
      </c>
      <c r="C179" s="3">
        <v>803.36550311641099</v>
      </c>
      <c r="D179" s="2"/>
      <c r="E179" s="2"/>
      <c r="F179" s="2"/>
      <c r="G179" s="2"/>
      <c r="H179" s="2"/>
      <c r="I179" s="2"/>
    </row>
    <row r="180" spans="1:9" x14ac:dyDescent="0.25">
      <c r="A180" t="s">
        <v>4</v>
      </c>
      <c r="B180">
        <v>2017</v>
      </c>
      <c r="C180" s="3">
        <v>785.50014250499396</v>
      </c>
      <c r="D180" s="2"/>
      <c r="E180" s="2"/>
      <c r="F180" s="2"/>
      <c r="G180" s="2"/>
      <c r="H180" s="2"/>
      <c r="I180" s="2"/>
    </row>
    <row r="181" spans="1:9" x14ac:dyDescent="0.25">
      <c r="A181" t="s">
        <v>4</v>
      </c>
      <c r="B181">
        <v>2018</v>
      </c>
      <c r="C181" s="3">
        <v>780.35156005434806</v>
      </c>
      <c r="D181" s="2"/>
      <c r="E181" s="2"/>
      <c r="F181" s="2"/>
      <c r="G181" s="2"/>
      <c r="H181" s="2"/>
      <c r="I181" s="2"/>
    </row>
    <row r="182" spans="1:9" x14ac:dyDescent="0.25">
      <c r="A182" t="s">
        <v>4</v>
      </c>
      <c r="B182">
        <v>2019</v>
      </c>
      <c r="C182" s="3">
        <v>763.68926768940798</v>
      </c>
      <c r="D182" s="2"/>
      <c r="E182" s="2"/>
      <c r="F182" s="2"/>
      <c r="G182" s="2"/>
      <c r="H182" s="2"/>
      <c r="I182" s="2"/>
    </row>
    <row r="183" spans="1:9" x14ac:dyDescent="0.25">
      <c r="A183" t="s">
        <v>4</v>
      </c>
      <c r="B183">
        <v>2020</v>
      </c>
      <c r="C183" s="3">
        <v>760.637060794479</v>
      </c>
      <c r="D183" s="2"/>
      <c r="E183" s="2"/>
      <c r="F183" s="2"/>
      <c r="G183" s="2"/>
      <c r="H183" s="2"/>
      <c r="I183" s="2"/>
    </row>
    <row r="184" spans="1:9" x14ac:dyDescent="0.25">
      <c r="A184" t="s">
        <v>4</v>
      </c>
      <c r="B184">
        <v>2021</v>
      </c>
      <c r="C184" s="3">
        <v>737.44821050421399</v>
      </c>
      <c r="D184" s="2"/>
      <c r="E184" s="2"/>
      <c r="F184" s="2"/>
      <c r="G184" s="2"/>
      <c r="H184" s="2"/>
      <c r="I184" s="2"/>
    </row>
    <row r="185" spans="1:9" x14ac:dyDescent="0.25">
      <c r="A185" t="s">
        <v>4</v>
      </c>
      <c r="B185">
        <v>2022</v>
      </c>
      <c r="C185" s="3">
        <v>744.85422115074596</v>
      </c>
      <c r="D185" s="2"/>
      <c r="E185" s="2"/>
      <c r="F185" s="2"/>
      <c r="G185" s="2"/>
      <c r="H185" s="2"/>
      <c r="I185" s="2"/>
    </row>
    <row r="186" spans="1:9" x14ac:dyDescent="0.25">
      <c r="A186" t="s">
        <v>4</v>
      </c>
      <c r="B186">
        <v>2023</v>
      </c>
      <c r="C186" s="3">
        <v>746.72663538914799</v>
      </c>
      <c r="D186" s="2"/>
      <c r="E186" s="2"/>
      <c r="F186" s="2"/>
      <c r="G186" s="2"/>
      <c r="H186" s="2"/>
      <c r="I186" s="2"/>
    </row>
    <row r="187" spans="1:9" x14ac:dyDescent="0.25">
      <c r="C187" s="2"/>
      <c r="D187" s="2"/>
      <c r="E187" s="2"/>
      <c r="F187" s="2"/>
      <c r="G187" s="2"/>
      <c r="H187" s="2"/>
      <c r="I187" s="2"/>
    </row>
    <row r="188" spans="1:9" x14ac:dyDescent="0.25">
      <c r="C188" s="2"/>
      <c r="D188" s="2"/>
      <c r="E188" s="2"/>
      <c r="F188" s="2"/>
      <c r="G188" s="2"/>
      <c r="H188" s="2"/>
      <c r="I188" s="2"/>
    </row>
    <row r="189" spans="1:9" x14ac:dyDescent="0.25">
      <c r="A189" s="1" t="s">
        <v>15</v>
      </c>
      <c r="C189" s="2"/>
      <c r="D189" s="2"/>
      <c r="E189" s="2"/>
      <c r="F189" s="2"/>
      <c r="G189" s="2"/>
      <c r="H189" s="2"/>
      <c r="I189" s="2"/>
    </row>
    <row r="190" spans="1:9" x14ac:dyDescent="0.25">
      <c r="C190" s="2"/>
      <c r="D190" s="2"/>
      <c r="E190" s="2"/>
      <c r="F190" s="2"/>
      <c r="G190" s="2"/>
      <c r="H190" s="2"/>
      <c r="I190" s="2"/>
    </row>
    <row r="191" spans="1:9" x14ac:dyDescent="0.25">
      <c r="A191" t="s">
        <v>1</v>
      </c>
      <c r="B191" t="s">
        <v>2</v>
      </c>
      <c r="C191" s="2" t="s">
        <v>3</v>
      </c>
      <c r="D191" s="2"/>
      <c r="E191" s="2"/>
      <c r="F191" s="2"/>
      <c r="G191" s="2"/>
      <c r="H191" s="2"/>
      <c r="I191" s="2"/>
    </row>
    <row r="192" spans="1:9" x14ac:dyDescent="0.25">
      <c r="A192" t="s">
        <v>4</v>
      </c>
      <c r="B192">
        <v>1990</v>
      </c>
      <c r="C192" s="3">
        <v>612.05245351068595</v>
      </c>
      <c r="D192" s="2"/>
      <c r="E192" s="2"/>
      <c r="F192" s="2"/>
      <c r="G192" s="2"/>
      <c r="H192" s="2"/>
      <c r="I192" s="2"/>
    </row>
    <row r="193" spans="1:9" x14ac:dyDescent="0.25">
      <c r="A193" t="s">
        <v>4</v>
      </c>
      <c r="B193">
        <v>2000</v>
      </c>
      <c r="C193" s="3">
        <v>614.48506282800599</v>
      </c>
      <c r="D193" s="2"/>
      <c r="E193" s="2"/>
      <c r="F193" s="2"/>
      <c r="G193" s="2"/>
      <c r="H193" s="2"/>
      <c r="I193" s="2"/>
    </row>
    <row r="194" spans="1:9" x14ac:dyDescent="0.25">
      <c r="A194" t="s">
        <v>4</v>
      </c>
      <c r="B194">
        <v>2005</v>
      </c>
      <c r="C194" s="3">
        <v>598.69613855393197</v>
      </c>
      <c r="D194" s="2"/>
      <c r="E194" s="2"/>
      <c r="F194" s="2"/>
      <c r="G194" s="2"/>
      <c r="H194" s="2"/>
      <c r="I194" s="2"/>
    </row>
    <row r="195" spans="1:9" x14ac:dyDescent="0.25">
      <c r="A195" t="s">
        <v>4</v>
      </c>
      <c r="B195">
        <v>2006</v>
      </c>
      <c r="C195" s="3">
        <v>587.53548005217897</v>
      </c>
      <c r="D195" s="2"/>
      <c r="E195" s="2"/>
      <c r="F195" s="2"/>
      <c r="G195" s="2"/>
      <c r="H195" s="2"/>
      <c r="I195" s="2"/>
    </row>
    <row r="196" spans="1:9" x14ac:dyDescent="0.25">
      <c r="A196" t="s">
        <v>4</v>
      </c>
      <c r="B196">
        <v>2007</v>
      </c>
      <c r="C196" s="3">
        <v>580.83883845685295</v>
      </c>
      <c r="D196" s="2"/>
      <c r="E196" s="2"/>
      <c r="F196" s="2"/>
      <c r="G196" s="2"/>
      <c r="H196" s="2"/>
      <c r="I196" s="2"/>
    </row>
    <row r="197" spans="1:9" x14ac:dyDescent="0.25">
      <c r="A197" t="s">
        <v>4</v>
      </c>
      <c r="B197">
        <v>2008</v>
      </c>
      <c r="C197" s="3">
        <v>575.77094261057505</v>
      </c>
      <c r="D197" s="2"/>
      <c r="E197" s="2"/>
      <c r="F197" s="2"/>
      <c r="G197" s="2"/>
      <c r="H197" s="2"/>
      <c r="I197" s="2"/>
    </row>
    <row r="198" spans="1:9" x14ac:dyDescent="0.25">
      <c r="A198" t="s">
        <v>4</v>
      </c>
      <c r="B198">
        <v>2009</v>
      </c>
      <c r="C198" s="3">
        <v>577.50056039729702</v>
      </c>
      <c r="D198" s="2"/>
      <c r="E198" s="2"/>
      <c r="F198" s="2"/>
      <c r="G198" s="2"/>
      <c r="H198" s="2"/>
      <c r="I198" s="2"/>
    </row>
    <row r="199" spans="1:9" x14ac:dyDescent="0.25">
      <c r="A199" t="s">
        <v>4</v>
      </c>
      <c r="B199">
        <v>2010</v>
      </c>
      <c r="C199" s="3">
        <v>575.17616683691494</v>
      </c>
      <c r="D199" s="2"/>
      <c r="E199" s="2"/>
      <c r="F199" s="2"/>
      <c r="G199" s="2"/>
      <c r="H199" s="2"/>
      <c r="I199" s="2"/>
    </row>
    <row r="200" spans="1:9" x14ac:dyDescent="0.25">
      <c r="A200" t="s">
        <v>4</v>
      </c>
      <c r="B200">
        <v>2011</v>
      </c>
      <c r="C200" s="3">
        <v>559.28893466058298</v>
      </c>
      <c r="D200" s="2"/>
      <c r="E200" s="2"/>
      <c r="F200" s="2"/>
      <c r="G200" s="2"/>
      <c r="H200" s="2"/>
      <c r="I200" s="2"/>
    </row>
    <row r="201" spans="1:9" x14ac:dyDescent="0.25">
      <c r="A201" t="s">
        <v>4</v>
      </c>
      <c r="B201">
        <v>2012</v>
      </c>
      <c r="C201" s="3">
        <v>576.45062881403896</v>
      </c>
      <c r="D201" s="2"/>
      <c r="E201" s="2"/>
      <c r="F201" s="2"/>
      <c r="G201" s="2"/>
      <c r="H201" s="2"/>
      <c r="I201" s="2"/>
    </row>
    <row r="202" spans="1:9" x14ac:dyDescent="0.25">
      <c r="A202" t="s">
        <v>4</v>
      </c>
      <c r="B202">
        <v>2013</v>
      </c>
      <c r="C202" s="3">
        <v>534.87390145236998</v>
      </c>
      <c r="D202" s="2"/>
      <c r="E202" s="2"/>
      <c r="F202" s="2"/>
      <c r="G202" s="2"/>
      <c r="H202" s="2"/>
      <c r="I202" s="2"/>
    </row>
    <row r="203" spans="1:9" x14ac:dyDescent="0.25">
      <c r="A203" t="s">
        <v>4</v>
      </c>
      <c r="B203">
        <v>2014</v>
      </c>
      <c r="C203" s="3">
        <v>532.47150514522798</v>
      </c>
      <c r="D203" s="2"/>
      <c r="E203" s="2"/>
      <c r="F203" s="2"/>
      <c r="G203" s="2"/>
      <c r="H203" s="2"/>
      <c r="I203" s="2"/>
    </row>
    <row r="204" spans="1:9" x14ac:dyDescent="0.25">
      <c r="A204" t="s">
        <v>4</v>
      </c>
      <c r="B204">
        <v>2015</v>
      </c>
      <c r="C204" s="3">
        <v>524.16842376590898</v>
      </c>
      <c r="D204" s="2"/>
      <c r="E204" s="2"/>
      <c r="F204" s="2"/>
      <c r="G204" s="2"/>
      <c r="H204" s="2"/>
      <c r="I204" s="2"/>
    </row>
    <row r="205" spans="1:9" x14ac:dyDescent="0.25">
      <c r="A205" t="s">
        <v>4</v>
      </c>
      <c r="B205">
        <v>2016</v>
      </c>
      <c r="C205" s="3">
        <v>542.13740612024606</v>
      </c>
      <c r="D205" s="2"/>
      <c r="E205" s="2"/>
      <c r="F205" s="2"/>
      <c r="G205" s="2"/>
      <c r="H205" s="2"/>
      <c r="I205" s="2"/>
    </row>
    <row r="206" spans="1:9" x14ac:dyDescent="0.25">
      <c r="A206" t="s">
        <v>4</v>
      </c>
      <c r="B206">
        <v>2017</v>
      </c>
      <c r="C206" s="3">
        <v>517.11415199928797</v>
      </c>
      <c r="D206" s="2"/>
      <c r="E206" s="2"/>
      <c r="F206" s="2"/>
      <c r="G206" s="2"/>
      <c r="H206" s="2"/>
      <c r="I206" s="2"/>
    </row>
    <row r="207" spans="1:9" x14ac:dyDescent="0.25">
      <c r="A207" t="s">
        <v>4</v>
      </c>
      <c r="B207">
        <v>2018</v>
      </c>
      <c r="C207" s="3">
        <v>516.36061312883396</v>
      </c>
      <c r="D207" s="2"/>
      <c r="E207" s="2"/>
      <c r="F207" s="2"/>
      <c r="G207" s="2"/>
      <c r="H207" s="2"/>
      <c r="I207" s="2"/>
    </row>
    <row r="208" spans="1:9" x14ac:dyDescent="0.25">
      <c r="A208" t="s">
        <v>4</v>
      </c>
      <c r="B208">
        <v>2019</v>
      </c>
      <c r="C208" s="3">
        <v>518.89617384667304</v>
      </c>
      <c r="D208" s="2"/>
      <c r="E208" s="2"/>
      <c r="F208" s="2"/>
      <c r="G208" s="2"/>
      <c r="H208" s="2"/>
      <c r="I208" s="2"/>
    </row>
    <row r="209" spans="1:9" x14ac:dyDescent="0.25">
      <c r="A209" t="s">
        <v>4</v>
      </c>
      <c r="B209">
        <v>2020</v>
      </c>
      <c r="C209" s="3">
        <v>497.20745187435199</v>
      </c>
      <c r="D209" s="2"/>
      <c r="E209" s="2"/>
      <c r="F209" s="2"/>
      <c r="G209" s="2"/>
      <c r="H209" s="2"/>
      <c r="I209" s="2"/>
    </row>
    <row r="210" spans="1:9" x14ac:dyDescent="0.25">
      <c r="A210" t="s">
        <v>4</v>
      </c>
      <c r="B210">
        <v>2021</v>
      </c>
      <c r="C210" s="3">
        <v>497.46118380507698</v>
      </c>
      <c r="D210" s="2"/>
      <c r="E210" s="2"/>
      <c r="F210" s="2"/>
      <c r="G210" s="2"/>
      <c r="H210" s="2"/>
      <c r="I210" s="2"/>
    </row>
    <row r="211" spans="1:9" x14ac:dyDescent="0.25">
      <c r="A211" t="s">
        <v>4</v>
      </c>
      <c r="B211">
        <v>2022</v>
      </c>
      <c r="C211" s="3">
        <v>515.98180285144304</v>
      </c>
      <c r="D211" s="2"/>
      <c r="E211" s="2"/>
      <c r="F211" s="2"/>
      <c r="G211" s="2"/>
      <c r="H211" s="2"/>
      <c r="I211" s="2"/>
    </row>
    <row r="212" spans="1:9" x14ac:dyDescent="0.25">
      <c r="A212" t="s">
        <v>4</v>
      </c>
      <c r="B212">
        <v>2023</v>
      </c>
      <c r="C212" s="3">
        <v>495.20988800412601</v>
      </c>
      <c r="D212" s="2"/>
      <c r="E212" s="2"/>
      <c r="F212" s="2"/>
      <c r="G212" s="2"/>
      <c r="H212" s="2"/>
      <c r="I212" s="2"/>
    </row>
    <row r="213" spans="1:9" x14ac:dyDescent="0.25">
      <c r="C213" s="2"/>
      <c r="D213" s="2"/>
      <c r="E213" s="2"/>
      <c r="F213" s="2"/>
      <c r="G213" s="2"/>
      <c r="H213" s="2"/>
      <c r="I213" s="2"/>
    </row>
    <row r="214" spans="1:9" x14ac:dyDescent="0.25">
      <c r="C214" s="2"/>
      <c r="D214" s="2"/>
      <c r="E214" s="2"/>
      <c r="F214" s="2"/>
      <c r="G214" s="2"/>
      <c r="H214" s="2"/>
      <c r="I214" s="2"/>
    </row>
    <row r="215" spans="1:9" x14ac:dyDescent="0.25">
      <c r="A215" s="1" t="s">
        <v>16</v>
      </c>
      <c r="C215" s="2"/>
      <c r="D215" s="2"/>
      <c r="E215" s="2"/>
      <c r="F215" s="2"/>
      <c r="G215" s="2"/>
      <c r="H215" s="2"/>
      <c r="I215" s="2"/>
    </row>
    <row r="216" spans="1:9" x14ac:dyDescent="0.25">
      <c r="C216" s="2"/>
      <c r="D216" s="2"/>
      <c r="E216" s="2"/>
      <c r="F216" s="2"/>
      <c r="G216" s="2"/>
      <c r="H216" s="2"/>
      <c r="I216" s="2"/>
    </row>
    <row r="217" spans="1:9" x14ac:dyDescent="0.25">
      <c r="A217" t="s">
        <v>1</v>
      </c>
      <c r="B217" t="s">
        <v>2</v>
      </c>
      <c r="C217" s="2" t="s">
        <v>3</v>
      </c>
      <c r="D217" s="2"/>
      <c r="E217" s="2"/>
      <c r="F217" s="2"/>
      <c r="G217" s="2"/>
      <c r="H217" s="2"/>
      <c r="I217" s="2"/>
    </row>
    <row r="218" spans="1:9" x14ac:dyDescent="0.25">
      <c r="A218" t="s">
        <v>4</v>
      </c>
      <c r="B218">
        <v>2012</v>
      </c>
      <c r="C218" s="3">
        <v>570.97373891504299</v>
      </c>
      <c r="D218" s="2"/>
      <c r="E218" s="2"/>
      <c r="F218" s="2"/>
      <c r="G218" s="2"/>
      <c r="H218" s="2"/>
      <c r="I218" s="2"/>
    </row>
    <row r="219" spans="1:9" x14ac:dyDescent="0.25">
      <c r="A219" t="s">
        <v>4</v>
      </c>
      <c r="B219">
        <v>2013</v>
      </c>
      <c r="C219" s="3">
        <v>560.23252208313897</v>
      </c>
      <c r="D219" s="2"/>
      <c r="E219" s="2"/>
      <c r="F219" s="2"/>
      <c r="G219" s="2"/>
      <c r="H219" s="2"/>
      <c r="I219" s="2"/>
    </row>
    <row r="220" spans="1:9" x14ac:dyDescent="0.25">
      <c r="A220" t="s">
        <v>4</v>
      </c>
      <c r="B220">
        <v>2014</v>
      </c>
      <c r="C220" s="3">
        <v>562.74541967044104</v>
      </c>
      <c r="D220" s="2"/>
      <c r="E220" s="2"/>
      <c r="F220" s="2"/>
      <c r="G220" s="2"/>
      <c r="H220" s="2"/>
      <c r="I220" s="2"/>
    </row>
    <row r="221" spans="1:9" x14ac:dyDescent="0.25">
      <c r="A221" t="s">
        <v>4</v>
      </c>
      <c r="B221">
        <v>2015</v>
      </c>
      <c r="C221" s="3">
        <v>562.99776246586202</v>
      </c>
      <c r="D221" s="2"/>
      <c r="E221" s="2"/>
      <c r="F221" s="2"/>
      <c r="G221" s="2"/>
      <c r="H221" s="2"/>
      <c r="I221" s="2"/>
    </row>
    <row r="222" spans="1:9" x14ac:dyDescent="0.25">
      <c r="A222" t="s">
        <v>4</v>
      </c>
      <c r="B222">
        <v>2016</v>
      </c>
      <c r="C222" s="3">
        <v>589.088038824043</v>
      </c>
      <c r="D222" s="2"/>
      <c r="E222" s="2"/>
      <c r="F222" s="2"/>
      <c r="G222" s="2"/>
      <c r="H222" s="2"/>
      <c r="I222" s="2"/>
    </row>
    <row r="223" spans="1:9" x14ac:dyDescent="0.25">
      <c r="A223" t="s">
        <v>4</v>
      </c>
      <c r="B223">
        <v>2017</v>
      </c>
      <c r="C223" s="3">
        <v>580.527565873188</v>
      </c>
      <c r="D223" s="2"/>
      <c r="E223" s="2"/>
      <c r="F223" s="2"/>
      <c r="G223" s="2"/>
      <c r="H223" s="2"/>
      <c r="I223" s="2"/>
    </row>
    <row r="224" spans="1:9" x14ac:dyDescent="0.25">
      <c r="A224" t="s">
        <v>4</v>
      </c>
      <c r="B224">
        <v>2018</v>
      </c>
      <c r="C224" s="3">
        <v>574.23400657747698</v>
      </c>
      <c r="D224" s="2"/>
      <c r="E224" s="2"/>
      <c r="F224" s="2"/>
      <c r="G224" s="2"/>
      <c r="H224" s="2"/>
      <c r="I224" s="2"/>
    </row>
    <row r="225" spans="1:9" x14ac:dyDescent="0.25">
      <c r="A225" t="s">
        <v>4</v>
      </c>
      <c r="B225">
        <v>2019</v>
      </c>
      <c r="C225" s="3">
        <v>555.11278456844002</v>
      </c>
      <c r="D225" s="2"/>
      <c r="E225" s="2"/>
      <c r="F225" s="2"/>
      <c r="G225" s="2"/>
      <c r="H225" s="2"/>
      <c r="I225" s="2"/>
    </row>
    <row r="226" spans="1:9" x14ac:dyDescent="0.25">
      <c r="A226" t="s">
        <v>4</v>
      </c>
      <c r="B226">
        <v>2020</v>
      </c>
      <c r="C226" s="3">
        <v>557.167245691738</v>
      </c>
      <c r="D226" s="2"/>
      <c r="E226" s="2"/>
      <c r="F226" s="2"/>
      <c r="G226" s="2"/>
      <c r="H226" s="2"/>
      <c r="I226" s="2"/>
    </row>
    <row r="227" spans="1:9" x14ac:dyDescent="0.25">
      <c r="A227" t="s">
        <v>4</v>
      </c>
      <c r="B227">
        <v>2021</v>
      </c>
      <c r="C227" s="3">
        <v>549.70033002258594</v>
      </c>
      <c r="D227" s="2"/>
      <c r="E227" s="2"/>
      <c r="F227" s="2"/>
      <c r="G227" s="2"/>
      <c r="H227" s="2"/>
      <c r="I227" s="2"/>
    </row>
    <row r="228" spans="1:9" x14ac:dyDescent="0.25">
      <c r="A228" t="s">
        <v>4</v>
      </c>
      <c r="B228">
        <v>2022</v>
      </c>
      <c r="C228" s="3">
        <v>527.34866251344101</v>
      </c>
      <c r="D228" s="2"/>
      <c r="E228" s="2"/>
      <c r="F228" s="2"/>
      <c r="G228" s="2"/>
      <c r="H228" s="2"/>
      <c r="I228" s="2"/>
    </row>
    <row r="229" spans="1:9" x14ac:dyDescent="0.25">
      <c r="A229" t="s">
        <v>4</v>
      </c>
      <c r="B229">
        <v>2023</v>
      </c>
      <c r="C229" s="3">
        <v>526.41829290580904</v>
      </c>
      <c r="D229" s="2"/>
      <c r="E229" s="2"/>
      <c r="F229" s="2"/>
      <c r="G229" s="2"/>
      <c r="H229" s="2"/>
      <c r="I229" s="2"/>
    </row>
    <row r="232" spans="1:9" x14ac:dyDescent="0.25">
      <c r="A232" s="1" t="s">
        <v>17</v>
      </c>
      <c r="C232" s="2"/>
      <c r="D232" s="2"/>
      <c r="E232" s="2"/>
      <c r="F232" s="2"/>
      <c r="G232" s="2"/>
      <c r="H232" s="2"/>
      <c r="I232" s="2"/>
    </row>
    <row r="233" spans="1:9" x14ac:dyDescent="0.25">
      <c r="A233" s="1"/>
      <c r="C233" s="2"/>
      <c r="D233" s="2"/>
      <c r="E233" s="2"/>
      <c r="F233" s="2"/>
      <c r="G233" s="2"/>
      <c r="H233" s="2"/>
      <c r="I233" s="2"/>
    </row>
    <row r="234" spans="1:9" x14ac:dyDescent="0.25">
      <c r="A234" s="5" t="s">
        <v>1</v>
      </c>
      <c r="B234" t="s">
        <v>2</v>
      </c>
      <c r="C234" s="2" t="s">
        <v>6</v>
      </c>
      <c r="D234" s="2" t="s">
        <v>3</v>
      </c>
      <c r="E234" s="2"/>
      <c r="F234" s="2"/>
      <c r="G234" s="2"/>
      <c r="H234" s="2"/>
      <c r="I234" s="2"/>
    </row>
    <row r="235" spans="1:9" x14ac:dyDescent="0.25">
      <c r="A235" s="6" t="s">
        <v>4</v>
      </c>
      <c r="B235">
        <v>2016</v>
      </c>
      <c r="C235" s="2" t="s">
        <v>8</v>
      </c>
      <c r="D235" s="2">
        <v>807.07541728943204</v>
      </c>
      <c r="E235" s="2"/>
      <c r="F235" s="2"/>
      <c r="G235" s="2"/>
      <c r="H235" s="2"/>
      <c r="I235" s="2"/>
    </row>
    <row r="236" spans="1:9" x14ac:dyDescent="0.25">
      <c r="A236" s="6" t="s">
        <v>4</v>
      </c>
      <c r="B236">
        <v>2016</v>
      </c>
      <c r="C236" s="2" t="s">
        <v>7</v>
      </c>
      <c r="D236" s="2">
        <v>781.89275045979502</v>
      </c>
      <c r="E236" s="2"/>
      <c r="F236" s="2"/>
      <c r="G236" s="2"/>
      <c r="H236" s="2"/>
      <c r="I236" s="2"/>
    </row>
    <row r="237" spans="1:9" x14ac:dyDescent="0.25">
      <c r="A237" s="6" t="s">
        <v>4</v>
      </c>
      <c r="B237">
        <v>2017</v>
      </c>
      <c r="C237" s="2" t="s">
        <v>8</v>
      </c>
      <c r="D237" s="2">
        <v>781.798801398705</v>
      </c>
      <c r="E237" s="2"/>
      <c r="F237" s="2"/>
      <c r="G237" s="2"/>
      <c r="H237" s="2"/>
      <c r="I237" s="2"/>
    </row>
    <row r="238" spans="1:9" x14ac:dyDescent="0.25">
      <c r="A238" s="6" t="s">
        <v>4</v>
      </c>
      <c r="B238">
        <v>2018</v>
      </c>
      <c r="C238" s="2" t="s">
        <v>8</v>
      </c>
      <c r="D238" s="2">
        <v>782.20160404588501</v>
      </c>
      <c r="E238" s="2"/>
      <c r="F238" s="2"/>
      <c r="G238" s="2"/>
      <c r="H238" s="2"/>
      <c r="I238" s="2"/>
    </row>
    <row r="239" spans="1:9" x14ac:dyDescent="0.25">
      <c r="A239" s="6" t="s">
        <v>4</v>
      </c>
      <c r="B239">
        <v>2018</v>
      </c>
      <c r="C239" s="2" t="s">
        <v>7</v>
      </c>
      <c r="D239" s="2">
        <v>772.79965176255405</v>
      </c>
      <c r="E239" s="2"/>
      <c r="F239" s="2"/>
      <c r="G239" s="2"/>
      <c r="H239" s="2"/>
      <c r="I239" s="2"/>
    </row>
    <row r="240" spans="1:9" x14ac:dyDescent="0.25">
      <c r="A240" s="6" t="s">
        <v>4</v>
      </c>
      <c r="B240">
        <v>2019</v>
      </c>
      <c r="C240" s="2" t="s">
        <v>7</v>
      </c>
      <c r="D240" s="2">
        <v>794.60658113831505</v>
      </c>
      <c r="E240" s="2"/>
      <c r="F240" s="2"/>
      <c r="G240" s="2"/>
      <c r="H240" s="2"/>
      <c r="I240" s="2"/>
    </row>
    <row r="241" spans="1:9" x14ac:dyDescent="0.25">
      <c r="A241" s="6" t="s">
        <v>4</v>
      </c>
      <c r="B241">
        <v>2020</v>
      </c>
      <c r="C241" s="2" t="s">
        <v>7</v>
      </c>
      <c r="D241" s="2">
        <v>783.68391095534503</v>
      </c>
      <c r="E241" s="2"/>
      <c r="F241" s="2"/>
      <c r="G241" s="2"/>
      <c r="H241" s="2"/>
      <c r="I241" s="2"/>
    </row>
    <row r="242" spans="1:9" x14ac:dyDescent="0.25">
      <c r="A242" s="6" t="s">
        <v>4</v>
      </c>
      <c r="B242">
        <v>2021</v>
      </c>
      <c r="C242" s="2" t="s">
        <v>7</v>
      </c>
      <c r="D242" s="2">
        <v>731.21386417739302</v>
      </c>
      <c r="E242" s="2"/>
      <c r="F242" s="2"/>
      <c r="G242" s="2"/>
      <c r="H242" s="2"/>
      <c r="I242" s="2"/>
    </row>
    <row r="243" spans="1:9" x14ac:dyDescent="0.25">
      <c r="A243" s="6" t="s">
        <v>4</v>
      </c>
      <c r="B243">
        <v>2022</v>
      </c>
      <c r="C243" s="2" t="s">
        <v>7</v>
      </c>
      <c r="D243" s="2">
        <v>762.60380979423496</v>
      </c>
      <c r="E243" s="2"/>
      <c r="F243" s="2"/>
      <c r="G243" s="2"/>
      <c r="H243" s="2"/>
      <c r="I243" s="2"/>
    </row>
    <row r="244" spans="1:9" x14ac:dyDescent="0.25">
      <c r="A244" s="6" t="s">
        <v>4</v>
      </c>
      <c r="B244">
        <v>2023</v>
      </c>
      <c r="C244" s="2" t="s">
        <v>7</v>
      </c>
      <c r="D244" s="2">
        <v>759.02579906660606</v>
      </c>
      <c r="E244" s="2"/>
      <c r="F244" s="2"/>
      <c r="G244" s="2"/>
      <c r="H244" s="2"/>
      <c r="I244" s="2"/>
    </row>
    <row r="247" spans="1:9" x14ac:dyDescent="0.25">
      <c r="A247" s="1" t="s">
        <v>18</v>
      </c>
      <c r="C247" s="2"/>
      <c r="D247" s="2"/>
      <c r="E247" s="2"/>
      <c r="F247" s="2"/>
      <c r="G247" s="2"/>
      <c r="H247" s="2"/>
      <c r="I247" s="2"/>
    </row>
    <row r="248" spans="1:9" x14ac:dyDescent="0.25">
      <c r="C248" s="2"/>
      <c r="D248" s="2"/>
      <c r="E248" s="2"/>
      <c r="F248" s="2"/>
      <c r="G248" s="2"/>
      <c r="H248" s="2"/>
      <c r="I248" s="2"/>
    </row>
    <row r="249" spans="1:9" x14ac:dyDescent="0.25">
      <c r="A249" t="s">
        <v>1</v>
      </c>
      <c r="B249" t="s">
        <v>2</v>
      </c>
      <c r="C249" s="2" t="s">
        <v>3</v>
      </c>
      <c r="D249" s="2"/>
      <c r="E249" s="2"/>
      <c r="F249" s="2"/>
      <c r="G249" s="2"/>
      <c r="H249" s="2"/>
      <c r="I249" s="2"/>
    </row>
    <row r="250" spans="1:9" x14ac:dyDescent="0.25">
      <c r="A250" t="s">
        <v>4</v>
      </c>
      <c r="B250">
        <v>1990</v>
      </c>
      <c r="C250" s="3">
        <v>767051.67709999997</v>
      </c>
      <c r="D250" s="2"/>
      <c r="E250" s="2"/>
      <c r="F250" s="2"/>
      <c r="G250" s="2"/>
      <c r="H250" s="2"/>
      <c r="I250" s="2"/>
    </row>
    <row r="251" spans="1:9" x14ac:dyDescent="0.25">
      <c r="A251" t="s">
        <v>4</v>
      </c>
      <c r="B251">
        <v>2000</v>
      </c>
      <c r="C251" s="3">
        <v>1619306.0865</v>
      </c>
      <c r="D251" s="2"/>
      <c r="E251" s="2"/>
      <c r="F251" s="2"/>
      <c r="G251" s="2"/>
      <c r="H251" s="2"/>
      <c r="I251" s="2"/>
    </row>
    <row r="252" spans="1:9" x14ac:dyDescent="0.25">
      <c r="A252" t="s">
        <v>4</v>
      </c>
      <c r="B252">
        <v>2005</v>
      </c>
      <c r="C252" s="3">
        <v>1988281.0791</v>
      </c>
      <c r="D252" s="2"/>
      <c r="E252" s="2"/>
      <c r="F252" s="2"/>
      <c r="G252" s="2"/>
      <c r="H252" s="2"/>
      <c r="I252" s="2"/>
    </row>
    <row r="253" spans="1:9" x14ac:dyDescent="0.25">
      <c r="A253" t="s">
        <v>4</v>
      </c>
      <c r="B253">
        <v>2006</v>
      </c>
      <c r="C253" s="3">
        <v>1933359.6070999999</v>
      </c>
      <c r="D253" s="2"/>
      <c r="E253" s="2"/>
      <c r="F253" s="2"/>
      <c r="G253" s="2"/>
      <c r="H253" s="2"/>
      <c r="I253" s="2"/>
    </row>
    <row r="254" spans="1:9" x14ac:dyDescent="0.25">
      <c r="A254" t="s">
        <v>4</v>
      </c>
      <c r="B254">
        <v>2007</v>
      </c>
      <c r="C254" s="3">
        <v>6134913.14349999</v>
      </c>
      <c r="D254" s="2"/>
      <c r="E254" s="2"/>
      <c r="F254" s="2"/>
      <c r="G254" s="2"/>
      <c r="H254" s="2"/>
      <c r="I254" s="2"/>
    </row>
    <row r="255" spans="1:9" x14ac:dyDescent="0.25">
      <c r="A255" t="s">
        <v>4</v>
      </c>
      <c r="B255">
        <v>2008</v>
      </c>
      <c r="C255" s="3">
        <v>6189545.8422999997</v>
      </c>
      <c r="D255" s="2"/>
      <c r="E255" s="2"/>
      <c r="F255" s="2"/>
      <c r="G255" s="2"/>
      <c r="H255" s="2"/>
      <c r="I255" s="2"/>
    </row>
    <row r="256" spans="1:9" x14ac:dyDescent="0.25">
      <c r="A256" t="s">
        <v>4</v>
      </c>
      <c r="B256">
        <v>2009</v>
      </c>
      <c r="C256" s="3">
        <v>5916534.2463999996</v>
      </c>
      <c r="D256" s="2"/>
      <c r="E256" s="2"/>
      <c r="F256" s="2"/>
      <c r="G256" s="2"/>
      <c r="H256" s="2"/>
      <c r="I256" s="2"/>
    </row>
    <row r="257" spans="1:9" x14ac:dyDescent="0.25">
      <c r="A257" t="s">
        <v>4</v>
      </c>
      <c r="B257">
        <v>2010</v>
      </c>
      <c r="C257" s="3">
        <v>6434769.1542999996</v>
      </c>
      <c r="D257" s="2"/>
      <c r="E257" s="2"/>
      <c r="F257" s="2"/>
      <c r="G257" s="2"/>
      <c r="H257" s="2"/>
      <c r="I257" s="2"/>
    </row>
    <row r="258" spans="1:9" x14ac:dyDescent="0.25">
      <c r="A258" t="s">
        <v>4</v>
      </c>
      <c r="B258">
        <v>2011</v>
      </c>
      <c r="C258" s="3">
        <v>6729610.0868999902</v>
      </c>
      <c r="D258" s="2"/>
      <c r="E258" s="2"/>
      <c r="F258" s="2"/>
      <c r="G258" s="2"/>
      <c r="H258" s="2"/>
      <c r="I258" s="2"/>
    </row>
    <row r="259" spans="1:9" x14ac:dyDescent="0.25">
      <c r="A259" t="s">
        <v>4</v>
      </c>
      <c r="B259">
        <v>2012</v>
      </c>
      <c r="C259" s="3">
        <v>6653203.8781000003</v>
      </c>
      <c r="D259" s="2"/>
      <c r="E259" s="2"/>
      <c r="F259" s="2"/>
      <c r="G259" s="2"/>
      <c r="H259" s="2"/>
      <c r="I259" s="2"/>
    </row>
    <row r="260" spans="1:9" x14ac:dyDescent="0.25">
      <c r="A260" t="s">
        <v>4</v>
      </c>
      <c r="B260">
        <v>2013</v>
      </c>
      <c r="C260" s="3">
        <v>6646559.2671999997</v>
      </c>
      <c r="D260" s="2"/>
      <c r="E260" s="2"/>
      <c r="F260" s="2"/>
      <c r="G260" s="2"/>
      <c r="H260" s="2"/>
      <c r="I260" s="2"/>
    </row>
    <row r="261" spans="1:9" x14ac:dyDescent="0.25">
      <c r="A261" t="s">
        <v>4</v>
      </c>
      <c r="B261">
        <v>2014</v>
      </c>
      <c r="C261" s="3">
        <v>6520254.7176000001</v>
      </c>
      <c r="D261" s="2"/>
      <c r="E261" s="2"/>
      <c r="F261" s="2"/>
      <c r="G261" s="2"/>
      <c r="H261" s="2"/>
      <c r="I261" s="2"/>
    </row>
    <row r="262" spans="1:9" x14ac:dyDescent="0.25">
      <c r="A262" t="s">
        <v>4</v>
      </c>
      <c r="B262">
        <v>2015</v>
      </c>
      <c r="C262" s="3">
        <v>6922255.0580999898</v>
      </c>
      <c r="D262" s="2"/>
      <c r="E262" s="2"/>
      <c r="F262" s="2"/>
      <c r="G262" s="2"/>
      <c r="H262" s="2"/>
      <c r="I262" s="2"/>
    </row>
    <row r="263" spans="1:9" x14ac:dyDescent="0.25">
      <c r="A263" t="s">
        <v>4</v>
      </c>
      <c r="B263">
        <v>2016</v>
      </c>
      <c r="C263" s="3">
        <v>6675012.2406000001</v>
      </c>
      <c r="D263" s="2"/>
      <c r="E263" s="2"/>
      <c r="F263" s="2"/>
      <c r="G263" s="2"/>
      <c r="H263" s="2"/>
      <c r="I263" s="2"/>
    </row>
    <row r="264" spans="1:9" x14ac:dyDescent="0.25">
      <c r="A264" t="s">
        <v>4</v>
      </c>
      <c r="B264">
        <v>2017</v>
      </c>
      <c r="C264" s="3">
        <v>6352644.1628999896</v>
      </c>
      <c r="D264" s="2"/>
      <c r="E264" s="2"/>
      <c r="F264" s="2"/>
      <c r="G264" s="2"/>
      <c r="H264" s="2"/>
      <c r="I264" s="2"/>
    </row>
    <row r="265" spans="1:9" x14ac:dyDescent="0.25">
      <c r="A265" t="s">
        <v>4</v>
      </c>
      <c r="B265">
        <v>2018</v>
      </c>
      <c r="C265" s="3">
        <v>6616610.6097999997</v>
      </c>
      <c r="D265" s="2"/>
      <c r="E265" s="2"/>
      <c r="F265" s="2"/>
      <c r="G265" s="2"/>
      <c r="H265" s="2"/>
      <c r="I265" s="2"/>
    </row>
    <row r="266" spans="1:9" x14ac:dyDescent="0.25">
      <c r="A266" t="s">
        <v>4</v>
      </c>
      <c r="B266">
        <v>2019</v>
      </c>
      <c r="C266" s="3">
        <v>6167342.3167000003</v>
      </c>
      <c r="D266" s="2"/>
      <c r="E266" s="2"/>
      <c r="F266" s="2"/>
      <c r="G266" s="2"/>
      <c r="H266" s="2"/>
      <c r="I266" s="2"/>
    </row>
    <row r="267" spans="1:9" x14ac:dyDescent="0.25">
      <c r="A267" t="s">
        <v>4</v>
      </c>
      <c r="B267">
        <v>2020</v>
      </c>
      <c r="C267" s="3">
        <v>4960328.5202465598</v>
      </c>
      <c r="D267" s="2"/>
      <c r="E267" s="2"/>
      <c r="F267" s="2"/>
      <c r="G267" s="2"/>
      <c r="H267" s="2"/>
      <c r="I267" s="2"/>
    </row>
    <row r="268" spans="1:9" x14ac:dyDescent="0.25">
      <c r="A268" t="s">
        <v>4</v>
      </c>
      <c r="B268">
        <v>2021</v>
      </c>
      <c r="C268" s="3">
        <v>6659002.2833110997</v>
      </c>
      <c r="D268" s="2"/>
      <c r="E268" s="2"/>
      <c r="F268" s="2"/>
      <c r="G268" s="2"/>
      <c r="H268" s="2"/>
      <c r="I268" s="2"/>
    </row>
    <row r="269" spans="1:9" x14ac:dyDescent="0.25">
      <c r="A269" t="s">
        <v>4</v>
      </c>
      <c r="B269">
        <v>2022</v>
      </c>
      <c r="C269" s="3">
        <v>7147112.2531364504</v>
      </c>
      <c r="D269" s="2"/>
      <c r="E269" s="2"/>
      <c r="F269" s="2"/>
      <c r="G269" s="2"/>
      <c r="H269" s="2"/>
      <c r="I269" s="2"/>
    </row>
    <row r="270" spans="1:9" x14ac:dyDescent="0.25">
      <c r="A270" t="s">
        <v>4</v>
      </c>
      <c r="B270">
        <v>2023</v>
      </c>
      <c r="C270" s="3">
        <v>6906291.5828625597</v>
      </c>
      <c r="D270" s="2"/>
      <c r="E270" s="2"/>
      <c r="F270" s="2"/>
      <c r="G270" s="2"/>
      <c r="H270" s="2"/>
      <c r="I270" s="2"/>
    </row>
    <row r="271" spans="1:9" x14ac:dyDescent="0.25">
      <c r="C271" s="2"/>
      <c r="D271" s="2"/>
      <c r="E271" s="2"/>
      <c r="F271" s="2"/>
      <c r="G271" s="2"/>
      <c r="H271" s="2"/>
      <c r="I271" s="2"/>
    </row>
    <row r="272" spans="1:9" x14ac:dyDescent="0.25">
      <c r="C272" s="2"/>
      <c r="D272" s="2"/>
      <c r="E272" s="2"/>
      <c r="F272" s="2"/>
      <c r="G272" s="2"/>
      <c r="H272" s="2"/>
      <c r="I272" s="2"/>
    </row>
    <row r="273" spans="1:9" x14ac:dyDescent="0.25">
      <c r="A273" s="1" t="s">
        <v>19</v>
      </c>
      <c r="C273" s="2"/>
      <c r="D273" s="2"/>
      <c r="E273" s="2"/>
      <c r="F273" s="2"/>
      <c r="G273" s="2"/>
      <c r="H273" s="2"/>
      <c r="I273" s="2"/>
    </row>
    <row r="274" spans="1:9" x14ac:dyDescent="0.25">
      <c r="C274" s="2"/>
      <c r="D274" s="2"/>
      <c r="E274" s="2"/>
      <c r="F274" s="2"/>
      <c r="G274" s="2"/>
      <c r="H274" s="2"/>
      <c r="I274" s="2"/>
    </row>
    <row r="275" spans="1:9" x14ac:dyDescent="0.25">
      <c r="A275" t="s">
        <v>1</v>
      </c>
      <c r="B275" t="s">
        <v>2</v>
      </c>
      <c r="C275" s="2" t="s">
        <v>3</v>
      </c>
      <c r="D275" s="2"/>
      <c r="E275" s="2"/>
      <c r="F275" s="2"/>
      <c r="G275" s="2"/>
      <c r="H275" s="2"/>
      <c r="I275" s="2"/>
    </row>
    <row r="276" spans="1:9" x14ac:dyDescent="0.25">
      <c r="A276" t="s">
        <v>4</v>
      </c>
      <c r="B276">
        <v>1990</v>
      </c>
      <c r="C276" s="3">
        <v>740.350206550547</v>
      </c>
      <c r="D276" s="2"/>
      <c r="E276" s="2"/>
      <c r="F276" s="2"/>
      <c r="G276" s="2"/>
      <c r="H276" s="2"/>
      <c r="I276" s="2"/>
    </row>
    <row r="277" spans="1:9" x14ac:dyDescent="0.25">
      <c r="A277" t="s">
        <v>4</v>
      </c>
      <c r="B277">
        <v>2000</v>
      </c>
      <c r="C277" s="3">
        <v>779.15923187783096</v>
      </c>
      <c r="D277" s="2"/>
      <c r="E277" s="2"/>
      <c r="F277" s="2"/>
      <c r="G277" s="2"/>
      <c r="H277" s="2"/>
      <c r="I277" s="2"/>
    </row>
    <row r="278" spans="1:9" x14ac:dyDescent="0.25">
      <c r="A278" t="s">
        <v>4</v>
      </c>
      <c r="B278">
        <v>2005</v>
      </c>
      <c r="C278" s="3">
        <v>784.43818552255402</v>
      </c>
      <c r="D278" s="2"/>
      <c r="E278" s="2"/>
      <c r="F278" s="2"/>
      <c r="G278" s="2"/>
      <c r="H278" s="2"/>
      <c r="I278" s="2"/>
    </row>
    <row r="279" spans="1:9" x14ac:dyDescent="0.25">
      <c r="A279" t="s">
        <v>4</v>
      </c>
      <c r="B279">
        <v>2006</v>
      </c>
      <c r="C279" s="3">
        <v>785.39704390077202</v>
      </c>
      <c r="D279" s="2"/>
      <c r="E279" s="2"/>
      <c r="F279" s="2"/>
      <c r="G279" s="2"/>
      <c r="H279" s="2"/>
      <c r="I279" s="2"/>
    </row>
    <row r="280" spans="1:9" x14ac:dyDescent="0.25">
      <c r="A280" t="s">
        <v>4</v>
      </c>
      <c r="B280">
        <v>2007</v>
      </c>
      <c r="C280" s="3">
        <v>768.94590776486496</v>
      </c>
      <c r="D280" s="2"/>
      <c r="E280" s="2"/>
      <c r="F280" s="2"/>
      <c r="G280" s="2"/>
      <c r="H280" s="2"/>
      <c r="I280" s="2"/>
    </row>
    <row r="281" spans="1:9" x14ac:dyDescent="0.25">
      <c r="A281" t="s">
        <v>4</v>
      </c>
      <c r="B281">
        <v>2008</v>
      </c>
      <c r="C281" s="3">
        <v>763.05521818123896</v>
      </c>
      <c r="D281" s="2"/>
      <c r="E281" s="2"/>
      <c r="F281" s="2"/>
      <c r="G281" s="2"/>
      <c r="H281" s="2"/>
      <c r="I281" s="2"/>
    </row>
    <row r="282" spans="1:9" x14ac:dyDescent="0.25">
      <c r="A282" t="s">
        <v>4</v>
      </c>
      <c r="B282">
        <v>2009</v>
      </c>
      <c r="C282" s="3">
        <v>771.18266660805102</v>
      </c>
      <c r="D282" s="2"/>
      <c r="E282" s="2"/>
      <c r="F282" s="2"/>
      <c r="G282" s="2"/>
      <c r="H282" s="2"/>
      <c r="I282" s="2"/>
    </row>
    <row r="283" spans="1:9" x14ac:dyDescent="0.25">
      <c r="A283" t="s">
        <v>4</v>
      </c>
      <c r="B283">
        <v>2010</v>
      </c>
      <c r="C283" s="3">
        <v>777.27587306123098</v>
      </c>
      <c r="D283" s="2"/>
      <c r="E283" s="2"/>
      <c r="F283" s="2"/>
      <c r="G283" s="2"/>
      <c r="H283" s="2"/>
      <c r="I283" s="2"/>
    </row>
    <row r="284" spans="1:9" x14ac:dyDescent="0.25">
      <c r="A284" t="s">
        <v>4</v>
      </c>
      <c r="B284">
        <v>2011</v>
      </c>
      <c r="C284" s="3">
        <v>772.51070499556397</v>
      </c>
      <c r="D284" s="2"/>
      <c r="E284" s="2"/>
      <c r="F284" s="2"/>
      <c r="G284" s="2"/>
      <c r="H284" s="2"/>
      <c r="I284" s="2"/>
    </row>
    <row r="285" spans="1:9" x14ac:dyDescent="0.25">
      <c r="A285" t="s">
        <v>4</v>
      </c>
      <c r="B285">
        <v>2012</v>
      </c>
      <c r="C285" s="3">
        <v>771.65124921140205</v>
      </c>
      <c r="D285" s="2"/>
      <c r="E285" s="2"/>
      <c r="F285" s="2"/>
      <c r="G285" s="2"/>
      <c r="H285" s="2"/>
      <c r="I285" s="2"/>
    </row>
    <row r="286" spans="1:9" x14ac:dyDescent="0.25">
      <c r="A286" t="s">
        <v>4</v>
      </c>
      <c r="B286">
        <v>2013</v>
      </c>
      <c r="C286" s="3">
        <v>765.412239009627</v>
      </c>
      <c r="D286" s="2"/>
      <c r="E286" s="2"/>
      <c r="F286" s="2"/>
      <c r="G286" s="2"/>
      <c r="H286" s="2"/>
      <c r="I286" s="2"/>
    </row>
    <row r="287" spans="1:9" x14ac:dyDescent="0.25">
      <c r="A287" t="s">
        <v>4</v>
      </c>
      <c r="B287">
        <v>2014</v>
      </c>
      <c r="C287" s="3">
        <v>764.62691197097502</v>
      </c>
      <c r="D287" s="2"/>
      <c r="E287" s="2"/>
      <c r="F287" s="2"/>
      <c r="G287" s="2"/>
      <c r="H287" s="2"/>
      <c r="I287" s="2"/>
    </row>
    <row r="288" spans="1:9" x14ac:dyDescent="0.25">
      <c r="A288" t="s">
        <v>4</v>
      </c>
      <c r="B288">
        <v>2015</v>
      </c>
      <c r="C288" s="3">
        <v>770.99649132743298</v>
      </c>
      <c r="D288" s="2"/>
      <c r="E288" s="2"/>
      <c r="F288" s="2"/>
      <c r="G288" s="2"/>
      <c r="H288" s="2"/>
      <c r="I288" s="2"/>
    </row>
    <row r="289" spans="1:9" x14ac:dyDescent="0.25">
      <c r="A289" t="s">
        <v>4</v>
      </c>
      <c r="B289">
        <v>2016</v>
      </c>
      <c r="C289" s="3">
        <v>794.70044686142398</v>
      </c>
      <c r="D289" s="2"/>
      <c r="E289" s="2"/>
      <c r="F289" s="2"/>
      <c r="G289" s="2"/>
      <c r="H289" s="2"/>
      <c r="I289" s="2"/>
    </row>
    <row r="290" spans="1:9" x14ac:dyDescent="0.25">
      <c r="A290" t="s">
        <v>4</v>
      </c>
      <c r="B290">
        <v>2017</v>
      </c>
      <c r="C290" s="3">
        <v>778.86716794201402</v>
      </c>
      <c r="D290" s="2"/>
      <c r="E290" s="2"/>
      <c r="F290" s="2"/>
      <c r="G290" s="2"/>
      <c r="H290" s="2"/>
      <c r="I290" s="2"/>
    </row>
    <row r="291" spans="1:9" x14ac:dyDescent="0.25">
      <c r="A291" t="s">
        <v>4</v>
      </c>
      <c r="B291">
        <v>2018</v>
      </c>
      <c r="C291" s="3">
        <v>772.77182140856496</v>
      </c>
      <c r="D291" s="2"/>
      <c r="E291" s="2"/>
      <c r="F291" s="2"/>
      <c r="G291" s="2"/>
      <c r="H291" s="2"/>
      <c r="I291" s="2"/>
    </row>
    <row r="292" spans="1:9" x14ac:dyDescent="0.25">
      <c r="A292" t="s">
        <v>4</v>
      </c>
      <c r="B292">
        <v>2019</v>
      </c>
      <c r="C292" s="3">
        <v>755.49851441964699</v>
      </c>
      <c r="D292" s="2"/>
      <c r="E292" s="2"/>
      <c r="F292" s="2"/>
      <c r="G292" s="2"/>
      <c r="H292" s="2"/>
      <c r="I292" s="2"/>
    </row>
    <row r="293" spans="1:9" x14ac:dyDescent="0.25">
      <c r="A293" t="s">
        <v>4</v>
      </c>
      <c r="B293">
        <v>2020</v>
      </c>
      <c r="C293" s="3">
        <v>748.14978260913301</v>
      </c>
      <c r="D293" s="2"/>
      <c r="E293" s="2"/>
      <c r="F293" s="2"/>
      <c r="G293" s="2"/>
      <c r="H293" s="2"/>
      <c r="I293" s="2"/>
    </row>
    <row r="294" spans="1:9" x14ac:dyDescent="0.25">
      <c r="A294" t="s">
        <v>4</v>
      </c>
      <c r="B294">
        <v>2021</v>
      </c>
      <c r="C294" s="3">
        <v>730.25457670617595</v>
      </c>
      <c r="D294" s="2"/>
      <c r="E294" s="2"/>
      <c r="F294" s="2"/>
      <c r="G294" s="2"/>
      <c r="H294" s="2"/>
      <c r="I294" s="2"/>
    </row>
    <row r="295" spans="1:9" x14ac:dyDescent="0.25">
      <c r="A295" t="s">
        <v>4</v>
      </c>
      <c r="B295">
        <v>2022</v>
      </c>
      <c r="C295" s="3">
        <v>736.14877089175104</v>
      </c>
      <c r="D295" s="2"/>
      <c r="E295" s="2"/>
      <c r="F295" s="2"/>
      <c r="G295" s="2"/>
      <c r="H295" s="2"/>
      <c r="I295" s="2"/>
    </row>
    <row r="296" spans="1:9" x14ac:dyDescent="0.25">
      <c r="A296" t="s">
        <v>4</v>
      </c>
      <c r="B296">
        <v>2023</v>
      </c>
      <c r="C296" s="3">
        <v>733.00231668731499</v>
      </c>
      <c r="D296" s="2"/>
      <c r="E296" s="2"/>
      <c r="F296" s="2"/>
      <c r="G296" s="2"/>
      <c r="H296" s="2"/>
      <c r="I296" s="2"/>
    </row>
    <row r="297" spans="1:9" x14ac:dyDescent="0.25">
      <c r="C297" s="2"/>
      <c r="D297" s="2"/>
      <c r="E297" s="2"/>
      <c r="F297" s="2"/>
      <c r="G297" s="2"/>
      <c r="H297" s="2"/>
      <c r="I297" s="2"/>
    </row>
    <row r="298" spans="1:9" x14ac:dyDescent="0.25">
      <c r="C298" s="2"/>
      <c r="D298" s="2"/>
      <c r="E298" s="2"/>
      <c r="F298" s="2"/>
      <c r="G298" s="2"/>
      <c r="H298" s="2"/>
      <c r="I298" s="2"/>
    </row>
    <row r="299" spans="1:9" x14ac:dyDescent="0.25">
      <c r="A299" s="1" t="s">
        <v>20</v>
      </c>
      <c r="C299" s="2"/>
      <c r="D299" s="2"/>
      <c r="E299" s="2"/>
      <c r="F299" s="2"/>
      <c r="G299" s="2"/>
      <c r="H299" s="2"/>
      <c r="I299" s="2"/>
    </row>
    <row r="300" spans="1:9" x14ac:dyDescent="0.25">
      <c r="C300" s="2"/>
      <c r="D300" s="2"/>
      <c r="E300" s="2"/>
      <c r="F300" s="2"/>
      <c r="G300" s="2"/>
      <c r="H300" s="2"/>
      <c r="I300" s="2"/>
    </row>
    <row r="301" spans="1:9" x14ac:dyDescent="0.25">
      <c r="C301" s="2"/>
      <c r="D301" s="2"/>
      <c r="E301" s="2"/>
      <c r="F301" s="2"/>
      <c r="G301" s="2"/>
      <c r="H301" s="2"/>
      <c r="I301" s="2"/>
    </row>
    <row r="302" spans="1:9" x14ac:dyDescent="0.25">
      <c r="A302" t="s">
        <v>1</v>
      </c>
      <c r="B302" t="s">
        <v>2</v>
      </c>
      <c r="C302" s="2" t="s">
        <v>3</v>
      </c>
      <c r="D302" s="2" t="s">
        <v>21</v>
      </c>
      <c r="E302" s="2"/>
      <c r="F302" s="2"/>
      <c r="G302" s="2"/>
      <c r="H302" s="2"/>
      <c r="I302" s="2"/>
    </row>
    <row r="303" spans="1:9" x14ac:dyDescent="0.25">
      <c r="A303" t="s">
        <v>4</v>
      </c>
      <c r="B303">
        <v>1990</v>
      </c>
      <c r="C303" s="2">
        <v>612.05245351068595</v>
      </c>
      <c r="D303" s="2"/>
      <c r="E303" s="2"/>
      <c r="F303" s="2"/>
      <c r="G303" s="2"/>
      <c r="H303" s="2"/>
      <c r="I303" s="2"/>
    </row>
    <row r="304" spans="1:9" x14ac:dyDescent="0.25">
      <c r="A304" t="s">
        <v>4</v>
      </c>
      <c r="B304">
        <v>2000</v>
      </c>
      <c r="C304" s="3">
        <v>601.20957807396599</v>
      </c>
      <c r="D304" s="2"/>
      <c r="E304" s="2"/>
      <c r="F304" s="2"/>
      <c r="G304" s="2"/>
      <c r="H304" s="2"/>
      <c r="I304" s="2"/>
    </row>
    <row r="305" spans="1:9" x14ac:dyDescent="0.25">
      <c r="A305" t="s">
        <v>4</v>
      </c>
      <c r="B305">
        <v>2005</v>
      </c>
      <c r="C305" s="3">
        <v>589.27522686849204</v>
      </c>
      <c r="D305" s="3">
        <v>589.27522686849204</v>
      </c>
      <c r="E305" s="2"/>
      <c r="F305" s="2"/>
      <c r="G305" s="2"/>
      <c r="H305" s="2"/>
      <c r="I305" s="2"/>
    </row>
    <row r="306" spans="1:9" x14ac:dyDescent="0.25">
      <c r="A306" t="s">
        <v>4</v>
      </c>
      <c r="B306">
        <v>2006</v>
      </c>
      <c r="C306" s="3">
        <v>578.64462486418995</v>
      </c>
      <c r="D306" s="3">
        <v>578.64462486418995</v>
      </c>
      <c r="E306" s="2"/>
      <c r="F306" s="2"/>
      <c r="G306" s="2"/>
      <c r="H306" s="2"/>
      <c r="I306" s="2"/>
    </row>
    <row r="307" spans="1:9" x14ac:dyDescent="0.25">
      <c r="A307" t="s">
        <v>4</v>
      </c>
      <c r="B307">
        <v>2007</v>
      </c>
      <c r="C307" s="3">
        <v>575.59307794721201</v>
      </c>
      <c r="D307" s="3">
        <v>575.59307794721201</v>
      </c>
      <c r="E307" s="2"/>
      <c r="F307" s="2"/>
      <c r="G307" s="2"/>
      <c r="H307" s="2"/>
      <c r="I307" s="2"/>
    </row>
    <row r="308" spans="1:9" x14ac:dyDescent="0.25">
      <c r="A308" t="s">
        <v>4</v>
      </c>
      <c r="B308">
        <v>2008</v>
      </c>
      <c r="C308" s="3">
        <v>570.77860306702496</v>
      </c>
      <c r="D308" s="3">
        <v>570.77860306702496</v>
      </c>
      <c r="E308" s="2"/>
      <c r="F308" s="2"/>
      <c r="G308" s="2"/>
      <c r="H308" s="2"/>
      <c r="I308" s="2"/>
    </row>
    <row r="309" spans="1:9" x14ac:dyDescent="0.25">
      <c r="A309" t="s">
        <v>4</v>
      </c>
      <c r="B309">
        <v>2009</v>
      </c>
      <c r="C309" s="3">
        <v>571.94877852345996</v>
      </c>
      <c r="D309" s="3">
        <v>571.94877852345996</v>
      </c>
      <c r="E309" s="2"/>
      <c r="F309" s="2"/>
      <c r="G309" s="2"/>
      <c r="H309" s="2"/>
      <c r="I309" s="2"/>
    </row>
    <row r="310" spans="1:9" x14ac:dyDescent="0.25">
      <c r="A310" t="s">
        <v>4</v>
      </c>
      <c r="B310">
        <v>2010</v>
      </c>
      <c r="C310" s="3">
        <v>570.30259390795402</v>
      </c>
      <c r="D310" s="3">
        <v>570.30259390795402</v>
      </c>
      <c r="E310" s="2"/>
      <c r="F310" s="2"/>
      <c r="G310" s="2"/>
      <c r="H310" s="2"/>
      <c r="I310" s="2"/>
    </row>
    <row r="311" spans="1:9" x14ac:dyDescent="0.25">
      <c r="A311" t="s">
        <v>4</v>
      </c>
      <c r="B311">
        <v>2011</v>
      </c>
      <c r="C311" s="3">
        <v>554.58265241598394</v>
      </c>
      <c r="D311" s="3">
        <v>554.58265241598394</v>
      </c>
      <c r="E311" s="2"/>
      <c r="F311" s="2"/>
      <c r="G311" s="2"/>
      <c r="H311" s="2"/>
      <c r="I311" s="2"/>
    </row>
    <row r="312" spans="1:9" x14ac:dyDescent="0.25">
      <c r="A312" t="s">
        <v>4</v>
      </c>
      <c r="B312">
        <v>2012</v>
      </c>
      <c r="C312" s="3">
        <v>571.34029843353505</v>
      </c>
      <c r="D312" s="3">
        <v>571.34029843353505</v>
      </c>
      <c r="E312" s="2"/>
      <c r="F312" s="2"/>
      <c r="G312" s="2"/>
      <c r="H312" s="2"/>
      <c r="I312" s="2"/>
    </row>
    <row r="313" spans="1:9" x14ac:dyDescent="0.25">
      <c r="A313" t="s">
        <v>4</v>
      </c>
      <c r="B313">
        <v>2013</v>
      </c>
      <c r="C313" s="3">
        <v>529.93656666403297</v>
      </c>
      <c r="D313" s="3">
        <v>529.93656666403297</v>
      </c>
      <c r="E313" s="2"/>
      <c r="F313" s="2"/>
      <c r="G313" s="2"/>
      <c r="H313" s="2"/>
      <c r="I313" s="2"/>
    </row>
    <row r="314" spans="1:9" x14ac:dyDescent="0.25">
      <c r="A314" t="s">
        <v>4</v>
      </c>
      <c r="B314">
        <v>2014</v>
      </c>
      <c r="C314" s="3">
        <v>524.58038285555801</v>
      </c>
      <c r="D314" s="3">
        <v>524.58038285555801</v>
      </c>
      <c r="E314" s="2"/>
      <c r="F314" s="2"/>
      <c r="G314" s="2"/>
      <c r="H314" s="2"/>
      <c r="I314" s="2"/>
    </row>
    <row r="315" spans="1:9" x14ac:dyDescent="0.25">
      <c r="A315" t="s">
        <v>4</v>
      </c>
      <c r="B315">
        <v>2015</v>
      </c>
      <c r="C315" s="3">
        <v>516.26225679855099</v>
      </c>
      <c r="D315" s="3">
        <v>516.26225679855099</v>
      </c>
      <c r="E315" s="2"/>
      <c r="F315" s="2"/>
      <c r="G315" s="2"/>
      <c r="H315" s="2"/>
      <c r="I315" s="2"/>
    </row>
    <row r="316" spans="1:9" x14ac:dyDescent="0.25">
      <c r="A316" t="s">
        <v>4</v>
      </c>
      <c r="B316">
        <v>2016</v>
      </c>
      <c r="C316" s="3">
        <v>536.30086536808301</v>
      </c>
      <c r="D316" s="3">
        <v>536.30086536808301</v>
      </c>
      <c r="E316" s="2"/>
      <c r="F316" s="2"/>
      <c r="G316" s="2"/>
      <c r="H316" s="2"/>
      <c r="I316" s="2"/>
    </row>
    <row r="317" spans="1:9" x14ac:dyDescent="0.25">
      <c r="A317" t="s">
        <v>4</v>
      </c>
      <c r="B317">
        <v>2017</v>
      </c>
      <c r="C317" s="3">
        <v>512.75666999327404</v>
      </c>
      <c r="D317" s="3">
        <v>512.75666999327404</v>
      </c>
      <c r="E317" s="2"/>
      <c r="F317" s="2"/>
      <c r="G317" s="2"/>
      <c r="H317" s="2"/>
      <c r="I317" s="2"/>
    </row>
    <row r="318" spans="1:9" x14ac:dyDescent="0.25">
      <c r="A318" t="s">
        <v>4</v>
      </c>
      <c r="B318">
        <v>2018</v>
      </c>
      <c r="C318" s="3">
        <v>511.35378991714998</v>
      </c>
      <c r="D318" s="3">
        <v>511.35378991714998</v>
      </c>
      <c r="E318" s="2"/>
      <c r="F318" s="2"/>
      <c r="G318" s="2"/>
      <c r="H318" s="2"/>
      <c r="I318" s="2"/>
    </row>
    <row r="319" spans="1:9" x14ac:dyDescent="0.25">
      <c r="A319" t="s">
        <v>4</v>
      </c>
      <c r="B319">
        <v>2019</v>
      </c>
      <c r="C319" s="3">
        <v>513.33798800657905</v>
      </c>
      <c r="D319" s="3">
        <v>513.33798800657905</v>
      </c>
      <c r="E319" s="2"/>
      <c r="F319" s="2"/>
      <c r="G319" s="2"/>
      <c r="H319" s="2"/>
      <c r="I319" s="2"/>
    </row>
    <row r="320" spans="1:9" x14ac:dyDescent="0.25">
      <c r="A320" t="s">
        <v>4</v>
      </c>
      <c r="B320">
        <v>2020</v>
      </c>
      <c r="C320" s="3">
        <v>489.34467972167602</v>
      </c>
      <c r="D320" s="2">
        <v>507</v>
      </c>
      <c r="E320" s="2"/>
      <c r="F320" s="2"/>
      <c r="G320" s="2"/>
      <c r="H320" s="2"/>
      <c r="I320" s="2"/>
    </row>
    <row r="321" spans="1:9" x14ac:dyDescent="0.25">
      <c r="A321" t="s">
        <v>4</v>
      </c>
      <c r="B321">
        <v>2021</v>
      </c>
      <c r="C321" s="3">
        <v>492.61412241265799</v>
      </c>
      <c r="D321" s="2"/>
      <c r="E321" s="2"/>
      <c r="F321" s="2"/>
      <c r="G321" s="2"/>
      <c r="H321" s="2"/>
      <c r="I321" s="2"/>
    </row>
    <row r="322" spans="1:9" x14ac:dyDescent="0.25">
      <c r="A322" t="s">
        <v>4</v>
      </c>
      <c r="B322">
        <v>2022</v>
      </c>
      <c r="C322" s="3">
        <v>509.95829255983301</v>
      </c>
      <c r="D322" s="2"/>
      <c r="E322" s="2"/>
      <c r="F322" s="2"/>
      <c r="G322" s="2"/>
      <c r="H322" s="2"/>
      <c r="I322" s="2"/>
    </row>
    <row r="323" spans="1:9" x14ac:dyDescent="0.25">
      <c r="A323" t="s">
        <v>4</v>
      </c>
      <c r="B323">
        <v>2023</v>
      </c>
      <c r="C323" s="3">
        <v>486.11893196261099</v>
      </c>
      <c r="D323" s="2"/>
      <c r="E323" s="2"/>
      <c r="F323" s="2"/>
      <c r="G323" s="2"/>
      <c r="H323" s="2"/>
      <c r="I323" s="2"/>
    </row>
    <row r="324" spans="1:9" x14ac:dyDescent="0.25">
      <c r="C324" s="2"/>
      <c r="D324" s="2"/>
      <c r="E324" s="2"/>
      <c r="F324" s="2"/>
      <c r="G324" s="2"/>
      <c r="H324" s="2"/>
      <c r="I324" s="2"/>
    </row>
    <row r="325" spans="1:9" x14ac:dyDescent="0.25">
      <c r="C325" s="2"/>
      <c r="D325" s="2"/>
      <c r="E325" s="2"/>
      <c r="F325" s="2"/>
      <c r="G325" s="2"/>
      <c r="H325" s="2"/>
      <c r="I325" s="2"/>
    </row>
    <row r="326" spans="1:9" x14ac:dyDescent="0.25">
      <c r="A326" s="1" t="s">
        <v>22</v>
      </c>
      <c r="C326" s="2"/>
      <c r="D326" s="2"/>
      <c r="E326" s="2"/>
      <c r="F326" s="2"/>
      <c r="G326" s="2"/>
      <c r="H326" s="2"/>
      <c r="I326" s="2"/>
    </row>
    <row r="327" spans="1:9" x14ac:dyDescent="0.25">
      <c r="C327" s="2"/>
      <c r="D327" s="2"/>
      <c r="E327" s="2"/>
      <c r="F327" s="2"/>
      <c r="G327" s="2"/>
      <c r="H327" s="2"/>
      <c r="I327" s="2"/>
    </row>
    <row r="328" spans="1:9" x14ac:dyDescent="0.25">
      <c r="C328" s="2"/>
      <c r="D328" s="2"/>
      <c r="E328" s="2"/>
      <c r="F328" s="2"/>
      <c r="G328" s="2"/>
      <c r="H328" s="2"/>
      <c r="I328" s="2"/>
    </row>
    <row r="329" spans="1:9" x14ac:dyDescent="0.25">
      <c r="A329" t="s">
        <v>1</v>
      </c>
      <c r="B329" t="s">
        <v>2</v>
      </c>
      <c r="C329" s="2" t="s">
        <v>3</v>
      </c>
      <c r="D329" s="2"/>
      <c r="E329" s="2"/>
      <c r="F329" s="2"/>
      <c r="G329" s="2"/>
      <c r="H329" s="2"/>
      <c r="I329" s="2"/>
    </row>
    <row r="330" spans="1:9" x14ac:dyDescent="0.25">
      <c r="A330" t="s">
        <v>4</v>
      </c>
      <c r="B330">
        <v>2012</v>
      </c>
      <c r="C330" s="3">
        <v>565.61247058322101</v>
      </c>
      <c r="D330" s="2"/>
      <c r="E330" s="2"/>
      <c r="F330" s="2"/>
      <c r="G330" s="2"/>
      <c r="H330" s="2"/>
      <c r="I330" s="2"/>
    </row>
    <row r="331" spans="1:9" x14ac:dyDescent="0.25">
      <c r="A331" t="s">
        <v>4</v>
      </c>
      <c r="B331">
        <v>2013</v>
      </c>
      <c r="C331" s="3">
        <v>554.75322211713797</v>
      </c>
      <c r="D331" s="2"/>
      <c r="E331" s="2"/>
      <c r="F331" s="2"/>
      <c r="G331" s="2"/>
      <c r="H331" s="2"/>
      <c r="I331" s="2"/>
    </row>
    <row r="332" spans="1:9" x14ac:dyDescent="0.25">
      <c r="A332" t="s">
        <v>4</v>
      </c>
      <c r="B332">
        <v>2014</v>
      </c>
      <c r="C332" s="3">
        <v>553.92454174087902</v>
      </c>
      <c r="D332" s="2"/>
      <c r="E332" s="2"/>
      <c r="F332" s="2"/>
      <c r="G332" s="2"/>
      <c r="H332" s="2"/>
      <c r="I332" s="2"/>
    </row>
    <row r="333" spans="1:9" x14ac:dyDescent="0.25">
      <c r="A333" t="s">
        <v>4</v>
      </c>
      <c r="B333">
        <v>2015</v>
      </c>
      <c r="C333" s="3">
        <v>553.98036771244404</v>
      </c>
      <c r="D333" s="2"/>
      <c r="E333" s="2"/>
      <c r="F333" s="2"/>
      <c r="G333" s="2"/>
      <c r="H333" s="2"/>
      <c r="I333" s="2"/>
    </row>
    <row r="334" spans="1:9" x14ac:dyDescent="0.25">
      <c r="A334" t="s">
        <v>4</v>
      </c>
      <c r="B334">
        <v>2016</v>
      </c>
      <c r="C334" s="3">
        <v>582.73416754658695</v>
      </c>
      <c r="D334" s="2"/>
      <c r="E334" s="2"/>
      <c r="F334" s="2"/>
      <c r="G334" s="2"/>
      <c r="H334" s="2"/>
      <c r="I334" s="2"/>
    </row>
    <row r="335" spans="1:9" x14ac:dyDescent="0.25">
      <c r="A335" t="s">
        <v>4</v>
      </c>
      <c r="B335">
        <v>2017</v>
      </c>
      <c r="C335" s="3">
        <v>575.62543490060102</v>
      </c>
      <c r="D335" s="2"/>
      <c r="E335" s="2"/>
      <c r="F335" s="2"/>
      <c r="G335" s="2"/>
      <c r="H335" s="2"/>
      <c r="I335" s="2"/>
    </row>
    <row r="336" spans="1:9" x14ac:dyDescent="0.25">
      <c r="A336" t="s">
        <v>4</v>
      </c>
      <c r="B336">
        <v>2018</v>
      </c>
      <c r="C336" s="3">
        <v>568.65633631424998</v>
      </c>
      <c r="D336" s="2"/>
      <c r="E336" s="2"/>
      <c r="F336" s="2"/>
      <c r="G336" s="2"/>
      <c r="H336" s="2"/>
      <c r="I336" s="2"/>
    </row>
    <row r="337" spans="1:9" x14ac:dyDescent="0.25">
      <c r="A337" t="s">
        <v>4</v>
      </c>
      <c r="B337">
        <v>2019</v>
      </c>
      <c r="C337" s="3">
        <v>549.15906484543495</v>
      </c>
      <c r="D337" s="2"/>
      <c r="E337" s="2"/>
      <c r="F337" s="2"/>
      <c r="G337" s="2"/>
      <c r="H337" s="2"/>
      <c r="I337" s="2"/>
    </row>
    <row r="338" spans="1:9" x14ac:dyDescent="0.25">
      <c r="A338" t="s">
        <v>4</v>
      </c>
      <c r="B338">
        <v>2020</v>
      </c>
      <c r="C338" s="3">
        <v>548.02030459285402</v>
      </c>
      <c r="D338" s="2"/>
      <c r="E338" s="2"/>
      <c r="F338" s="2"/>
      <c r="G338" s="2"/>
      <c r="H338" s="2"/>
      <c r="I338" s="2"/>
    </row>
    <row r="339" spans="1:9" x14ac:dyDescent="0.25">
      <c r="A339" t="s">
        <v>4</v>
      </c>
      <c r="B339">
        <v>2021</v>
      </c>
      <c r="C339" s="3">
        <v>544.33813262822298</v>
      </c>
      <c r="D339" s="2"/>
      <c r="E339" s="2"/>
      <c r="F339" s="2"/>
      <c r="G339" s="2"/>
      <c r="H339" s="2"/>
      <c r="I339" s="2"/>
    </row>
    <row r="340" spans="1:9" x14ac:dyDescent="0.25">
      <c r="A340" t="s">
        <v>4</v>
      </c>
      <c r="B340">
        <v>2022</v>
      </c>
      <c r="C340" s="3">
        <v>521.18529870304906</v>
      </c>
      <c r="D340" s="2"/>
      <c r="E340" s="2"/>
      <c r="F340" s="2"/>
      <c r="G340" s="2"/>
      <c r="H340" s="2"/>
      <c r="I340" s="2"/>
    </row>
    <row r="341" spans="1:9" x14ac:dyDescent="0.25">
      <c r="A341" t="s">
        <v>4</v>
      </c>
      <c r="B341">
        <v>2023</v>
      </c>
      <c r="C341" s="3">
        <v>516.74308904951499</v>
      </c>
      <c r="D341" s="2"/>
      <c r="E341" s="2"/>
      <c r="F341" s="2"/>
      <c r="G341" s="2"/>
      <c r="H341" s="2"/>
      <c r="I341" s="2"/>
    </row>
    <row r="342" spans="1:9" x14ac:dyDescent="0.25">
      <c r="C342" s="2"/>
      <c r="D342" s="2"/>
      <c r="E342" s="2"/>
      <c r="F342" s="2"/>
      <c r="G342" s="2"/>
      <c r="H342" s="2"/>
      <c r="I342" s="2"/>
    </row>
    <row r="343" spans="1:9" x14ac:dyDescent="0.25">
      <c r="C343" s="2"/>
      <c r="D343" s="2"/>
      <c r="E343" s="2"/>
      <c r="F343" s="2"/>
      <c r="G343" s="2"/>
      <c r="H343" s="2"/>
      <c r="I343" s="2"/>
    </row>
    <row r="344" spans="1:9" x14ac:dyDescent="0.25">
      <c r="A344" s="1" t="s">
        <v>23</v>
      </c>
      <c r="C344" s="2"/>
      <c r="D344" s="2"/>
      <c r="E344" s="2"/>
      <c r="F344" s="2"/>
      <c r="G344" s="2"/>
      <c r="H344" s="2"/>
      <c r="I344" s="2"/>
    </row>
    <row r="345" spans="1:9" x14ac:dyDescent="0.25">
      <c r="C345" s="2"/>
      <c r="D345" s="2"/>
      <c r="E345" s="2"/>
      <c r="F345" s="2"/>
      <c r="G345" s="2"/>
      <c r="H345" s="2"/>
      <c r="I345" s="2"/>
    </row>
    <row r="346" spans="1:9" x14ac:dyDescent="0.25">
      <c r="A346" t="s">
        <v>1</v>
      </c>
      <c r="B346" t="s">
        <v>2</v>
      </c>
      <c r="C346" s="2" t="s">
        <v>3</v>
      </c>
      <c r="D346" s="2"/>
      <c r="E346" s="2"/>
      <c r="F346" s="2"/>
      <c r="G346" s="2"/>
      <c r="H346" s="2"/>
      <c r="I346" s="2"/>
    </row>
    <row r="347" spans="1:9" x14ac:dyDescent="0.25">
      <c r="A347" t="s">
        <v>4</v>
      </c>
      <c r="B347">
        <v>1990</v>
      </c>
      <c r="C347" s="2">
        <v>56.551922433830001</v>
      </c>
      <c r="D347" s="2"/>
      <c r="E347" s="2"/>
      <c r="F347" s="2"/>
      <c r="G347" s="2"/>
      <c r="H347" s="2"/>
      <c r="I347" s="2"/>
    </row>
    <row r="348" spans="1:9" x14ac:dyDescent="0.25">
      <c r="A348" t="s">
        <v>4</v>
      </c>
      <c r="B348">
        <v>2000</v>
      </c>
      <c r="C348" s="2">
        <v>62.147237029986997</v>
      </c>
      <c r="D348" s="2"/>
      <c r="E348" s="2"/>
      <c r="F348" s="2"/>
      <c r="G348" s="2"/>
      <c r="H348" s="2"/>
      <c r="I348" s="2"/>
    </row>
    <row r="349" spans="1:9" x14ac:dyDescent="0.25">
      <c r="A349" t="s">
        <v>4</v>
      </c>
      <c r="B349">
        <v>2005</v>
      </c>
      <c r="C349" s="2">
        <v>61.275529837538798</v>
      </c>
      <c r="D349" s="2"/>
      <c r="E349" s="2"/>
      <c r="F349" s="2"/>
      <c r="G349" s="2"/>
      <c r="H349" s="2"/>
      <c r="I349" s="2"/>
    </row>
    <row r="350" spans="1:9" x14ac:dyDescent="0.25">
      <c r="A350" t="s">
        <v>4</v>
      </c>
      <c r="B350">
        <v>2006</v>
      </c>
      <c r="C350" s="2">
        <v>60.379085614203397</v>
      </c>
      <c r="D350" s="2"/>
      <c r="E350" s="2"/>
      <c r="F350" s="2"/>
      <c r="G350" s="2"/>
      <c r="H350" s="2"/>
      <c r="I350" s="2"/>
    </row>
    <row r="351" spans="1:9" x14ac:dyDescent="0.25">
      <c r="A351" t="s">
        <v>4</v>
      </c>
      <c r="B351">
        <v>2007</v>
      </c>
      <c r="C351" s="2">
        <v>63.201460090550398</v>
      </c>
      <c r="D351" s="2"/>
      <c r="E351" s="2"/>
      <c r="F351" s="2"/>
      <c r="G351" s="2"/>
      <c r="H351" s="2"/>
      <c r="I351" s="2"/>
    </row>
    <row r="352" spans="1:9" x14ac:dyDescent="0.25">
      <c r="A352" t="s">
        <v>4</v>
      </c>
      <c r="B352">
        <v>2008</v>
      </c>
      <c r="C352" s="2">
        <v>61.668358770209501</v>
      </c>
      <c r="D352" s="2"/>
      <c r="E352" s="2"/>
      <c r="F352" s="2"/>
      <c r="G352" s="2"/>
      <c r="H352" s="2"/>
      <c r="I352" s="2"/>
    </row>
    <row r="353" spans="1:9" x14ac:dyDescent="0.25">
      <c r="A353" t="s">
        <v>4</v>
      </c>
      <c r="B353">
        <v>2009</v>
      </c>
      <c r="C353" s="2">
        <v>65.451601748490305</v>
      </c>
      <c r="D353" s="2"/>
      <c r="E353" s="2"/>
      <c r="F353" s="2"/>
      <c r="G353" s="2"/>
      <c r="H353" s="2"/>
      <c r="I353" s="2"/>
    </row>
    <row r="354" spans="1:9" x14ac:dyDescent="0.25">
      <c r="A354" t="s">
        <v>4</v>
      </c>
      <c r="B354">
        <v>2010</v>
      </c>
      <c r="C354" s="2">
        <v>66.2764834190627</v>
      </c>
      <c r="D354" s="2"/>
      <c r="E354" s="2"/>
      <c r="F354" s="2"/>
      <c r="G354" s="2"/>
      <c r="H354" s="2"/>
      <c r="I354" s="2"/>
    </row>
    <row r="355" spans="1:9" x14ac:dyDescent="0.25">
      <c r="A355" t="s">
        <v>4</v>
      </c>
      <c r="B355">
        <v>2011</v>
      </c>
      <c r="C355" s="2">
        <v>65.367231684074497</v>
      </c>
      <c r="D355" s="2"/>
      <c r="E355" s="2"/>
      <c r="F355" s="2"/>
      <c r="G355" s="2"/>
      <c r="H355" s="2"/>
      <c r="I355" s="2"/>
    </row>
    <row r="356" spans="1:9" x14ac:dyDescent="0.25">
      <c r="A356" t="s">
        <v>4</v>
      </c>
      <c r="B356">
        <v>2012</v>
      </c>
      <c r="C356" s="2">
        <v>68.353883975710204</v>
      </c>
      <c r="D356" s="2"/>
      <c r="E356" s="2"/>
      <c r="F356" s="2"/>
      <c r="G356" s="2"/>
      <c r="H356" s="2"/>
      <c r="I356" s="2"/>
    </row>
    <row r="357" spans="1:9" x14ac:dyDescent="0.25">
      <c r="A357" t="s">
        <v>4</v>
      </c>
      <c r="B357">
        <v>2013</v>
      </c>
      <c r="C357" s="2">
        <v>66.843444313786705</v>
      </c>
      <c r="D357" s="2"/>
      <c r="E357" s="2"/>
      <c r="F357" s="2"/>
      <c r="G357" s="2"/>
      <c r="H357" s="2"/>
      <c r="I357" s="2"/>
    </row>
    <row r="358" spans="1:9" x14ac:dyDescent="0.25">
      <c r="A358" t="s">
        <v>4</v>
      </c>
      <c r="B358">
        <v>2014</v>
      </c>
      <c r="C358" s="2">
        <v>67.286748378632794</v>
      </c>
      <c r="D358" s="2"/>
      <c r="E358" s="2"/>
      <c r="F358" s="2"/>
      <c r="G358" s="2"/>
      <c r="H358" s="2"/>
      <c r="I358" s="2"/>
    </row>
    <row r="359" spans="1:9" x14ac:dyDescent="0.25">
      <c r="A359" t="s">
        <v>4</v>
      </c>
      <c r="B359">
        <v>2015</v>
      </c>
      <c r="C359" s="2">
        <v>67.937541576111698</v>
      </c>
      <c r="D359" s="2"/>
      <c r="E359" s="2"/>
      <c r="F359" s="2"/>
      <c r="G359" s="2"/>
      <c r="H359" s="2"/>
      <c r="I359" s="2"/>
    </row>
    <row r="360" spans="1:9" x14ac:dyDescent="0.25">
      <c r="A360" t="s">
        <v>4</v>
      </c>
      <c r="B360">
        <v>2016</v>
      </c>
      <c r="C360" s="2">
        <v>73.654982122390606</v>
      </c>
      <c r="D360" s="2"/>
      <c r="E360" s="2"/>
      <c r="F360" s="2"/>
      <c r="G360" s="2"/>
      <c r="H360" s="2"/>
      <c r="I360" s="2"/>
    </row>
    <row r="361" spans="1:9" x14ac:dyDescent="0.25">
      <c r="A361" t="s">
        <v>4</v>
      </c>
      <c r="B361">
        <v>2017</v>
      </c>
      <c r="C361" s="2">
        <v>68.585141633854306</v>
      </c>
      <c r="D361" s="2"/>
      <c r="E361" s="2"/>
      <c r="F361" s="2"/>
      <c r="G361" s="2"/>
      <c r="H361" s="2"/>
      <c r="I361" s="2"/>
    </row>
    <row r="362" spans="1:9" x14ac:dyDescent="0.25">
      <c r="A362" t="s">
        <v>4</v>
      </c>
      <c r="B362">
        <v>2018</v>
      </c>
      <c r="C362" s="2">
        <v>66.854608727536103</v>
      </c>
      <c r="D362" s="2"/>
      <c r="E362" s="2"/>
      <c r="F362" s="2"/>
      <c r="G362" s="2"/>
      <c r="H362" s="2"/>
      <c r="I362" s="2"/>
    </row>
    <row r="363" spans="1:9" x14ac:dyDescent="0.25">
      <c r="A363" t="s">
        <v>4</v>
      </c>
      <c r="B363">
        <v>2019</v>
      </c>
      <c r="C363" s="2">
        <v>64.197195681411401</v>
      </c>
      <c r="D363" s="2"/>
      <c r="E363" s="2"/>
      <c r="F363" s="2"/>
      <c r="G363" s="2"/>
      <c r="H363" s="2"/>
      <c r="I363" s="2"/>
    </row>
    <row r="364" spans="1:9" x14ac:dyDescent="0.25">
      <c r="A364" t="s">
        <v>4</v>
      </c>
      <c r="B364">
        <v>2020</v>
      </c>
      <c r="C364" s="2">
        <v>62.722040641283698</v>
      </c>
      <c r="D364" s="2"/>
      <c r="E364" s="2"/>
      <c r="F364" s="2"/>
      <c r="G364" s="2"/>
      <c r="H364" s="2"/>
      <c r="I364" s="2"/>
    </row>
    <row r="365" spans="1:9" x14ac:dyDescent="0.25">
      <c r="A365" t="s">
        <v>4</v>
      </c>
      <c r="B365">
        <v>2021</v>
      </c>
      <c r="C365" s="2">
        <v>58.227666149804698</v>
      </c>
      <c r="D365" s="2"/>
      <c r="E365" s="2"/>
      <c r="F365" s="2"/>
      <c r="G365" s="2"/>
      <c r="H365" s="2"/>
      <c r="I365" s="2"/>
    </row>
    <row r="366" spans="1:9" x14ac:dyDescent="0.25">
      <c r="A366" t="s">
        <v>4</v>
      </c>
      <c r="B366">
        <v>2022</v>
      </c>
      <c r="C366" s="2">
        <v>59.527945705582901</v>
      </c>
      <c r="D366" s="2"/>
      <c r="E366" s="2"/>
      <c r="F366" s="2"/>
      <c r="G366" s="2"/>
      <c r="H366" s="2"/>
      <c r="I366" s="2"/>
    </row>
    <row r="367" spans="1:9" x14ac:dyDescent="0.25">
      <c r="A367" t="s">
        <v>4</v>
      </c>
      <c r="B367">
        <v>2023</v>
      </c>
      <c r="C367" s="2">
        <v>59.680408119739198</v>
      </c>
      <c r="D367" s="2"/>
      <c r="E367" s="2"/>
      <c r="F367" s="2"/>
      <c r="G367" s="2"/>
      <c r="H367" s="2"/>
      <c r="I367" s="2"/>
    </row>
    <row r="368" spans="1:9" x14ac:dyDescent="0.25">
      <c r="C368" s="2"/>
      <c r="D368" s="2"/>
      <c r="E368" s="2"/>
      <c r="F368" s="2"/>
      <c r="G368" s="2"/>
      <c r="H368" s="2"/>
      <c r="I368" s="2"/>
    </row>
    <row r="369" spans="1:9" x14ac:dyDescent="0.25">
      <c r="C369" s="2"/>
      <c r="D369" s="2"/>
      <c r="E369" s="2"/>
      <c r="F369" s="2"/>
      <c r="G369" s="2"/>
      <c r="H369" s="2"/>
      <c r="I369" s="2"/>
    </row>
    <row r="370" spans="1:9" x14ac:dyDescent="0.25">
      <c r="A370" s="1" t="s">
        <v>24</v>
      </c>
      <c r="C370" s="2"/>
      <c r="D370" s="2"/>
      <c r="E370" s="2"/>
      <c r="F370" s="2"/>
      <c r="G370" s="2"/>
      <c r="H370" s="2"/>
      <c r="I370" s="2"/>
    </row>
    <row r="371" spans="1:9" x14ac:dyDescent="0.25">
      <c r="C371" s="2"/>
      <c r="D371" s="2"/>
      <c r="E371" s="2"/>
      <c r="F371" s="2"/>
      <c r="G371" s="2"/>
      <c r="H371" s="2"/>
      <c r="I371" s="2"/>
    </row>
    <row r="372" spans="1:9" x14ac:dyDescent="0.25">
      <c r="A372" t="s">
        <v>1</v>
      </c>
      <c r="B372" t="s">
        <v>2</v>
      </c>
      <c r="C372" s="2" t="s">
        <v>3</v>
      </c>
      <c r="D372" s="2"/>
      <c r="E372" s="2"/>
      <c r="F372" s="2"/>
      <c r="G372" s="2"/>
      <c r="H372" s="2"/>
      <c r="I372" s="2"/>
    </row>
    <row r="373" spans="1:9" x14ac:dyDescent="0.25">
      <c r="A373" t="s">
        <v>4</v>
      </c>
      <c r="B373">
        <v>2012</v>
      </c>
      <c r="C373" s="2">
        <v>0</v>
      </c>
      <c r="D373" s="2"/>
      <c r="E373" s="2"/>
      <c r="F373" s="2"/>
      <c r="G373" s="2"/>
      <c r="H373" s="2"/>
      <c r="I373" s="2"/>
    </row>
    <row r="374" spans="1:9" x14ac:dyDescent="0.25">
      <c r="A374" t="s">
        <v>4</v>
      </c>
      <c r="B374">
        <v>2013</v>
      </c>
      <c r="C374" s="2">
        <v>0</v>
      </c>
      <c r="D374" s="2"/>
      <c r="E374" s="2"/>
      <c r="F374" s="2"/>
      <c r="G374" s="2"/>
      <c r="H374" s="2"/>
      <c r="I374" s="2"/>
    </row>
    <row r="375" spans="1:9" x14ac:dyDescent="0.25">
      <c r="A375" t="s">
        <v>4</v>
      </c>
      <c r="B375">
        <v>2014</v>
      </c>
      <c r="C375" s="2">
        <v>0</v>
      </c>
      <c r="D375" s="2"/>
      <c r="E375" s="2"/>
      <c r="F375" s="2"/>
      <c r="G375" s="2"/>
      <c r="H375" s="2"/>
      <c r="I375" s="2"/>
    </row>
    <row r="376" spans="1:9" x14ac:dyDescent="0.25">
      <c r="A376" t="s">
        <v>4</v>
      </c>
      <c r="B376">
        <v>2015</v>
      </c>
      <c r="C376" s="2">
        <v>0</v>
      </c>
      <c r="D376" s="2"/>
      <c r="E376" s="2"/>
      <c r="F376" s="2"/>
      <c r="G376" s="2"/>
      <c r="H376" s="2"/>
      <c r="I376" s="2"/>
    </row>
    <row r="377" spans="1:9" x14ac:dyDescent="0.25">
      <c r="A377" t="s">
        <v>4</v>
      </c>
      <c r="B377">
        <v>2016</v>
      </c>
      <c r="C377" s="2">
        <v>0</v>
      </c>
      <c r="D377" s="2"/>
      <c r="E377" s="2"/>
      <c r="F377" s="2"/>
      <c r="G377" s="2"/>
      <c r="H377" s="2"/>
      <c r="I377" s="2"/>
    </row>
    <row r="378" spans="1:9" x14ac:dyDescent="0.25">
      <c r="A378" t="s">
        <v>4</v>
      </c>
      <c r="B378">
        <v>2017</v>
      </c>
      <c r="C378" s="2">
        <v>0</v>
      </c>
      <c r="D378" s="2"/>
      <c r="E378" s="2"/>
      <c r="F378" s="2"/>
      <c r="G378" s="2"/>
      <c r="H378" s="2"/>
      <c r="I378" s="2"/>
    </row>
    <row r="379" spans="1:9" x14ac:dyDescent="0.25">
      <c r="A379" t="s">
        <v>4</v>
      </c>
      <c r="B379">
        <v>2018</v>
      </c>
      <c r="C379" s="2">
        <v>0</v>
      </c>
      <c r="D379" s="2"/>
      <c r="E379" s="2"/>
      <c r="F379" s="2"/>
      <c r="G379" s="2"/>
      <c r="H379" s="2"/>
      <c r="I379" s="2"/>
    </row>
    <row r="380" spans="1:9" x14ac:dyDescent="0.25">
      <c r="A380" t="s">
        <v>4</v>
      </c>
      <c r="B380">
        <v>2019</v>
      </c>
      <c r="C380" s="2">
        <v>0</v>
      </c>
      <c r="D380" s="2"/>
      <c r="E380" s="2"/>
      <c r="F380" s="2"/>
      <c r="G380" s="2"/>
      <c r="H380" s="2"/>
      <c r="I380" s="2"/>
    </row>
    <row r="381" spans="1:9" x14ac:dyDescent="0.25">
      <c r="A381" t="s">
        <v>4</v>
      </c>
      <c r="B381">
        <v>2020</v>
      </c>
      <c r="C381" s="2">
        <v>0</v>
      </c>
      <c r="D381" s="2"/>
      <c r="E381" s="2"/>
      <c r="F381" s="2"/>
      <c r="G381" s="2"/>
      <c r="H381" s="2"/>
      <c r="I381" s="2"/>
    </row>
    <row r="382" spans="1:9" x14ac:dyDescent="0.25">
      <c r="A382" t="s">
        <v>4</v>
      </c>
      <c r="B382">
        <v>2021</v>
      </c>
      <c r="C382" s="2">
        <v>0</v>
      </c>
      <c r="D382" s="2"/>
      <c r="E382" s="2"/>
      <c r="F382" s="2"/>
      <c r="G382" s="2"/>
      <c r="H382" s="2"/>
      <c r="I382" s="2"/>
    </row>
    <row r="383" spans="1:9" x14ac:dyDescent="0.25">
      <c r="A383" t="s">
        <v>4</v>
      </c>
      <c r="B383">
        <v>2022</v>
      </c>
      <c r="C383" s="2">
        <v>551.76300000000003</v>
      </c>
      <c r="D383" s="2"/>
      <c r="E383" s="2"/>
      <c r="F383" s="2"/>
      <c r="G383" s="2"/>
      <c r="H383" s="2"/>
      <c r="I383" s="2"/>
    </row>
    <row r="384" spans="1:9" x14ac:dyDescent="0.25">
      <c r="A384" t="s">
        <v>4</v>
      </c>
      <c r="B384">
        <v>2023</v>
      </c>
      <c r="C384" s="2">
        <v>30304</v>
      </c>
      <c r="D384" s="2"/>
      <c r="E384" s="2"/>
      <c r="F384" s="2"/>
      <c r="G384" s="2"/>
      <c r="H384" s="2"/>
      <c r="I384" s="2"/>
    </row>
    <row r="385" spans="1:9" x14ac:dyDescent="0.25">
      <c r="C385" s="2"/>
      <c r="D385" s="2"/>
      <c r="E385" s="2"/>
      <c r="F385" s="2"/>
      <c r="G385" s="2"/>
      <c r="H385" s="2"/>
      <c r="I385" s="2"/>
    </row>
    <row r="386" spans="1:9" x14ac:dyDescent="0.25">
      <c r="C386" s="2"/>
      <c r="D386" s="2"/>
      <c r="E386" s="2"/>
      <c r="F386" s="2"/>
      <c r="G386" s="2"/>
      <c r="H386" s="2"/>
      <c r="I386" s="2"/>
    </row>
    <row r="387" spans="1:9" x14ac:dyDescent="0.25">
      <c r="A387" s="1" t="s">
        <v>25</v>
      </c>
      <c r="C387" s="2"/>
      <c r="D387" s="2"/>
      <c r="E387" s="2"/>
      <c r="F387" s="2"/>
      <c r="G387" s="2"/>
      <c r="H387" s="2"/>
      <c r="I387" s="2"/>
    </row>
    <row r="388" spans="1:9" x14ac:dyDescent="0.25">
      <c r="C388" s="2"/>
      <c r="D388" s="2"/>
      <c r="E388" s="2"/>
      <c r="F388" s="2"/>
      <c r="G388" s="2"/>
      <c r="H388" s="2"/>
      <c r="I388" s="2"/>
    </row>
    <row r="389" spans="1:9" x14ac:dyDescent="0.25">
      <c r="A389" t="s">
        <v>1</v>
      </c>
      <c r="B389" t="s">
        <v>2</v>
      </c>
      <c r="C389" s="2" t="s">
        <v>3</v>
      </c>
      <c r="D389" s="2"/>
      <c r="E389" s="2"/>
      <c r="F389" s="2"/>
      <c r="G389" s="2"/>
      <c r="H389" s="2"/>
      <c r="I389" s="2"/>
    </row>
    <row r="390" spans="1:9" x14ac:dyDescent="0.25">
      <c r="A390" t="s">
        <v>4</v>
      </c>
      <c r="B390">
        <v>1990</v>
      </c>
      <c r="C390" s="2">
        <v>122.62842226547301</v>
      </c>
      <c r="D390" s="2"/>
      <c r="E390" s="2"/>
      <c r="F390" s="2"/>
      <c r="G390" s="2"/>
      <c r="H390" s="2"/>
      <c r="I390" s="2"/>
    </row>
    <row r="391" spans="1:9" x14ac:dyDescent="0.25">
      <c r="A391" t="s">
        <v>4</v>
      </c>
      <c r="B391">
        <v>2000</v>
      </c>
      <c r="C391" s="2">
        <v>104.560223892333</v>
      </c>
      <c r="D391" s="2"/>
      <c r="E391" s="2"/>
      <c r="F391" s="2"/>
      <c r="G391" s="2"/>
      <c r="H391" s="2"/>
      <c r="I391" s="2"/>
    </row>
    <row r="392" spans="1:9" x14ac:dyDescent="0.25">
      <c r="A392" t="s">
        <v>4</v>
      </c>
      <c r="B392">
        <v>2005</v>
      </c>
      <c r="C392" s="2">
        <v>115.815143805982</v>
      </c>
      <c r="D392" s="2"/>
      <c r="E392" s="2"/>
      <c r="F392" s="2"/>
      <c r="G392" s="2"/>
      <c r="H392" s="2"/>
      <c r="I392" s="2"/>
    </row>
    <row r="393" spans="1:9" x14ac:dyDescent="0.25">
      <c r="A393" t="s">
        <v>4</v>
      </c>
      <c r="B393">
        <v>2006</v>
      </c>
      <c r="C393" s="2">
        <v>104.360321086749</v>
      </c>
      <c r="D393" s="2"/>
      <c r="E393" s="2"/>
      <c r="F393" s="2"/>
      <c r="G393" s="2"/>
      <c r="H393" s="2"/>
      <c r="I393" s="2"/>
    </row>
    <row r="394" spans="1:9" x14ac:dyDescent="0.25">
      <c r="A394" t="s">
        <v>4</v>
      </c>
      <c r="B394">
        <v>2007</v>
      </c>
      <c r="C394" s="2">
        <v>113.22572609463199</v>
      </c>
      <c r="D394" s="2"/>
      <c r="E394" s="2"/>
      <c r="F394" s="2"/>
      <c r="G394" s="2"/>
      <c r="H394" s="2"/>
      <c r="I394" s="2"/>
    </row>
    <row r="395" spans="1:9" x14ac:dyDescent="0.25">
      <c r="A395" t="s">
        <v>4</v>
      </c>
      <c r="B395">
        <v>2008</v>
      </c>
      <c r="C395" s="2">
        <v>120.93374995743</v>
      </c>
      <c r="D395" s="2"/>
      <c r="E395" s="2"/>
      <c r="F395" s="2"/>
      <c r="G395" s="2"/>
      <c r="H395" s="2"/>
      <c r="I395" s="2"/>
    </row>
    <row r="396" spans="1:9" x14ac:dyDescent="0.25">
      <c r="A396" t="s">
        <v>4</v>
      </c>
      <c r="B396">
        <v>2009</v>
      </c>
      <c r="C396" s="2">
        <v>117.73128587847199</v>
      </c>
      <c r="D396" s="2"/>
      <c r="E396" s="2"/>
      <c r="F396" s="2"/>
      <c r="G396" s="2"/>
      <c r="H396" s="2"/>
      <c r="I396" s="2"/>
    </row>
    <row r="397" spans="1:9" x14ac:dyDescent="0.25">
      <c r="A397" t="s">
        <v>4</v>
      </c>
      <c r="B397">
        <v>2010</v>
      </c>
      <c r="C397" s="2">
        <v>113.58231120486801</v>
      </c>
      <c r="D397" s="2"/>
      <c r="E397" s="2"/>
      <c r="F397" s="2"/>
      <c r="G397" s="2"/>
      <c r="H397" s="2"/>
      <c r="I397" s="2"/>
    </row>
    <row r="398" spans="1:9" x14ac:dyDescent="0.25">
      <c r="A398" t="s">
        <v>4</v>
      </c>
      <c r="B398">
        <v>2011</v>
      </c>
      <c r="C398" s="2">
        <v>107.684443448987</v>
      </c>
      <c r="D398" s="2"/>
      <c r="E398" s="2"/>
      <c r="F398" s="2"/>
      <c r="G398" s="2"/>
      <c r="H398" s="2"/>
      <c r="I398" s="2"/>
    </row>
    <row r="399" spans="1:9" x14ac:dyDescent="0.25">
      <c r="A399" t="s">
        <v>4</v>
      </c>
      <c r="B399">
        <v>2012</v>
      </c>
      <c r="C399" s="2">
        <v>122.66139610440101</v>
      </c>
      <c r="D399" s="2"/>
      <c r="E399" s="2"/>
      <c r="F399" s="2"/>
      <c r="G399" s="2"/>
      <c r="H399" s="2"/>
      <c r="I399" s="2"/>
    </row>
    <row r="400" spans="1:9" x14ac:dyDescent="0.25">
      <c r="A400" t="s">
        <v>4</v>
      </c>
      <c r="B400">
        <v>2013</v>
      </c>
      <c r="C400" s="2">
        <v>106.296897099508</v>
      </c>
      <c r="D400" s="2"/>
      <c r="E400" s="2"/>
      <c r="F400" s="2"/>
      <c r="G400" s="2"/>
      <c r="H400" s="2"/>
      <c r="I400" s="2"/>
    </row>
    <row r="401" spans="1:9" x14ac:dyDescent="0.25">
      <c r="A401" t="s">
        <v>4</v>
      </c>
      <c r="B401">
        <v>2014</v>
      </c>
      <c r="C401" s="2">
        <v>104.81514575691099</v>
      </c>
      <c r="D401" s="2"/>
      <c r="E401" s="2"/>
      <c r="F401" s="2"/>
      <c r="G401" s="2"/>
      <c r="H401" s="2"/>
      <c r="I401" s="2"/>
    </row>
    <row r="402" spans="1:9" x14ac:dyDescent="0.25">
      <c r="A402" t="s">
        <v>4</v>
      </c>
      <c r="B402">
        <v>2015</v>
      </c>
      <c r="C402" s="2">
        <v>114.336456321272</v>
      </c>
      <c r="D402" s="2"/>
      <c r="E402" s="2"/>
      <c r="F402" s="2"/>
      <c r="G402" s="2"/>
      <c r="H402" s="2"/>
      <c r="I402" s="2"/>
    </row>
    <row r="403" spans="1:9" x14ac:dyDescent="0.25">
      <c r="A403" t="s">
        <v>4</v>
      </c>
      <c r="B403">
        <v>2016</v>
      </c>
      <c r="C403" s="2">
        <v>116.822051264566</v>
      </c>
      <c r="D403" s="2"/>
      <c r="E403" s="2"/>
      <c r="F403" s="2"/>
      <c r="G403" s="2"/>
      <c r="H403" s="2"/>
      <c r="I403" s="2"/>
    </row>
    <row r="404" spans="1:9" x14ac:dyDescent="0.25">
      <c r="A404" t="s">
        <v>4</v>
      </c>
      <c r="B404">
        <v>2017</v>
      </c>
      <c r="C404" s="2">
        <v>106.87157920419401</v>
      </c>
      <c r="D404" s="2"/>
      <c r="E404" s="2"/>
      <c r="F404" s="2"/>
      <c r="G404" s="2"/>
      <c r="H404" s="2"/>
      <c r="I404" s="2"/>
    </row>
    <row r="405" spans="1:9" x14ac:dyDescent="0.25">
      <c r="A405" t="s">
        <v>4</v>
      </c>
      <c r="B405">
        <v>2018</v>
      </c>
      <c r="C405" s="2">
        <v>109.655373014375</v>
      </c>
      <c r="D405" s="2"/>
      <c r="E405" s="2"/>
      <c r="F405" s="2"/>
      <c r="G405" s="2"/>
      <c r="H405" s="2"/>
      <c r="I405" s="2"/>
    </row>
    <row r="406" spans="1:9" x14ac:dyDescent="0.25">
      <c r="A406" t="s">
        <v>4</v>
      </c>
      <c r="B406">
        <v>2019</v>
      </c>
      <c r="C406" s="2">
        <v>108.767107725714</v>
      </c>
      <c r="D406" s="2"/>
      <c r="E406" s="2"/>
      <c r="F406" s="2"/>
      <c r="G406" s="2"/>
      <c r="H406" s="2"/>
      <c r="I406" s="2"/>
    </row>
    <row r="407" spans="1:9" x14ac:dyDescent="0.25">
      <c r="A407" t="s">
        <v>4</v>
      </c>
      <c r="B407">
        <v>2020</v>
      </c>
      <c r="C407" s="2">
        <v>99.7097844940063</v>
      </c>
      <c r="D407" s="2"/>
      <c r="E407" s="2"/>
      <c r="F407" s="2"/>
      <c r="G407" s="2"/>
      <c r="H407" s="2"/>
      <c r="I407" s="2"/>
    </row>
    <row r="408" spans="1:9" x14ac:dyDescent="0.25">
      <c r="A408" t="s">
        <v>4</v>
      </c>
      <c r="B408">
        <v>2021</v>
      </c>
      <c r="C408" s="2">
        <v>102.774674506165</v>
      </c>
      <c r="D408" s="2"/>
      <c r="E408" s="2"/>
      <c r="F408" s="2"/>
      <c r="G408" s="2"/>
      <c r="H408" s="2"/>
      <c r="I408" s="2"/>
    </row>
    <row r="409" spans="1:9" x14ac:dyDescent="0.25">
      <c r="A409" t="s">
        <v>4</v>
      </c>
      <c r="B409">
        <v>2022</v>
      </c>
      <c r="C409" s="2">
        <v>121.621400435143</v>
      </c>
      <c r="D409" s="2"/>
      <c r="E409" s="2"/>
      <c r="F409" s="2"/>
      <c r="G409" s="2"/>
      <c r="H409" s="2"/>
      <c r="I409" s="2"/>
    </row>
    <row r="410" spans="1:9" x14ac:dyDescent="0.25">
      <c r="A410" t="s">
        <v>4</v>
      </c>
      <c r="B410">
        <v>2023</v>
      </c>
      <c r="C410" s="2">
        <v>121.86040878438099</v>
      </c>
      <c r="D410" s="2"/>
      <c r="E410" s="2"/>
      <c r="F410" s="2"/>
      <c r="G410" s="2"/>
      <c r="H410" s="2"/>
      <c r="I410" s="2"/>
    </row>
    <row r="411" spans="1:9" x14ac:dyDescent="0.25">
      <c r="C411" s="2"/>
      <c r="D411" s="2"/>
      <c r="E411" s="2"/>
      <c r="F411" s="2"/>
      <c r="G411" s="2"/>
      <c r="H411" s="2"/>
      <c r="I411" s="2"/>
    </row>
    <row r="412" spans="1:9" x14ac:dyDescent="0.25">
      <c r="C412" s="2"/>
      <c r="D412" s="2"/>
      <c r="E412" s="2"/>
      <c r="F412" s="2"/>
      <c r="G412" s="2"/>
      <c r="H412" s="2"/>
      <c r="I412" s="2"/>
    </row>
    <row r="413" spans="1:9" x14ac:dyDescent="0.25">
      <c r="A413" s="1" t="s">
        <v>26</v>
      </c>
      <c r="C413" s="2"/>
      <c r="D413" s="2"/>
      <c r="E413" s="2"/>
      <c r="F413" s="2"/>
      <c r="G413" s="2"/>
      <c r="H413" s="2"/>
      <c r="I413" s="2"/>
    </row>
    <row r="414" spans="1:9" x14ac:dyDescent="0.25">
      <c r="C414" s="2"/>
      <c r="D414" s="2"/>
      <c r="E414" s="2"/>
      <c r="F414" s="2"/>
      <c r="G414" s="2"/>
      <c r="H414" s="2"/>
      <c r="I414" s="2"/>
    </row>
    <row r="415" spans="1:9" x14ac:dyDescent="0.25">
      <c r="A415" t="s">
        <v>1</v>
      </c>
      <c r="B415" t="s">
        <v>2</v>
      </c>
      <c r="C415" s="2" t="s">
        <v>3</v>
      </c>
      <c r="D415" s="2"/>
      <c r="E415" s="2"/>
      <c r="F415" s="2"/>
      <c r="G415" s="2"/>
      <c r="H415" s="2"/>
      <c r="I415" s="2"/>
    </row>
    <row r="416" spans="1:9" x14ac:dyDescent="0.25">
      <c r="A416" t="s">
        <v>4</v>
      </c>
      <c r="B416">
        <v>2012</v>
      </c>
      <c r="C416" s="2">
        <v>76.582260917642003</v>
      </c>
      <c r="D416" s="2"/>
      <c r="E416" s="2"/>
      <c r="F416" s="2"/>
      <c r="G416" s="2"/>
      <c r="H416" s="2"/>
      <c r="I416" s="2"/>
    </row>
    <row r="417" spans="1:9" x14ac:dyDescent="0.25">
      <c r="A417" t="s">
        <v>4</v>
      </c>
      <c r="B417">
        <v>2013</v>
      </c>
      <c r="C417" s="2">
        <v>75.8539420390223</v>
      </c>
      <c r="D417" s="2"/>
      <c r="E417" s="2"/>
      <c r="F417" s="2"/>
      <c r="G417" s="2"/>
      <c r="H417" s="2"/>
      <c r="I417" s="2"/>
    </row>
    <row r="418" spans="1:9" x14ac:dyDescent="0.25">
      <c r="A418" t="s">
        <v>4</v>
      </c>
      <c r="B418">
        <v>2014</v>
      </c>
      <c r="C418" s="2">
        <v>78.633464956200598</v>
      </c>
      <c r="D418" s="2"/>
      <c r="E418" s="2"/>
      <c r="F418" s="2"/>
      <c r="G418" s="2"/>
      <c r="H418" s="2"/>
      <c r="I418" s="2"/>
    </row>
    <row r="419" spans="1:9" x14ac:dyDescent="0.25">
      <c r="A419" t="s">
        <v>4</v>
      </c>
      <c r="B419">
        <v>2015</v>
      </c>
      <c r="C419" s="2">
        <v>80.157148491289306</v>
      </c>
      <c r="D419" s="2"/>
      <c r="E419" s="2"/>
      <c r="F419" s="2"/>
      <c r="G419" s="2"/>
      <c r="H419" s="2"/>
      <c r="I419" s="2"/>
    </row>
    <row r="420" spans="1:9" x14ac:dyDescent="0.25">
      <c r="A420" t="s">
        <v>4</v>
      </c>
      <c r="B420">
        <v>2016</v>
      </c>
      <c r="C420" s="2">
        <v>80.061742074365</v>
      </c>
      <c r="D420" s="2"/>
      <c r="E420" s="2"/>
      <c r="F420" s="2"/>
      <c r="G420" s="2"/>
      <c r="H420" s="2"/>
      <c r="I420" s="2"/>
    </row>
    <row r="421" spans="1:9" x14ac:dyDescent="0.25">
      <c r="A421" t="s">
        <v>4</v>
      </c>
      <c r="B421">
        <v>2017</v>
      </c>
      <c r="C421" s="2">
        <v>77.977606213712704</v>
      </c>
      <c r="D421" s="2"/>
      <c r="E421" s="2"/>
      <c r="F421" s="2"/>
      <c r="G421" s="2"/>
      <c r="H421" s="2"/>
      <c r="I421" s="2"/>
    </row>
    <row r="422" spans="1:9" x14ac:dyDescent="0.25">
      <c r="A422" t="s">
        <v>4</v>
      </c>
      <c r="B422">
        <v>2018</v>
      </c>
      <c r="C422" s="2">
        <v>80.063862897319197</v>
      </c>
      <c r="D422" s="2"/>
      <c r="E422" s="2"/>
      <c r="F422" s="2"/>
      <c r="G422" s="2"/>
      <c r="H422" s="2"/>
      <c r="I422" s="2"/>
    </row>
    <row r="423" spans="1:9" x14ac:dyDescent="0.25">
      <c r="A423" t="s">
        <v>4</v>
      </c>
      <c r="B423">
        <v>2019</v>
      </c>
      <c r="C423" s="2">
        <v>79.698076581766898</v>
      </c>
      <c r="D423" s="2"/>
      <c r="E423" s="2"/>
      <c r="F423" s="2"/>
      <c r="G423" s="2"/>
      <c r="H423" s="2"/>
      <c r="I423" s="2"/>
    </row>
    <row r="424" spans="1:9" x14ac:dyDescent="0.25">
      <c r="A424" t="s">
        <v>4</v>
      </c>
      <c r="B424">
        <v>2020</v>
      </c>
      <c r="C424" s="2">
        <v>79.631682420074597</v>
      </c>
      <c r="D424" s="2"/>
      <c r="E424" s="2"/>
      <c r="F424" s="2"/>
      <c r="G424" s="2"/>
      <c r="H424" s="2"/>
      <c r="I424" s="2"/>
    </row>
    <row r="425" spans="1:9" x14ac:dyDescent="0.25">
      <c r="A425" t="s">
        <v>4</v>
      </c>
      <c r="B425">
        <v>2021</v>
      </c>
      <c r="C425" s="2">
        <v>78.800815611110806</v>
      </c>
      <c r="D425" s="2"/>
      <c r="E425" s="2"/>
      <c r="F425" s="2"/>
      <c r="G425" s="2"/>
      <c r="H425" s="2"/>
      <c r="I425" s="2"/>
    </row>
    <row r="426" spans="1:9" x14ac:dyDescent="0.25">
      <c r="A426" t="s">
        <v>4</v>
      </c>
      <c r="B426">
        <v>2022</v>
      </c>
      <c r="C426" s="2">
        <v>76.0870993419787</v>
      </c>
      <c r="D426" s="2"/>
      <c r="E426" s="2"/>
      <c r="F426" s="2"/>
      <c r="G426" s="2"/>
      <c r="H426" s="2"/>
      <c r="I426" s="2"/>
    </row>
    <row r="427" spans="1:9" x14ac:dyDescent="0.25">
      <c r="A427" t="s">
        <v>4</v>
      </c>
      <c r="B427">
        <v>2023</v>
      </c>
      <c r="C427" s="2">
        <v>76.287331045690806</v>
      </c>
      <c r="D427" s="2"/>
      <c r="E427" s="2"/>
      <c r="F427" s="2"/>
      <c r="G427" s="2"/>
      <c r="H427" s="2"/>
      <c r="I427" s="2"/>
    </row>
    <row r="430" spans="1:9" x14ac:dyDescent="0.25">
      <c r="A430" s="1" t="s">
        <v>27</v>
      </c>
      <c r="C430" s="2"/>
      <c r="D430" s="2"/>
      <c r="E430" s="2"/>
      <c r="F430" s="2"/>
      <c r="G430" s="2"/>
      <c r="H430" s="2"/>
      <c r="I430" s="2"/>
    </row>
    <row r="431" spans="1:9" x14ac:dyDescent="0.25">
      <c r="C431" s="2"/>
      <c r="D431" s="2"/>
      <c r="E431" s="2"/>
      <c r="F431" s="2"/>
      <c r="G431" s="2"/>
      <c r="H431" s="2"/>
      <c r="I431" s="2"/>
    </row>
    <row r="432" spans="1:9" x14ac:dyDescent="0.25">
      <c r="A432" t="s">
        <v>1</v>
      </c>
      <c r="B432" t="s">
        <v>2</v>
      </c>
      <c r="C432" s="2" t="s">
        <v>28</v>
      </c>
      <c r="D432" s="2" t="s">
        <v>29</v>
      </c>
      <c r="E432" s="2" t="s">
        <v>30</v>
      </c>
      <c r="F432" s="2"/>
      <c r="G432" s="2"/>
      <c r="H432" s="2"/>
      <c r="I432" s="2"/>
    </row>
    <row r="433" spans="1:9" x14ac:dyDescent="0.25">
      <c r="A433" t="s">
        <v>4</v>
      </c>
      <c r="B433">
        <v>1990</v>
      </c>
      <c r="C433" s="2">
        <v>0</v>
      </c>
      <c r="D433" s="2">
        <v>0</v>
      </c>
      <c r="E433" s="2">
        <v>3737255.3576281001</v>
      </c>
      <c r="F433" s="2"/>
      <c r="G433" s="2"/>
      <c r="H433" s="2"/>
      <c r="I433" s="2"/>
    </row>
    <row r="434" spans="1:9" x14ac:dyDescent="0.25">
      <c r="A434" t="s">
        <v>4</v>
      </c>
      <c r="B434">
        <v>2000</v>
      </c>
      <c r="C434" s="2">
        <v>456628.04998390703</v>
      </c>
      <c r="D434" s="2">
        <v>334012.983423642</v>
      </c>
      <c r="E434" s="2">
        <v>7564807.1058145501</v>
      </c>
      <c r="F434" s="2"/>
      <c r="G434" s="2"/>
      <c r="H434" s="2"/>
      <c r="I434" s="2"/>
    </row>
    <row r="435" spans="1:9" x14ac:dyDescent="0.25">
      <c r="A435" t="s">
        <v>4</v>
      </c>
      <c r="B435">
        <v>2005</v>
      </c>
      <c r="C435" s="2">
        <v>415367.794670715</v>
      </c>
      <c r="D435" s="2">
        <v>30700.7305906867</v>
      </c>
      <c r="E435" s="2">
        <v>9844764.8803714905</v>
      </c>
      <c r="F435" s="2"/>
      <c r="G435" s="2"/>
      <c r="H435" s="2"/>
      <c r="I435" s="2"/>
    </row>
    <row r="436" spans="1:9" x14ac:dyDescent="0.25">
      <c r="A436" t="s">
        <v>4</v>
      </c>
      <c r="B436">
        <v>2006</v>
      </c>
      <c r="C436" s="2">
        <v>382196.99762695702</v>
      </c>
      <c r="D436" s="2">
        <v>32717.807325337599</v>
      </c>
      <c r="E436" s="2">
        <v>9701877.6503529008</v>
      </c>
      <c r="F436" s="2"/>
      <c r="G436" s="2"/>
      <c r="H436" s="2"/>
      <c r="I436" s="2"/>
    </row>
    <row r="437" spans="1:9" x14ac:dyDescent="0.25">
      <c r="A437" t="s">
        <v>4</v>
      </c>
      <c r="B437">
        <v>2007</v>
      </c>
      <c r="C437" s="2">
        <v>711532.87587643706</v>
      </c>
      <c r="D437" s="2">
        <v>152726.26906252699</v>
      </c>
      <c r="E437" s="2">
        <v>28898187.681526601</v>
      </c>
      <c r="F437" s="2"/>
      <c r="G437" s="2"/>
      <c r="H437" s="2"/>
      <c r="I437" s="2"/>
    </row>
    <row r="438" spans="1:9" x14ac:dyDescent="0.25">
      <c r="A438" t="s">
        <v>4</v>
      </c>
      <c r="B438">
        <v>2008</v>
      </c>
      <c r="C438" s="2">
        <v>696065.12146591896</v>
      </c>
      <c r="D438" s="2">
        <v>207166.859371214</v>
      </c>
      <c r="E438" s="2">
        <v>29140696.927726898</v>
      </c>
      <c r="F438" s="2"/>
      <c r="G438" s="2"/>
      <c r="H438" s="2"/>
      <c r="I438" s="2"/>
    </row>
    <row r="439" spans="1:9" x14ac:dyDescent="0.25">
      <c r="A439" t="s">
        <v>4</v>
      </c>
      <c r="B439">
        <v>2009</v>
      </c>
      <c r="C439" s="2">
        <v>733183.52048409299</v>
      </c>
      <c r="D439" s="2">
        <v>286268.14830365998</v>
      </c>
      <c r="E439" s="2">
        <v>26831146.351787701</v>
      </c>
      <c r="F439" s="2"/>
      <c r="G439" s="2"/>
      <c r="H439" s="2"/>
      <c r="I439" s="2"/>
    </row>
    <row r="440" spans="1:9" x14ac:dyDescent="0.25">
      <c r="A440" t="s">
        <v>4</v>
      </c>
      <c r="B440">
        <v>2010</v>
      </c>
      <c r="C440" s="2">
        <v>710091.10496968904</v>
      </c>
      <c r="D440" s="2">
        <v>240034.090745892</v>
      </c>
      <c r="E440" s="2">
        <v>29417451.025461901</v>
      </c>
      <c r="F440" s="2"/>
      <c r="G440" s="2"/>
      <c r="H440" s="2"/>
      <c r="I440" s="2"/>
    </row>
    <row r="441" spans="1:9" x14ac:dyDescent="0.25">
      <c r="A441" t="s">
        <v>4</v>
      </c>
      <c r="B441">
        <v>2011</v>
      </c>
      <c r="C441" s="2">
        <v>738569.06276935898</v>
      </c>
      <c r="D441" s="2">
        <v>379063.32244677102</v>
      </c>
      <c r="E441" s="2">
        <v>30371171.0958324</v>
      </c>
      <c r="F441" s="2"/>
      <c r="G441" s="2"/>
      <c r="H441" s="2"/>
      <c r="I441" s="2"/>
    </row>
    <row r="442" spans="1:9" x14ac:dyDescent="0.25">
      <c r="A442" t="s">
        <v>4</v>
      </c>
      <c r="B442">
        <v>2012</v>
      </c>
      <c r="C442" s="2">
        <v>773376.00227000006</v>
      </c>
      <c r="D442" s="2">
        <v>449618.01815999998</v>
      </c>
      <c r="E442" s="2">
        <v>27812157.87957</v>
      </c>
      <c r="F442" s="2"/>
      <c r="G442" s="2"/>
      <c r="H442" s="2"/>
      <c r="I442" s="2"/>
    </row>
    <row r="443" spans="1:9" x14ac:dyDescent="0.25">
      <c r="A443" t="s">
        <v>4</v>
      </c>
      <c r="B443">
        <v>2013</v>
      </c>
      <c r="C443" s="2">
        <v>802365.98575999995</v>
      </c>
      <c r="D443" s="2">
        <v>647066.39815000002</v>
      </c>
      <c r="E443" s="2">
        <v>27668326.216090001</v>
      </c>
      <c r="F443" s="2"/>
      <c r="G443" s="2"/>
      <c r="H443" s="2"/>
      <c r="I443" s="2"/>
    </row>
    <row r="444" spans="1:9" x14ac:dyDescent="0.25">
      <c r="A444" t="s">
        <v>4</v>
      </c>
      <c r="B444">
        <v>2014</v>
      </c>
      <c r="C444" s="2">
        <v>1255506.17502</v>
      </c>
      <c r="D444" s="2">
        <v>378830.17323999997</v>
      </c>
      <c r="E444" s="2">
        <v>27010561.051739998</v>
      </c>
      <c r="F444" s="2"/>
      <c r="G444" s="2"/>
      <c r="H444" s="2"/>
      <c r="I444" s="2"/>
    </row>
    <row r="445" spans="1:9" x14ac:dyDescent="0.25">
      <c r="A445" t="s">
        <v>4</v>
      </c>
      <c r="B445">
        <v>2015</v>
      </c>
      <c r="C445" s="2">
        <v>1350359.45686</v>
      </c>
      <c r="D445" s="2">
        <v>478642.56306999997</v>
      </c>
      <c r="E445" s="2">
        <v>28661215.08007</v>
      </c>
      <c r="F445" s="2"/>
      <c r="G445" s="2"/>
      <c r="H445" s="2"/>
      <c r="I445" s="2"/>
    </row>
    <row r="446" spans="1:9" x14ac:dyDescent="0.25">
      <c r="A446" t="s">
        <v>4</v>
      </c>
      <c r="B446">
        <v>2016</v>
      </c>
      <c r="C446" s="2">
        <v>1028961.37466</v>
      </c>
      <c r="D446" s="2">
        <v>868805.54891999997</v>
      </c>
      <c r="E446" s="2">
        <v>28038560.176419999</v>
      </c>
      <c r="F446" s="2"/>
      <c r="G446" s="2"/>
      <c r="H446" s="2"/>
      <c r="I446" s="2"/>
    </row>
    <row r="447" spans="1:9" x14ac:dyDescent="0.25">
      <c r="A447" t="s">
        <v>4</v>
      </c>
      <c r="B447">
        <v>2017</v>
      </c>
      <c r="C447" s="2">
        <v>701039.98129999998</v>
      </c>
      <c r="D447" s="2">
        <v>910880.49153</v>
      </c>
      <c r="E447" s="2">
        <v>27413984.227170002</v>
      </c>
      <c r="F447" s="2"/>
      <c r="G447" s="2"/>
      <c r="H447" s="2"/>
      <c r="I447" s="2"/>
    </row>
    <row r="448" spans="1:9" x14ac:dyDescent="0.25">
      <c r="A448" t="s">
        <v>4</v>
      </c>
      <c r="B448">
        <v>2018</v>
      </c>
      <c r="C448" s="2">
        <v>819466.09013999999</v>
      </c>
      <c r="D448" s="2">
        <v>748122.10387999995</v>
      </c>
      <c r="E448" s="2">
        <v>29112848.605980001</v>
      </c>
      <c r="F448" s="2"/>
      <c r="G448" s="2"/>
      <c r="H448" s="2"/>
      <c r="I448" s="2"/>
    </row>
    <row r="449" spans="1:9" x14ac:dyDescent="0.25">
      <c r="A449" t="s">
        <v>4</v>
      </c>
      <c r="B449">
        <v>2019</v>
      </c>
      <c r="C449" s="2">
        <v>819025.84083999996</v>
      </c>
      <c r="D449" s="2">
        <v>1042427.80012999</v>
      </c>
      <c r="E449" s="2">
        <v>26768338.05903</v>
      </c>
      <c r="F449" s="2"/>
      <c r="G449" s="2"/>
      <c r="H449" s="2"/>
      <c r="I449" s="2"/>
    </row>
    <row r="450" spans="1:9" x14ac:dyDescent="0.25">
      <c r="A450" t="s">
        <v>4</v>
      </c>
      <c r="B450">
        <v>2020</v>
      </c>
      <c r="C450" s="2">
        <v>1015752.72590466</v>
      </c>
      <c r="D450" s="2">
        <v>1003378.6166426</v>
      </c>
      <c r="E450" s="2">
        <v>20978391.257647999</v>
      </c>
      <c r="F450" s="2"/>
      <c r="G450" s="2"/>
      <c r="H450" s="2"/>
      <c r="I450" s="2"/>
    </row>
    <row r="451" spans="1:9" x14ac:dyDescent="0.25">
      <c r="A451" t="s">
        <v>4</v>
      </c>
      <c r="B451">
        <v>2021</v>
      </c>
      <c r="C451" s="2">
        <v>852102.27667184302</v>
      </c>
      <c r="D451" s="2">
        <v>1415622.1862019901</v>
      </c>
      <c r="E451" s="2">
        <v>28810288.844144501</v>
      </c>
      <c r="F451" s="2"/>
      <c r="G451" s="2"/>
      <c r="H451" s="2"/>
      <c r="I451" s="2"/>
    </row>
    <row r="452" spans="1:9" x14ac:dyDescent="0.25">
      <c r="A452" t="s">
        <v>4</v>
      </c>
      <c r="B452">
        <v>2022</v>
      </c>
      <c r="C452" s="2">
        <v>1068546.9256210499</v>
      </c>
      <c r="D452" s="2">
        <v>1374521.3940725001</v>
      </c>
      <c r="E452" s="2">
        <v>30615377.926810801</v>
      </c>
      <c r="F452" s="2"/>
      <c r="G452" s="2"/>
      <c r="H452" s="2"/>
      <c r="I452" s="2"/>
    </row>
    <row r="453" spans="1:9" x14ac:dyDescent="0.25">
      <c r="A453" t="s">
        <v>4</v>
      </c>
      <c r="B453">
        <v>2023</v>
      </c>
      <c r="C453" s="2">
        <v>1623996.24724186</v>
      </c>
      <c r="D453" s="2">
        <v>1182131.97900036</v>
      </c>
      <c r="E453" s="2">
        <v>29425348.192044199</v>
      </c>
      <c r="F453" s="2"/>
      <c r="G453" s="2"/>
      <c r="H453" s="2"/>
      <c r="I453" s="2"/>
    </row>
    <row r="456" spans="1:9" x14ac:dyDescent="0.25">
      <c r="A456" s="1" t="s">
        <v>31</v>
      </c>
      <c r="C456" s="2"/>
      <c r="D456" s="2"/>
      <c r="E456" s="2"/>
      <c r="F456" s="2"/>
      <c r="G456" s="2"/>
      <c r="H456" s="2"/>
      <c r="I456" s="2"/>
    </row>
    <row r="457" spans="1:9" x14ac:dyDescent="0.25">
      <c r="C457" s="2"/>
      <c r="D457" s="2"/>
      <c r="E457" s="2"/>
      <c r="F457" s="2"/>
      <c r="G457" s="2"/>
      <c r="H457" s="2"/>
      <c r="I457" s="2"/>
    </row>
    <row r="458" spans="1:9" x14ac:dyDescent="0.25">
      <c r="A458" t="s">
        <v>1</v>
      </c>
      <c r="B458" t="s">
        <v>2</v>
      </c>
      <c r="C458" s="2" t="s">
        <v>3</v>
      </c>
      <c r="D458" s="2"/>
      <c r="E458" s="2"/>
      <c r="F458" s="2"/>
      <c r="G458" s="2"/>
      <c r="H458" s="2"/>
      <c r="I458" s="2"/>
    </row>
    <row r="459" spans="1:9" x14ac:dyDescent="0.25">
      <c r="A459" t="s">
        <v>4</v>
      </c>
      <c r="B459">
        <v>1990</v>
      </c>
      <c r="C459" s="2">
        <v>3607.1595416007199</v>
      </c>
      <c r="D459" s="2"/>
      <c r="E459" s="2"/>
      <c r="F459" s="2"/>
      <c r="G459" s="2"/>
      <c r="H459" s="2"/>
      <c r="I459" s="2"/>
    </row>
    <row r="460" spans="1:9" x14ac:dyDescent="0.25">
      <c r="A460" t="s">
        <v>4</v>
      </c>
      <c r="B460">
        <v>2000</v>
      </c>
      <c r="C460" s="2">
        <v>4028.6771166643698</v>
      </c>
      <c r="D460" s="2"/>
      <c r="E460" s="2"/>
      <c r="F460" s="2"/>
      <c r="G460" s="2"/>
      <c r="H460" s="2"/>
      <c r="I460" s="2"/>
    </row>
    <row r="461" spans="1:9" x14ac:dyDescent="0.25">
      <c r="A461" t="s">
        <v>4</v>
      </c>
      <c r="B461">
        <v>2005</v>
      </c>
      <c r="C461" s="2">
        <v>4071.18393244237</v>
      </c>
      <c r="D461" s="2"/>
      <c r="E461" s="2"/>
      <c r="F461" s="2"/>
      <c r="G461" s="2"/>
      <c r="H461" s="2"/>
      <c r="I461" s="2"/>
    </row>
    <row r="462" spans="1:9" x14ac:dyDescent="0.25">
      <c r="A462" t="s">
        <v>4</v>
      </c>
      <c r="B462">
        <v>2006</v>
      </c>
      <c r="C462" s="2">
        <v>4124.5438244544703</v>
      </c>
      <c r="D462" s="2"/>
      <c r="E462" s="2"/>
      <c r="F462" s="2"/>
      <c r="G462" s="2"/>
      <c r="H462" s="2"/>
      <c r="I462" s="2"/>
    </row>
    <row r="463" spans="1:9" x14ac:dyDescent="0.25">
      <c r="A463" t="s">
        <v>4</v>
      </c>
      <c r="B463">
        <v>2007</v>
      </c>
      <c r="C463" s="2">
        <v>3741.0125471454098</v>
      </c>
      <c r="D463" s="2"/>
      <c r="E463" s="2"/>
      <c r="F463" s="2"/>
      <c r="G463" s="2"/>
      <c r="H463" s="2"/>
      <c r="I463" s="2"/>
    </row>
    <row r="464" spans="1:9" x14ac:dyDescent="0.25">
      <c r="A464" t="s">
        <v>4</v>
      </c>
      <c r="B464">
        <v>2008</v>
      </c>
      <c r="C464" s="2">
        <v>3712.0373335927202</v>
      </c>
      <c r="D464" s="2"/>
      <c r="E464" s="2"/>
      <c r="F464" s="2"/>
      <c r="G464" s="2"/>
      <c r="H464" s="2"/>
      <c r="I464" s="2"/>
    </row>
    <row r="465" spans="1:9" x14ac:dyDescent="0.25">
      <c r="A465" t="s">
        <v>4</v>
      </c>
      <c r="B465">
        <v>2009</v>
      </c>
      <c r="C465" s="2">
        <v>3642.2850091611299</v>
      </c>
      <c r="D465" s="2"/>
      <c r="E465" s="2"/>
      <c r="F465" s="2"/>
      <c r="G465" s="2"/>
      <c r="H465" s="2"/>
      <c r="I465" s="2"/>
    </row>
    <row r="466" spans="1:9" x14ac:dyDescent="0.25">
      <c r="A466" t="s">
        <v>4</v>
      </c>
      <c r="B466">
        <v>2010</v>
      </c>
      <c r="C466" s="2">
        <v>3678.7389199156</v>
      </c>
      <c r="D466" s="2"/>
      <c r="E466" s="2"/>
      <c r="F466" s="2"/>
      <c r="G466" s="2"/>
      <c r="H466" s="2"/>
      <c r="I466" s="2"/>
    </row>
    <row r="467" spans="1:9" x14ac:dyDescent="0.25">
      <c r="A467" t="s">
        <v>4</v>
      </c>
      <c r="B467">
        <v>2011</v>
      </c>
      <c r="C467" s="2">
        <v>3649.0096467316098</v>
      </c>
      <c r="D467" s="2"/>
      <c r="E467" s="2"/>
      <c r="F467" s="2"/>
      <c r="G467" s="2"/>
      <c r="H467" s="2"/>
      <c r="I467" s="2"/>
    </row>
    <row r="468" spans="1:9" x14ac:dyDescent="0.25">
      <c r="A468" t="s">
        <v>4</v>
      </c>
      <c r="B468">
        <v>2012</v>
      </c>
      <c r="C468" s="2">
        <v>3578.9710031494001</v>
      </c>
      <c r="D468" s="2"/>
      <c r="E468" s="2"/>
      <c r="F468" s="2"/>
      <c r="G468" s="2"/>
      <c r="H468" s="2"/>
      <c r="I468" s="2"/>
    </row>
    <row r="469" spans="1:9" x14ac:dyDescent="0.25">
      <c r="A469" t="s">
        <v>4</v>
      </c>
      <c r="B469">
        <v>2013</v>
      </c>
      <c r="C469" s="2">
        <v>3561.9020275360799</v>
      </c>
      <c r="D469" s="2"/>
      <c r="E469" s="2"/>
      <c r="F469" s="2"/>
      <c r="G469" s="2"/>
      <c r="H469" s="2"/>
      <c r="I469" s="2"/>
    </row>
    <row r="470" spans="1:9" x14ac:dyDescent="0.25">
      <c r="A470" t="s">
        <v>4</v>
      </c>
      <c r="B470">
        <v>2014</v>
      </c>
      <c r="C470" s="2">
        <v>3556.0294992259901</v>
      </c>
      <c r="D470" s="2"/>
      <c r="E470" s="2"/>
      <c r="F470" s="2"/>
      <c r="G470" s="2"/>
      <c r="H470" s="2"/>
      <c r="I470" s="2"/>
    </row>
    <row r="471" spans="1:9" x14ac:dyDescent="0.25">
      <c r="A471" t="s">
        <v>4</v>
      </c>
      <c r="B471">
        <v>2015</v>
      </c>
      <c r="C471" s="2">
        <v>3611.5024158783799</v>
      </c>
      <c r="D471" s="2"/>
      <c r="E471" s="2"/>
      <c r="F471" s="2"/>
      <c r="G471" s="2"/>
      <c r="H471" s="2"/>
      <c r="I471" s="2"/>
    </row>
    <row r="472" spans="1:9" x14ac:dyDescent="0.25">
      <c r="A472" t="s">
        <v>4</v>
      </c>
      <c r="B472">
        <v>2016</v>
      </c>
      <c r="C472" s="2">
        <v>3570.8412201167598</v>
      </c>
      <c r="D472" s="2"/>
      <c r="E472" s="2"/>
      <c r="F472" s="2"/>
      <c r="G472" s="2"/>
      <c r="H472" s="2"/>
      <c r="I472" s="2"/>
    </row>
    <row r="473" spans="1:9" x14ac:dyDescent="0.25">
      <c r="A473" t="s">
        <v>4</v>
      </c>
      <c r="B473">
        <v>2017</v>
      </c>
      <c r="C473" s="2">
        <v>3566.2766006207198</v>
      </c>
      <c r="D473" s="2"/>
      <c r="E473" s="2"/>
      <c r="F473" s="2"/>
      <c r="G473" s="2"/>
      <c r="H473" s="2"/>
      <c r="I473" s="2"/>
    </row>
    <row r="474" spans="1:9" x14ac:dyDescent="0.25">
      <c r="A474" t="s">
        <v>4</v>
      </c>
      <c r="B474">
        <v>2018</v>
      </c>
      <c r="C474" s="2">
        <v>3589.5495936699799</v>
      </c>
      <c r="D474" s="2"/>
      <c r="E474" s="2"/>
      <c r="F474" s="2"/>
      <c r="G474" s="2"/>
      <c r="H474" s="2"/>
      <c r="I474" s="2"/>
    </row>
    <row r="475" spans="1:9" x14ac:dyDescent="0.25">
      <c r="A475" t="s">
        <v>4</v>
      </c>
      <c r="B475">
        <v>2019</v>
      </c>
      <c r="C475" s="2">
        <v>3511.6699568694698</v>
      </c>
      <c r="D475" s="2"/>
      <c r="E475" s="2"/>
      <c r="F475" s="2"/>
      <c r="G475" s="2"/>
      <c r="H475" s="2"/>
      <c r="I475" s="2"/>
    </row>
    <row r="476" spans="1:9" x14ac:dyDescent="0.25">
      <c r="A476" t="s">
        <v>4</v>
      </c>
      <c r="B476">
        <v>2020</v>
      </c>
      <c r="C476" s="2">
        <v>3469.52862346954</v>
      </c>
      <c r="D476" s="2"/>
      <c r="E476" s="2"/>
      <c r="F476" s="2"/>
      <c r="G476" s="2"/>
      <c r="H476" s="2"/>
      <c r="I476" s="2"/>
    </row>
    <row r="477" spans="1:9" x14ac:dyDescent="0.25">
      <c r="A477" t="s">
        <v>4</v>
      </c>
      <c r="B477">
        <v>2021</v>
      </c>
      <c r="C477" s="2">
        <v>3412.0921206194598</v>
      </c>
      <c r="D477" s="2"/>
      <c r="E477" s="2"/>
      <c r="F477" s="2"/>
      <c r="G477" s="2"/>
      <c r="H477" s="2"/>
      <c r="I477" s="2"/>
    </row>
    <row r="478" spans="1:9" x14ac:dyDescent="0.25">
      <c r="A478" t="s">
        <v>4</v>
      </c>
      <c r="B478">
        <v>2022</v>
      </c>
      <c r="C478" s="2">
        <v>3409.0084255644902</v>
      </c>
      <c r="D478" s="2"/>
      <c r="E478" s="2"/>
      <c r="F478" s="2"/>
      <c r="G478" s="2"/>
      <c r="H478" s="2"/>
      <c r="I478" s="2"/>
    </row>
    <row r="479" spans="1:9" x14ac:dyDescent="0.25">
      <c r="A479" t="s">
        <v>4</v>
      </c>
      <c r="B479">
        <v>2023</v>
      </c>
      <c r="C479" s="2">
        <v>3424.9880546454801</v>
      </c>
      <c r="D479" s="2"/>
      <c r="E479" s="2"/>
      <c r="F479" s="2"/>
      <c r="G479" s="2"/>
      <c r="H479" s="2"/>
      <c r="I479" s="2"/>
    </row>
    <row r="482" spans="1:9" x14ac:dyDescent="0.25">
      <c r="A482" s="1" t="s">
        <v>32</v>
      </c>
      <c r="C482" s="2"/>
      <c r="D482" s="2"/>
      <c r="E482" s="2"/>
      <c r="F482" s="2"/>
      <c r="G482" s="2"/>
      <c r="H482" s="2"/>
      <c r="I482" s="2"/>
    </row>
    <row r="483" spans="1:9" x14ac:dyDescent="0.25">
      <c r="A483" s="1"/>
      <c r="C483" s="2"/>
      <c r="D483" s="2"/>
      <c r="E483" s="2"/>
      <c r="F483" s="2"/>
      <c r="G483" s="2"/>
      <c r="H483" s="2"/>
      <c r="I483" s="2"/>
    </row>
    <row r="484" spans="1:9" x14ac:dyDescent="0.25">
      <c r="A484" s="5" t="s">
        <v>1</v>
      </c>
      <c r="B484" t="s">
        <v>2</v>
      </c>
      <c r="C484" s="2" t="s">
        <v>6</v>
      </c>
      <c r="D484" s="2" t="s">
        <v>3</v>
      </c>
      <c r="E484" s="2"/>
      <c r="F484" s="2"/>
      <c r="G484" s="2"/>
      <c r="H484" s="2"/>
      <c r="I484" s="2"/>
    </row>
    <row r="485" spans="1:9" x14ac:dyDescent="0.25">
      <c r="A485" s="6" t="s">
        <v>4</v>
      </c>
      <c r="B485">
        <v>2016</v>
      </c>
      <c r="C485" s="2" t="s">
        <v>8</v>
      </c>
      <c r="D485" s="2">
        <v>3456.2304000149302</v>
      </c>
      <c r="E485" s="2"/>
      <c r="F485" s="2"/>
      <c r="G485" s="2"/>
      <c r="H485" s="2"/>
      <c r="I485" s="2"/>
    </row>
    <row r="486" spans="1:9" x14ac:dyDescent="0.25">
      <c r="A486" s="6" t="s">
        <v>4</v>
      </c>
      <c r="B486">
        <v>2016</v>
      </c>
      <c r="C486" s="2" t="s">
        <v>7</v>
      </c>
      <c r="D486" s="2">
        <v>3658.0403989209499</v>
      </c>
      <c r="E486" s="2"/>
      <c r="F486" s="2"/>
      <c r="G486" s="2"/>
      <c r="H486" s="2"/>
      <c r="I486" s="2"/>
    </row>
    <row r="487" spans="1:9" x14ac:dyDescent="0.25">
      <c r="A487" s="6" t="s">
        <v>4</v>
      </c>
      <c r="B487">
        <v>2017</v>
      </c>
      <c r="C487" s="2" t="s">
        <v>8</v>
      </c>
      <c r="D487" s="2">
        <v>3450.2783680177999</v>
      </c>
      <c r="E487" s="2"/>
      <c r="F487" s="2"/>
      <c r="G487" s="2"/>
      <c r="H487" s="2"/>
      <c r="I487" s="2"/>
    </row>
    <row r="488" spans="1:9" x14ac:dyDescent="0.25">
      <c r="A488" s="6" t="s">
        <v>4</v>
      </c>
      <c r="B488">
        <v>2018</v>
      </c>
      <c r="C488" s="2" t="s">
        <v>8</v>
      </c>
      <c r="D488" s="2">
        <v>3453.3521520018598</v>
      </c>
      <c r="E488" s="2"/>
      <c r="F488" s="2"/>
      <c r="G488" s="2"/>
      <c r="H488" s="2"/>
      <c r="I488" s="2"/>
    </row>
    <row r="489" spans="1:9" x14ac:dyDescent="0.25">
      <c r="A489" s="6" t="s">
        <v>4</v>
      </c>
      <c r="B489">
        <v>2018</v>
      </c>
      <c r="C489" s="2" t="s">
        <v>7</v>
      </c>
      <c r="D489" s="2">
        <v>3740.1680940456499</v>
      </c>
      <c r="E489" s="2"/>
      <c r="F489" s="2"/>
      <c r="G489" s="2"/>
      <c r="H489" s="2"/>
      <c r="I489" s="2"/>
    </row>
    <row r="490" spans="1:9" x14ac:dyDescent="0.25">
      <c r="A490" s="6" t="s">
        <v>4</v>
      </c>
      <c r="B490">
        <v>2019</v>
      </c>
      <c r="C490" s="2" t="s">
        <v>7</v>
      </c>
      <c r="D490" s="2">
        <v>3568.59563830251</v>
      </c>
      <c r="E490" s="2"/>
      <c r="F490" s="2"/>
      <c r="G490" s="2"/>
      <c r="H490" s="2"/>
      <c r="I490" s="2"/>
    </row>
    <row r="491" spans="1:9" x14ac:dyDescent="0.25">
      <c r="A491" s="6" t="s">
        <v>4</v>
      </c>
      <c r="B491">
        <v>2020</v>
      </c>
      <c r="C491" s="2" t="s">
        <v>7</v>
      </c>
      <c r="D491" s="2">
        <v>3556.2699119620502</v>
      </c>
      <c r="E491" s="2"/>
      <c r="F491" s="2"/>
      <c r="G491" s="2"/>
      <c r="H491" s="2"/>
      <c r="I491" s="2"/>
    </row>
    <row r="492" spans="1:9" x14ac:dyDescent="0.25">
      <c r="A492" s="6" t="s">
        <v>4</v>
      </c>
      <c r="B492">
        <v>2021</v>
      </c>
      <c r="C492" s="2" t="s">
        <v>7</v>
      </c>
      <c r="D492" s="2">
        <v>3524.2178100452002</v>
      </c>
      <c r="E492" s="2"/>
      <c r="F492" s="2"/>
      <c r="G492" s="2"/>
      <c r="H492" s="2"/>
      <c r="I492" s="2"/>
    </row>
    <row r="493" spans="1:9" x14ac:dyDescent="0.25">
      <c r="A493" s="6" t="s">
        <v>4</v>
      </c>
      <c r="B493">
        <v>2022</v>
      </c>
      <c r="C493" s="2" t="s">
        <v>7</v>
      </c>
      <c r="D493" s="2">
        <v>3578.97895396389</v>
      </c>
      <c r="E493" s="2"/>
      <c r="F493" s="2"/>
      <c r="G493" s="2"/>
      <c r="H493" s="2"/>
      <c r="I493" s="2"/>
    </row>
    <row r="494" spans="1:9" x14ac:dyDescent="0.25">
      <c r="A494" s="6" t="s">
        <v>4</v>
      </c>
      <c r="B494">
        <v>2023</v>
      </c>
      <c r="C494" s="2" t="s">
        <v>7</v>
      </c>
      <c r="D494" s="2">
        <v>3608.3364205672901</v>
      </c>
      <c r="E494" s="2"/>
      <c r="F494" s="2"/>
      <c r="G494" s="2"/>
      <c r="H494" s="2"/>
      <c r="I494" s="2"/>
    </row>
    <row r="497" spans="1:9" x14ac:dyDescent="0.25">
      <c r="A497" s="1" t="s">
        <v>33</v>
      </c>
      <c r="C497" s="2"/>
      <c r="D497" s="2"/>
      <c r="E497" s="2"/>
      <c r="F497" s="2"/>
      <c r="G497" s="2"/>
      <c r="H497" s="2"/>
      <c r="I497" s="2"/>
    </row>
    <row r="498" spans="1:9" x14ac:dyDescent="0.25">
      <c r="C498" s="2"/>
      <c r="D498" s="2"/>
      <c r="E498" s="2"/>
      <c r="F498" s="2"/>
      <c r="G498" s="2"/>
      <c r="H498" s="2"/>
      <c r="I498" s="2"/>
    </row>
    <row r="499" spans="1:9" x14ac:dyDescent="0.25">
      <c r="A499" t="s">
        <v>1</v>
      </c>
      <c r="B499" t="s">
        <v>2</v>
      </c>
      <c r="C499" s="2" t="s">
        <v>28</v>
      </c>
      <c r="D499" s="2" t="s">
        <v>29</v>
      </c>
      <c r="E499" s="2" t="s">
        <v>30</v>
      </c>
      <c r="F499" s="2" t="s">
        <v>21</v>
      </c>
      <c r="G499" s="2"/>
      <c r="H499" s="2"/>
      <c r="I499" s="2"/>
    </row>
    <row r="500" spans="1:9" x14ac:dyDescent="0.25">
      <c r="A500" t="s">
        <v>4</v>
      </c>
      <c r="B500">
        <v>1990</v>
      </c>
      <c r="C500" s="7">
        <v>0</v>
      </c>
      <c r="D500" s="7">
        <v>0</v>
      </c>
      <c r="E500" s="7">
        <v>1</v>
      </c>
      <c r="F500" s="7">
        <f>1-Table45631855210[[#This Row],[Fossil fuel]]</f>
        <v>0</v>
      </c>
      <c r="G500" s="2"/>
      <c r="H500" s="2"/>
      <c r="I500" s="2"/>
    </row>
    <row r="501" spans="1:9" x14ac:dyDescent="0.25">
      <c r="A501" t="s">
        <v>4</v>
      </c>
      <c r="B501">
        <v>2000</v>
      </c>
      <c r="C501" s="7">
        <v>5.4650336208827199E-2</v>
      </c>
      <c r="D501" s="7">
        <v>3.9975472034315E-2</v>
      </c>
      <c r="E501" s="7">
        <v>0.90537419175685696</v>
      </c>
      <c r="F501" s="7">
        <f>1-Table45631855210[[#This Row],[Fossil fuel]]</f>
        <v>9.4625808243143039E-2</v>
      </c>
      <c r="G501" s="2"/>
      <c r="H501" s="2"/>
      <c r="I501" s="2"/>
    </row>
    <row r="502" spans="1:9" x14ac:dyDescent="0.25">
      <c r="A502" t="s">
        <v>4</v>
      </c>
      <c r="B502">
        <v>2005</v>
      </c>
      <c r="C502" s="7">
        <v>4.0362891740464299E-2</v>
      </c>
      <c r="D502" s="7">
        <v>2.9833084824677099E-3</v>
      </c>
      <c r="E502" s="7">
        <v>0.95665379977706699</v>
      </c>
      <c r="F502" s="7">
        <f>1-Table45631855210[[#This Row],[Fossil fuel]]</f>
        <v>4.3346200222933007E-2</v>
      </c>
      <c r="G502" s="2"/>
      <c r="H502" s="2"/>
      <c r="I502" s="2"/>
    </row>
    <row r="503" spans="1:9" x14ac:dyDescent="0.25">
      <c r="A503" t="s">
        <v>4</v>
      </c>
      <c r="B503">
        <v>2006</v>
      </c>
      <c r="C503" s="7">
        <v>3.7778475669581903E-2</v>
      </c>
      <c r="D503" s="7">
        <v>3.2340099364379601E-3</v>
      </c>
      <c r="E503" s="7">
        <v>0.95898751439398</v>
      </c>
      <c r="F503" s="7">
        <f>1-Table45631855210[[#This Row],[Fossil fuel]]</f>
        <v>4.1012485606019999E-2</v>
      </c>
      <c r="G503" s="2"/>
      <c r="H503" s="2"/>
      <c r="I503" s="2"/>
    </row>
    <row r="504" spans="1:9" x14ac:dyDescent="0.25">
      <c r="A504" t="s">
        <v>4</v>
      </c>
      <c r="B504">
        <v>2007</v>
      </c>
      <c r="C504" s="7">
        <v>2.39070692011693E-2</v>
      </c>
      <c r="D504" s="7">
        <v>5.1315091784294702E-3</v>
      </c>
      <c r="E504" s="7">
        <v>0.970961421620401</v>
      </c>
      <c r="F504" s="7">
        <f>1-Table45631855210[[#This Row],[Fossil fuel]]</f>
        <v>2.9038578379599E-2</v>
      </c>
      <c r="G504" s="2"/>
      <c r="H504" s="2"/>
      <c r="I504" s="2"/>
    </row>
    <row r="505" spans="1:9" x14ac:dyDescent="0.25">
      <c r="A505" t="s">
        <v>4</v>
      </c>
      <c r="B505">
        <v>2008</v>
      </c>
      <c r="C505" s="7">
        <v>2.3168245524223099E-2</v>
      </c>
      <c r="D505" s="7">
        <v>6.8954649707003201E-3</v>
      </c>
      <c r="E505" s="7">
        <v>0.96993628950507604</v>
      </c>
      <c r="F505" s="7">
        <f>1-Table45631855210[[#This Row],[Fossil fuel]]</f>
        <v>3.0063710494923956E-2</v>
      </c>
      <c r="G505" s="2"/>
      <c r="H505" s="2"/>
      <c r="I505" s="2"/>
    </row>
    <row r="506" spans="1:9" x14ac:dyDescent="0.25">
      <c r="A506" t="s">
        <v>4</v>
      </c>
      <c r="B506">
        <v>2009</v>
      </c>
      <c r="C506" s="7">
        <v>2.63255934376142E-2</v>
      </c>
      <c r="D506" s="7">
        <v>1.02787074120336E-2</v>
      </c>
      <c r="E506" s="7">
        <v>0.96339569915035195</v>
      </c>
      <c r="F506" s="7">
        <f>1-Table45631855210[[#This Row],[Fossil fuel]]</f>
        <v>3.6604300849648053E-2</v>
      </c>
      <c r="G506" s="2"/>
      <c r="H506" s="2"/>
      <c r="I506" s="2"/>
    </row>
    <row r="507" spans="1:9" x14ac:dyDescent="0.25">
      <c r="A507" t="s">
        <v>4</v>
      </c>
      <c r="B507">
        <v>2010</v>
      </c>
      <c r="C507" s="7">
        <v>2.3383199890496701E-2</v>
      </c>
      <c r="D507" s="7">
        <v>7.9042887386744799E-3</v>
      </c>
      <c r="E507" s="7">
        <v>0.96871251137082803</v>
      </c>
      <c r="F507" s="7">
        <f>1-Table45631855210[[#This Row],[Fossil fuel]]</f>
        <v>3.1287488629171967E-2</v>
      </c>
      <c r="G507" s="2"/>
      <c r="H507" s="2"/>
      <c r="I507" s="2"/>
    </row>
    <row r="508" spans="1:9" x14ac:dyDescent="0.25">
      <c r="A508" t="s">
        <v>4</v>
      </c>
      <c r="B508">
        <v>2011</v>
      </c>
      <c r="C508" s="7">
        <v>2.3454973867580001E-2</v>
      </c>
      <c r="D508" s="7">
        <v>1.20380351281022E-2</v>
      </c>
      <c r="E508" s="7">
        <v>0.96450699100431703</v>
      </c>
      <c r="F508" s="7">
        <f>1-Table45631855210[[#This Row],[Fossil fuel]]</f>
        <v>3.5493008995682973E-2</v>
      </c>
      <c r="G508" s="2"/>
      <c r="H508" s="2"/>
      <c r="I508" s="2"/>
    </row>
    <row r="509" spans="1:9" x14ac:dyDescent="0.25">
      <c r="A509" t="s">
        <v>4</v>
      </c>
      <c r="B509">
        <v>2012</v>
      </c>
      <c r="C509" s="7">
        <v>2.6635851774896298E-2</v>
      </c>
      <c r="D509" s="7">
        <v>1.54852993264347E-2</v>
      </c>
      <c r="E509" s="7">
        <v>0.95787884889866803</v>
      </c>
      <c r="F509" s="7">
        <f>1-Table45631855210[[#This Row],[Fossil fuel]]</f>
        <v>4.2121151101331966E-2</v>
      </c>
      <c r="G509" s="2"/>
      <c r="H509" s="2"/>
      <c r="I509" s="2"/>
    </row>
    <row r="510" spans="1:9" x14ac:dyDescent="0.25">
      <c r="A510" t="s">
        <v>4</v>
      </c>
      <c r="B510">
        <v>2013</v>
      </c>
      <c r="C510" s="7">
        <v>2.7555897992780201E-2</v>
      </c>
      <c r="D510" s="7">
        <v>2.2222397233212801E-2</v>
      </c>
      <c r="E510" s="7">
        <v>0.95022170477400603</v>
      </c>
      <c r="F510" s="7">
        <f>1-Table45631855210[[#This Row],[Fossil fuel]]</f>
        <v>4.9778295225993974E-2</v>
      </c>
      <c r="G510" s="2"/>
      <c r="H510" s="2"/>
      <c r="I510" s="2"/>
    </row>
    <row r="511" spans="1:9" x14ac:dyDescent="0.25">
      <c r="A511" t="s">
        <v>4</v>
      </c>
      <c r="B511">
        <v>2014</v>
      </c>
      <c r="C511" s="7">
        <v>4.3830011240326497E-2</v>
      </c>
      <c r="D511" s="7">
        <v>1.3225049053238999E-2</v>
      </c>
      <c r="E511" s="7">
        <v>0.942944939706434</v>
      </c>
      <c r="F511" s="7">
        <f>1-Table45631855210[[#This Row],[Fossil fuel]]</f>
        <v>5.7055060293565996E-2</v>
      </c>
      <c r="G511" s="2"/>
      <c r="H511" s="2"/>
      <c r="I511" s="2"/>
    </row>
    <row r="512" spans="1:9" x14ac:dyDescent="0.25">
      <c r="A512" t="s">
        <v>4</v>
      </c>
      <c r="B512">
        <v>2015</v>
      </c>
      <c r="C512" s="7">
        <v>4.4288286056841403E-2</v>
      </c>
      <c r="D512" s="7">
        <v>1.5698234010606601E-2</v>
      </c>
      <c r="E512" s="7">
        <v>0.94001347993255102</v>
      </c>
      <c r="F512" s="7">
        <f>1-Table45631855210[[#This Row],[Fossil fuel]]</f>
        <v>5.9986520067448978E-2</v>
      </c>
      <c r="G512" s="2"/>
      <c r="H512" s="2"/>
      <c r="I512" s="2"/>
    </row>
    <row r="513" spans="1:9" x14ac:dyDescent="0.25">
      <c r="A513" t="s">
        <v>4</v>
      </c>
      <c r="B513">
        <v>2016</v>
      </c>
      <c r="C513" s="7">
        <v>3.4371663939361398E-2</v>
      </c>
      <c r="D513" s="7">
        <v>2.9021781664057202E-2</v>
      </c>
      <c r="E513" s="7">
        <v>0.93660655439658103</v>
      </c>
      <c r="F513" s="7">
        <f>1-Table45631855210[[#This Row],[Fossil fuel]]</f>
        <v>6.3393445603418974E-2</v>
      </c>
      <c r="G513" s="2"/>
      <c r="H513" s="2"/>
      <c r="I513" s="2"/>
    </row>
    <row r="514" spans="1:9" x14ac:dyDescent="0.25">
      <c r="A514" t="s">
        <v>4</v>
      </c>
      <c r="B514">
        <v>2017</v>
      </c>
      <c r="C514" s="7">
        <v>2.4152218115013599E-2</v>
      </c>
      <c r="D514" s="7">
        <v>3.1381639984851099E-2</v>
      </c>
      <c r="E514" s="7">
        <v>0.944466141900135</v>
      </c>
      <c r="F514" s="7">
        <f>1-Table45631855210[[#This Row],[Fossil fuel]]</f>
        <v>5.5533858099864997E-2</v>
      </c>
      <c r="G514" s="2"/>
      <c r="H514" s="2"/>
      <c r="I514" s="2"/>
    </row>
    <row r="515" spans="1:9" x14ac:dyDescent="0.25">
      <c r="A515" t="s">
        <v>4</v>
      </c>
      <c r="B515">
        <v>2018</v>
      </c>
      <c r="C515" s="7">
        <v>2.67097269664687E-2</v>
      </c>
      <c r="D515" s="7">
        <v>2.43843367927538E-2</v>
      </c>
      <c r="E515" s="7">
        <v>0.94890593624077701</v>
      </c>
      <c r="F515" s="7">
        <f>1-Table45631855210[[#This Row],[Fossil fuel]]</f>
        <v>5.1094063759222985E-2</v>
      </c>
      <c r="G515" s="2"/>
      <c r="H515" s="2"/>
      <c r="I515" s="2"/>
    </row>
    <row r="516" spans="1:9" x14ac:dyDescent="0.25">
      <c r="A516" t="s">
        <v>4</v>
      </c>
      <c r="B516">
        <v>2019</v>
      </c>
      <c r="C516" s="7">
        <v>2.8607467683392101E-2</v>
      </c>
      <c r="D516" s="7">
        <v>3.6410596732703401E-2</v>
      </c>
      <c r="E516" s="7">
        <v>0.93498193558390397</v>
      </c>
      <c r="F516" s="7">
        <f>1-Table45631855210[[#This Row],[Fossil fuel]]</f>
        <v>6.5018064416096033E-2</v>
      </c>
      <c r="G516" s="2"/>
      <c r="H516" s="2"/>
      <c r="I516" s="2"/>
    </row>
    <row r="517" spans="1:9" x14ac:dyDescent="0.25">
      <c r="A517" t="s">
        <v>4</v>
      </c>
      <c r="B517">
        <v>2020</v>
      </c>
      <c r="C517" s="7">
        <v>4.4167919456508498E-2</v>
      </c>
      <c r="D517" s="7">
        <v>4.3629856749617002E-2</v>
      </c>
      <c r="E517" s="7">
        <v>0.91220222379387395</v>
      </c>
      <c r="F517" s="7">
        <f>1-Table45631855210[[#This Row],[Fossil fuel]]</f>
        <v>8.7797776206126055E-2</v>
      </c>
      <c r="G517" s="2"/>
      <c r="H517" s="2"/>
      <c r="I517" s="2"/>
    </row>
    <row r="518" spans="1:9" x14ac:dyDescent="0.25">
      <c r="A518" t="s">
        <v>4</v>
      </c>
      <c r="B518">
        <v>2021</v>
      </c>
      <c r="C518" s="7">
        <v>2.74181707901969E-2</v>
      </c>
      <c r="D518" s="7">
        <v>4.5550601070188303E-2</v>
      </c>
      <c r="E518" s="7">
        <v>0.92703122813961403</v>
      </c>
      <c r="F518" s="7">
        <f>1-Table45631855210[[#This Row],[Fossil fuel]]</f>
        <v>7.2968771860385973E-2</v>
      </c>
      <c r="G518" s="2"/>
      <c r="H518" s="2"/>
      <c r="I518" s="2"/>
    </row>
    <row r="519" spans="1:9" x14ac:dyDescent="0.25">
      <c r="A519" t="s">
        <v>4</v>
      </c>
      <c r="B519">
        <v>2022</v>
      </c>
      <c r="C519" s="7">
        <v>3.2322962720428498E-2</v>
      </c>
      <c r="D519" s="7">
        <v>4.15785238006414E-2</v>
      </c>
      <c r="E519" s="7">
        <v>0.92609851347893002</v>
      </c>
      <c r="F519" s="7">
        <f>1-Table45631855210[[#This Row],[Fossil fuel]]</f>
        <v>7.3901486521069981E-2</v>
      </c>
      <c r="G519" s="2"/>
      <c r="H519" s="2"/>
      <c r="I519" s="2"/>
    </row>
    <row r="520" spans="1:9" x14ac:dyDescent="0.25">
      <c r="A520" t="s">
        <v>4</v>
      </c>
      <c r="B520">
        <v>2023</v>
      </c>
      <c r="C520" s="7">
        <v>5.0385412885414503E-2</v>
      </c>
      <c r="D520" s="7">
        <v>3.66763211110517E-2</v>
      </c>
      <c r="E520" s="7">
        <v>0.91293826600353301</v>
      </c>
      <c r="F520" s="7">
        <f>1-Table45631855210[[#This Row],[Fossil fuel]]</f>
        <v>8.7061733996466995E-2</v>
      </c>
      <c r="G520" s="2"/>
      <c r="H520" s="2"/>
      <c r="I520" s="2"/>
    </row>
    <row r="523" spans="1:9" x14ac:dyDescent="0.25">
      <c r="A523" s="1" t="s">
        <v>34</v>
      </c>
      <c r="C523" s="2"/>
      <c r="D523" s="2"/>
      <c r="E523" s="2"/>
      <c r="F523" s="2"/>
      <c r="G523" s="2"/>
      <c r="H523" s="2"/>
      <c r="I523" s="2"/>
    </row>
    <row r="524" spans="1:9" x14ac:dyDescent="0.25">
      <c r="C524" s="2"/>
      <c r="D524" s="2"/>
      <c r="E524" s="2"/>
      <c r="F524" s="2"/>
      <c r="G524" s="2"/>
      <c r="H524" s="2"/>
      <c r="I524" s="2"/>
    </row>
    <row r="525" spans="1:9" x14ac:dyDescent="0.25">
      <c r="A525" t="s">
        <v>1</v>
      </c>
      <c r="B525" t="s">
        <v>2</v>
      </c>
      <c r="C525" s="2" t="s">
        <v>3</v>
      </c>
      <c r="D525" s="2"/>
      <c r="E525" s="2"/>
      <c r="F525" s="2"/>
      <c r="G525" s="2"/>
      <c r="H525" s="2"/>
      <c r="I525" s="2"/>
    </row>
    <row r="526" spans="1:9" x14ac:dyDescent="0.25">
      <c r="A526" t="s">
        <v>4</v>
      </c>
      <c r="B526">
        <v>1990</v>
      </c>
      <c r="C526" s="2">
        <v>0</v>
      </c>
      <c r="D526" s="2"/>
      <c r="E526" s="2"/>
      <c r="F526" s="2"/>
      <c r="G526" s="2"/>
      <c r="H526" s="2"/>
      <c r="I526" s="2"/>
    </row>
    <row r="527" spans="1:9" x14ac:dyDescent="0.25">
      <c r="A527" t="s">
        <v>4</v>
      </c>
      <c r="B527">
        <v>2000</v>
      </c>
      <c r="C527" s="2">
        <v>31101</v>
      </c>
      <c r="D527" s="2"/>
      <c r="E527" s="2"/>
      <c r="F527" s="2"/>
      <c r="G527" s="2"/>
      <c r="H527" s="2"/>
      <c r="I527" s="2"/>
    </row>
    <row r="528" spans="1:9" x14ac:dyDescent="0.25">
      <c r="A528" t="s">
        <v>4</v>
      </c>
      <c r="B528">
        <v>2005</v>
      </c>
      <c r="C528" s="2">
        <v>39723</v>
      </c>
      <c r="D528" s="2"/>
      <c r="E528" s="2"/>
      <c r="F528" s="2"/>
      <c r="G528" s="2"/>
      <c r="H528" s="2"/>
      <c r="I528" s="2"/>
    </row>
    <row r="529" spans="1:9" x14ac:dyDescent="0.25">
      <c r="A529" t="s">
        <v>4</v>
      </c>
      <c r="B529">
        <v>2006</v>
      </c>
      <c r="C529" s="2">
        <v>34882.218999999997</v>
      </c>
      <c r="D529" s="2"/>
      <c r="E529" s="2"/>
      <c r="F529" s="2"/>
      <c r="G529" s="2"/>
      <c r="H529" s="2"/>
      <c r="I529" s="2"/>
    </row>
    <row r="530" spans="1:9" x14ac:dyDescent="0.25">
      <c r="A530" t="s">
        <v>4</v>
      </c>
      <c r="B530">
        <v>2007</v>
      </c>
      <c r="C530" s="2">
        <v>163111.58539999899</v>
      </c>
      <c r="D530" s="2"/>
      <c r="E530" s="2"/>
      <c r="F530" s="2"/>
      <c r="G530" s="2"/>
      <c r="H530" s="2"/>
      <c r="I530" s="2"/>
    </row>
    <row r="531" spans="1:9" x14ac:dyDescent="0.25">
      <c r="A531" t="s">
        <v>4</v>
      </c>
      <c r="B531">
        <v>2008</v>
      </c>
      <c r="C531" s="2">
        <v>135871.21780000001</v>
      </c>
      <c r="D531" s="2"/>
      <c r="E531" s="2"/>
      <c r="F531" s="2"/>
      <c r="G531" s="2"/>
      <c r="H531" s="2"/>
      <c r="I531" s="2"/>
    </row>
    <row r="532" spans="1:9" x14ac:dyDescent="0.25">
      <c r="A532" t="s">
        <v>4</v>
      </c>
      <c r="B532">
        <v>2009</v>
      </c>
      <c r="C532" s="2">
        <v>128266.7984</v>
      </c>
      <c r="D532" s="2"/>
      <c r="E532" s="2"/>
      <c r="F532" s="2"/>
      <c r="G532" s="2"/>
      <c r="H532" s="2"/>
      <c r="I532" s="2"/>
    </row>
    <row r="533" spans="1:9" x14ac:dyDescent="0.25">
      <c r="A533" t="s">
        <v>4</v>
      </c>
      <c r="B533">
        <v>2010</v>
      </c>
      <c r="C533" s="2">
        <v>72334.463499999998</v>
      </c>
      <c r="D533" s="2"/>
      <c r="E533" s="2"/>
      <c r="F533" s="2"/>
      <c r="G533" s="2"/>
      <c r="H533" s="2"/>
      <c r="I533" s="2"/>
    </row>
    <row r="534" spans="1:9" x14ac:dyDescent="0.25">
      <c r="A534" t="s">
        <v>4</v>
      </c>
      <c r="B534">
        <v>2011</v>
      </c>
      <c r="C534" s="2">
        <v>70457.889499999903</v>
      </c>
      <c r="D534" s="2"/>
      <c r="E534" s="2"/>
      <c r="F534" s="2"/>
      <c r="G534" s="2"/>
      <c r="H534" s="2"/>
      <c r="I534" s="2"/>
    </row>
    <row r="535" spans="1:9" x14ac:dyDescent="0.25">
      <c r="A535" t="s">
        <v>4</v>
      </c>
      <c r="B535">
        <v>2012</v>
      </c>
      <c r="C535" s="2">
        <v>71366.497000000003</v>
      </c>
      <c r="D535" s="2"/>
      <c r="E535" s="2"/>
      <c r="F535" s="2"/>
      <c r="G535" s="2"/>
      <c r="H535" s="2"/>
      <c r="I535" s="2"/>
    </row>
    <row r="536" spans="1:9" x14ac:dyDescent="0.25">
      <c r="A536" t="s">
        <v>4</v>
      </c>
      <c r="B536">
        <v>2013</v>
      </c>
      <c r="C536" s="2">
        <v>83170.69</v>
      </c>
      <c r="D536" s="2"/>
      <c r="E536" s="2"/>
      <c r="F536" s="2"/>
      <c r="G536" s="2"/>
      <c r="H536" s="2"/>
      <c r="I536" s="2"/>
    </row>
    <row r="537" spans="1:9" x14ac:dyDescent="0.25">
      <c r="A537" t="s">
        <v>4</v>
      </c>
      <c r="B537">
        <v>2014</v>
      </c>
      <c r="C537" s="2">
        <v>102105.0416</v>
      </c>
      <c r="D537" s="2"/>
      <c r="E537" s="2"/>
      <c r="F537" s="2"/>
      <c r="G537" s="2"/>
      <c r="H537" s="2"/>
      <c r="I537" s="2"/>
    </row>
    <row r="538" spans="1:9" x14ac:dyDescent="0.25">
      <c r="A538" t="s">
        <v>4</v>
      </c>
      <c r="B538">
        <v>2015</v>
      </c>
      <c r="C538" s="2">
        <v>101799.189</v>
      </c>
      <c r="D538" s="2"/>
      <c r="E538" s="2"/>
      <c r="F538" s="2"/>
      <c r="G538" s="2"/>
      <c r="H538" s="2"/>
      <c r="I538" s="2"/>
    </row>
    <row r="539" spans="1:9" x14ac:dyDescent="0.25">
      <c r="A539" t="s">
        <v>4</v>
      </c>
      <c r="B539">
        <v>2016</v>
      </c>
      <c r="C539" s="2">
        <v>100766.5668</v>
      </c>
      <c r="D539" s="2"/>
      <c r="E539" s="2"/>
      <c r="F539" s="2"/>
      <c r="G539" s="2"/>
      <c r="H539" s="2"/>
      <c r="I539" s="2"/>
    </row>
    <row r="540" spans="1:9" x14ac:dyDescent="0.25">
      <c r="A540" t="s">
        <v>4</v>
      </c>
      <c r="B540">
        <v>2017</v>
      </c>
      <c r="C540" s="2">
        <v>59009.915399999998</v>
      </c>
      <c r="D540" s="2"/>
      <c r="E540" s="2"/>
      <c r="F540" s="2"/>
      <c r="G540" s="2"/>
      <c r="H540" s="2"/>
      <c r="I540" s="2"/>
    </row>
    <row r="541" spans="1:9" x14ac:dyDescent="0.25">
      <c r="A541" t="s">
        <v>4</v>
      </c>
      <c r="B541">
        <v>2018</v>
      </c>
      <c r="C541" s="2">
        <v>57177.758199999997</v>
      </c>
      <c r="D541" s="2"/>
      <c r="E541" s="2"/>
      <c r="F541" s="2"/>
      <c r="G541" s="2"/>
      <c r="H541" s="2"/>
      <c r="I541" s="2"/>
    </row>
    <row r="542" spans="1:9" x14ac:dyDescent="0.25">
      <c r="A542" t="s">
        <v>4</v>
      </c>
      <c r="B542">
        <v>2019</v>
      </c>
      <c r="C542" s="2">
        <v>55281.849499999997</v>
      </c>
      <c r="D542" s="2"/>
      <c r="E542" s="2"/>
      <c r="F542" s="2"/>
      <c r="G542" s="2"/>
      <c r="H542" s="2"/>
      <c r="I542" s="2"/>
    </row>
    <row r="543" spans="1:9" x14ac:dyDescent="0.25">
      <c r="A543" t="s">
        <v>4</v>
      </c>
      <c r="B543">
        <v>2020</v>
      </c>
      <c r="C543" s="2">
        <v>67097.7376582</v>
      </c>
      <c r="D543" s="2"/>
      <c r="E543" s="2"/>
      <c r="F543" s="2"/>
      <c r="G543" s="2"/>
      <c r="H543" s="2"/>
      <c r="I543" s="2"/>
    </row>
    <row r="544" spans="1:9" x14ac:dyDescent="0.25">
      <c r="A544" t="s">
        <v>4</v>
      </c>
      <c r="B544">
        <v>2021</v>
      </c>
      <c r="C544" s="2">
        <v>64983.511749999998</v>
      </c>
      <c r="D544" s="2"/>
      <c r="E544" s="2"/>
      <c r="F544" s="2"/>
      <c r="G544" s="2"/>
      <c r="H544" s="2"/>
      <c r="I544" s="2"/>
    </row>
    <row r="545" spans="1:9" x14ac:dyDescent="0.25">
      <c r="A545" t="s">
        <v>4</v>
      </c>
      <c r="B545">
        <v>2022</v>
      </c>
      <c r="C545" s="2">
        <v>69952.069258400006</v>
      </c>
      <c r="D545" s="2"/>
      <c r="E545" s="2"/>
      <c r="F545" s="2"/>
      <c r="G545" s="2"/>
      <c r="H545" s="2"/>
      <c r="I545" s="2"/>
    </row>
    <row r="546" spans="1:9" x14ac:dyDescent="0.25">
      <c r="A546" t="s">
        <v>4</v>
      </c>
      <c r="B546">
        <v>2023</v>
      </c>
      <c r="C546" s="2">
        <v>112492.31926829999</v>
      </c>
      <c r="D546" s="2"/>
      <c r="E546" s="2"/>
      <c r="F546" s="2"/>
      <c r="G546" s="2"/>
      <c r="H546" s="2"/>
      <c r="I546" s="2"/>
    </row>
    <row r="549" spans="1:9" x14ac:dyDescent="0.25">
      <c r="A549" s="1" t="s">
        <v>35</v>
      </c>
      <c r="C549" s="2"/>
      <c r="D549" s="2"/>
      <c r="E549" s="2"/>
      <c r="F549" s="2"/>
      <c r="G549" s="2"/>
      <c r="H549" s="2"/>
      <c r="I549" s="2"/>
    </row>
    <row r="550" spans="1:9" x14ac:dyDescent="0.25">
      <c r="C550" s="2"/>
      <c r="D550" s="2"/>
      <c r="E550" s="2"/>
      <c r="F550" s="2"/>
      <c r="G550" s="2"/>
      <c r="H550" s="2"/>
      <c r="I550" s="2"/>
    </row>
    <row r="551" spans="1:9" x14ac:dyDescent="0.25">
      <c r="A551" t="s">
        <v>1</v>
      </c>
      <c r="B551" t="s">
        <v>2</v>
      </c>
      <c r="C551" s="2" t="s">
        <v>3</v>
      </c>
      <c r="D551" s="2"/>
      <c r="E551" s="2"/>
      <c r="F551" s="2"/>
      <c r="G551" s="2"/>
      <c r="H551" s="2"/>
      <c r="I551" s="2"/>
    </row>
    <row r="552" spans="1:9" x14ac:dyDescent="0.25">
      <c r="A552" t="s">
        <v>4</v>
      </c>
      <c r="B552">
        <v>1990</v>
      </c>
      <c r="C552" s="2">
        <v>0</v>
      </c>
      <c r="D552" s="2"/>
      <c r="E552" s="2"/>
      <c r="F552" s="2"/>
      <c r="G552" s="2"/>
      <c r="H552" s="2"/>
      <c r="I552" s="2"/>
    </row>
    <row r="553" spans="1:9" x14ac:dyDescent="0.25">
      <c r="A553" t="s">
        <v>4</v>
      </c>
      <c r="B553">
        <v>2000</v>
      </c>
      <c r="C553" s="2">
        <v>17929</v>
      </c>
      <c r="D553" s="2"/>
      <c r="E553" s="2"/>
      <c r="F553" s="2"/>
      <c r="G553" s="2"/>
      <c r="H553" s="2"/>
      <c r="I553" s="2"/>
    </row>
    <row r="554" spans="1:9" x14ac:dyDescent="0.25">
      <c r="A554" t="s">
        <v>4</v>
      </c>
      <c r="B554">
        <v>2005</v>
      </c>
      <c r="C554" s="2">
        <v>2158</v>
      </c>
      <c r="D554" s="2"/>
      <c r="E554" s="2"/>
      <c r="F554" s="2"/>
      <c r="G554" s="2"/>
      <c r="H554" s="2"/>
      <c r="I554" s="2"/>
    </row>
    <row r="555" spans="1:9" x14ac:dyDescent="0.25">
      <c r="A555" t="s">
        <v>4</v>
      </c>
      <c r="B555">
        <v>2006</v>
      </c>
      <c r="C555" s="2">
        <v>2289</v>
      </c>
      <c r="D555" s="2"/>
      <c r="E555" s="2"/>
      <c r="F555" s="2"/>
      <c r="G555" s="2"/>
      <c r="H555" s="2"/>
      <c r="I555" s="2"/>
    </row>
    <row r="556" spans="1:9" x14ac:dyDescent="0.25">
      <c r="A556" t="s">
        <v>4</v>
      </c>
      <c r="B556">
        <v>2007</v>
      </c>
      <c r="C556" s="2">
        <v>14916.54</v>
      </c>
      <c r="D556" s="2"/>
      <c r="E556" s="2"/>
      <c r="F556" s="2"/>
      <c r="G556" s="2"/>
      <c r="H556" s="2"/>
      <c r="I556" s="2"/>
    </row>
    <row r="557" spans="1:9" x14ac:dyDescent="0.25">
      <c r="A557" t="s">
        <v>4</v>
      </c>
      <c r="B557">
        <v>2008</v>
      </c>
      <c r="C557" s="2">
        <v>14550.07</v>
      </c>
      <c r="D557" s="2"/>
      <c r="E557" s="2"/>
      <c r="F557" s="2"/>
      <c r="G557" s="2"/>
      <c r="H557" s="2"/>
      <c r="I557" s="2"/>
    </row>
    <row r="558" spans="1:9" x14ac:dyDescent="0.25">
      <c r="A558" t="s">
        <v>4</v>
      </c>
      <c r="B558">
        <v>2009</v>
      </c>
      <c r="C558" s="2">
        <v>21448.73</v>
      </c>
      <c r="D558" s="2"/>
      <c r="E558" s="2"/>
      <c r="F558" s="2"/>
      <c r="G558" s="2"/>
      <c r="H558" s="2"/>
      <c r="I558" s="2"/>
    </row>
    <row r="559" spans="1:9" x14ac:dyDescent="0.25">
      <c r="A559" t="s">
        <v>4</v>
      </c>
      <c r="B559">
        <v>2010</v>
      </c>
      <c r="C559" s="2">
        <v>18825</v>
      </c>
      <c r="D559" s="2"/>
      <c r="E559" s="2"/>
      <c r="F559" s="2"/>
      <c r="G559" s="2"/>
      <c r="H559" s="2"/>
      <c r="I559" s="2"/>
    </row>
    <row r="560" spans="1:9" x14ac:dyDescent="0.25">
      <c r="A560" t="s">
        <v>4</v>
      </c>
      <c r="B560">
        <v>2011</v>
      </c>
      <c r="C560" s="2">
        <v>25593.691999999999</v>
      </c>
      <c r="D560" s="2"/>
      <c r="E560" s="2"/>
      <c r="F560" s="2"/>
      <c r="G560" s="2"/>
      <c r="H560" s="2"/>
      <c r="I560" s="2"/>
    </row>
    <row r="561" spans="1:9" x14ac:dyDescent="0.25">
      <c r="A561" t="s">
        <v>4</v>
      </c>
      <c r="B561">
        <v>2012</v>
      </c>
      <c r="C561" s="2">
        <v>28141.29</v>
      </c>
      <c r="D561" s="2"/>
      <c r="E561" s="2"/>
      <c r="F561" s="2"/>
      <c r="G561" s="2"/>
      <c r="H561" s="2"/>
      <c r="I561" s="2"/>
    </row>
    <row r="562" spans="1:9" x14ac:dyDescent="0.25">
      <c r="A562" t="s">
        <v>4</v>
      </c>
      <c r="B562">
        <v>2013</v>
      </c>
      <c r="C562" s="2">
        <v>30415.228999999999</v>
      </c>
      <c r="D562" s="2"/>
      <c r="E562" s="2"/>
      <c r="F562" s="2"/>
      <c r="G562" s="2"/>
      <c r="H562" s="2"/>
      <c r="I562" s="2"/>
    </row>
    <row r="563" spans="1:9" x14ac:dyDescent="0.25">
      <c r="A563" t="s">
        <v>4</v>
      </c>
      <c r="B563">
        <v>2014</v>
      </c>
      <c r="C563" s="2">
        <v>24285.360000000001</v>
      </c>
      <c r="D563" s="2"/>
      <c r="E563" s="2"/>
      <c r="F563" s="2"/>
      <c r="G563" s="2"/>
      <c r="H563" s="2"/>
      <c r="I563" s="2"/>
    </row>
    <row r="564" spans="1:9" x14ac:dyDescent="0.25">
      <c r="A564" t="s">
        <v>4</v>
      </c>
      <c r="B564">
        <v>2015</v>
      </c>
      <c r="C564" s="2">
        <v>25704.241999999998</v>
      </c>
      <c r="D564" s="2"/>
      <c r="E564" s="2"/>
      <c r="F564" s="2"/>
      <c r="G564" s="2"/>
      <c r="H564" s="2"/>
      <c r="I564" s="2"/>
    </row>
    <row r="565" spans="1:9" x14ac:dyDescent="0.25">
      <c r="A565" t="s">
        <v>4</v>
      </c>
      <c r="B565">
        <v>2016</v>
      </c>
      <c r="C565" s="2">
        <v>40810.650999999998</v>
      </c>
      <c r="D565" s="2"/>
      <c r="E565" s="2"/>
      <c r="F565" s="2"/>
      <c r="G565" s="2"/>
      <c r="H565" s="2"/>
      <c r="I565" s="2"/>
    </row>
    <row r="566" spans="1:9" x14ac:dyDescent="0.25">
      <c r="A566" t="s">
        <v>4</v>
      </c>
      <c r="B566">
        <v>2017</v>
      </c>
      <c r="C566" s="2">
        <v>53522.974999999999</v>
      </c>
      <c r="D566" s="2"/>
      <c r="E566" s="2"/>
      <c r="F566" s="2"/>
      <c r="G566" s="2"/>
      <c r="H566" s="2"/>
      <c r="I566" s="2"/>
    </row>
    <row r="567" spans="1:9" x14ac:dyDescent="0.25">
      <c r="A567" t="s">
        <v>4</v>
      </c>
      <c r="B567">
        <v>2018</v>
      </c>
      <c r="C567" s="2">
        <v>55539.487000000001</v>
      </c>
      <c r="D567" s="2"/>
      <c r="E567" s="2"/>
      <c r="F567" s="2"/>
      <c r="G567" s="2"/>
      <c r="H567" s="2"/>
      <c r="I567" s="2"/>
    </row>
    <row r="568" spans="1:9" x14ac:dyDescent="0.25">
      <c r="A568" t="s">
        <v>4</v>
      </c>
      <c r="B568">
        <v>2019</v>
      </c>
      <c r="C568" s="2">
        <v>72312.062699999995</v>
      </c>
      <c r="D568" s="2"/>
      <c r="E568" s="2"/>
      <c r="F568" s="2"/>
      <c r="G568" s="2"/>
      <c r="H568" s="2"/>
      <c r="I568" s="2"/>
    </row>
    <row r="569" spans="1:9" x14ac:dyDescent="0.25">
      <c r="A569" t="s">
        <v>4</v>
      </c>
      <c r="B569">
        <v>2020</v>
      </c>
      <c r="C569" s="2">
        <v>63678.99957</v>
      </c>
      <c r="D569" s="2"/>
      <c r="E569" s="2"/>
      <c r="F569" s="2"/>
      <c r="G569" s="2"/>
      <c r="H569" s="2"/>
      <c r="I569" s="2"/>
    </row>
    <row r="570" spans="1:9" x14ac:dyDescent="0.25">
      <c r="A570" t="s">
        <v>4</v>
      </c>
      <c r="B570">
        <v>2021</v>
      </c>
      <c r="C570" s="2">
        <v>82840.362999999998</v>
      </c>
      <c r="D570" s="2"/>
      <c r="E570" s="2"/>
      <c r="F570" s="2"/>
      <c r="G570" s="2"/>
      <c r="H570" s="2"/>
      <c r="I570" s="2"/>
    </row>
    <row r="571" spans="1:9" x14ac:dyDescent="0.25">
      <c r="A571" t="s">
        <v>4</v>
      </c>
      <c r="B571">
        <v>2022</v>
      </c>
      <c r="C571" s="2">
        <v>90650.036691238201</v>
      </c>
      <c r="D571" s="2"/>
      <c r="E571" s="2"/>
      <c r="F571" s="2"/>
      <c r="G571" s="2"/>
      <c r="H571" s="2"/>
      <c r="I571" s="2"/>
    </row>
    <row r="572" spans="1:9" x14ac:dyDescent="0.25">
      <c r="A572" t="s">
        <v>4</v>
      </c>
      <c r="B572">
        <v>2023</v>
      </c>
      <c r="C572" s="2">
        <v>73005.714250200006</v>
      </c>
      <c r="D572" s="2"/>
      <c r="E572" s="2"/>
      <c r="F572" s="2"/>
      <c r="G572" s="2"/>
      <c r="H572" s="2"/>
      <c r="I572" s="2"/>
    </row>
    <row r="575" spans="1:9" x14ac:dyDescent="0.25">
      <c r="A575" s="1" t="s">
        <v>36</v>
      </c>
      <c r="C575" s="2"/>
      <c r="D575" s="2"/>
      <c r="E575" s="2"/>
      <c r="F575" s="2"/>
      <c r="G575" s="2"/>
      <c r="H575" s="2"/>
      <c r="I575" s="2"/>
    </row>
    <row r="576" spans="1:9" x14ac:dyDescent="0.25">
      <c r="C576" s="2"/>
      <c r="D576" s="2"/>
      <c r="E576" s="2"/>
      <c r="F576" s="2"/>
      <c r="G576" s="2"/>
      <c r="H576" s="2"/>
      <c r="I576" s="2"/>
    </row>
    <row r="577" spans="1:9" x14ac:dyDescent="0.25">
      <c r="A577" t="s">
        <v>1</v>
      </c>
      <c r="B577" t="s">
        <v>2</v>
      </c>
      <c r="C577" s="2" t="s">
        <v>37</v>
      </c>
      <c r="D577" s="2" t="s">
        <v>38</v>
      </c>
      <c r="E577" s="2" t="s">
        <v>39</v>
      </c>
      <c r="F577" s="2" t="s">
        <v>40</v>
      </c>
      <c r="G577" s="2" t="s">
        <v>41</v>
      </c>
      <c r="H577" s="2" t="s">
        <v>42</v>
      </c>
      <c r="I577" s="2" t="s">
        <v>43</v>
      </c>
    </row>
    <row r="578" spans="1:9" x14ac:dyDescent="0.25">
      <c r="A578" t="s">
        <v>4</v>
      </c>
      <c r="B578">
        <v>1990</v>
      </c>
      <c r="C578" s="2">
        <v>23092</v>
      </c>
      <c r="D578" s="2">
        <v>14385</v>
      </c>
      <c r="E578" s="2">
        <v>15120</v>
      </c>
      <c r="F578" s="2">
        <v>6311</v>
      </c>
      <c r="G578" s="2">
        <v>0</v>
      </c>
      <c r="H578" s="2">
        <v>158271</v>
      </c>
      <c r="I578" s="2">
        <v>217179</v>
      </c>
    </row>
    <row r="579" spans="1:9" x14ac:dyDescent="0.25">
      <c r="A579" t="s">
        <v>4</v>
      </c>
      <c r="B579">
        <v>2000</v>
      </c>
      <c r="C579" s="2">
        <v>144442.6434</v>
      </c>
      <c r="D579" s="2">
        <v>284755.25289999897</v>
      </c>
      <c r="E579" s="2">
        <v>79952.224000000002</v>
      </c>
      <c r="F579" s="2">
        <v>90319.259699999995</v>
      </c>
      <c r="G579" s="2">
        <v>17536.934000000001</v>
      </c>
      <c r="H579" s="2">
        <v>2414.34</v>
      </c>
      <c r="I579" s="2">
        <v>619420.65399999998</v>
      </c>
    </row>
    <row r="580" spans="1:9" x14ac:dyDescent="0.25">
      <c r="A580" t="s">
        <v>4</v>
      </c>
      <c r="B580">
        <v>2005</v>
      </c>
      <c r="C580" s="2">
        <v>175995.65599999999</v>
      </c>
      <c r="D580" s="2">
        <v>343999.89110000001</v>
      </c>
      <c r="E580" s="2">
        <v>102884.5022</v>
      </c>
      <c r="F580" s="2">
        <v>193261.46770000001</v>
      </c>
      <c r="G580" s="2">
        <v>30246.271799999999</v>
      </c>
      <c r="H580" s="2">
        <v>0</v>
      </c>
      <c r="I580" s="2">
        <v>846387.78879999998</v>
      </c>
    </row>
    <row r="581" spans="1:9" x14ac:dyDescent="0.25">
      <c r="A581" t="s">
        <v>4</v>
      </c>
      <c r="B581">
        <v>2006</v>
      </c>
      <c r="C581" s="2">
        <v>191074.48259999999</v>
      </c>
      <c r="D581" s="2">
        <v>362607.0172</v>
      </c>
      <c r="E581" s="2">
        <v>122126.076</v>
      </c>
      <c r="F581" s="2">
        <v>197450.88560000001</v>
      </c>
      <c r="G581" s="2">
        <v>15101.0355</v>
      </c>
      <c r="H581" s="2">
        <v>0</v>
      </c>
      <c r="I581" s="2">
        <v>888359.49690000003</v>
      </c>
    </row>
    <row r="582" spans="1:9" x14ac:dyDescent="0.25">
      <c r="A582" t="s">
        <v>4</v>
      </c>
      <c r="B582">
        <v>2007</v>
      </c>
      <c r="C582" s="2">
        <v>498597.51270000002</v>
      </c>
      <c r="D582" s="2">
        <v>1184653.27039999</v>
      </c>
      <c r="E582" s="2">
        <v>196915.70309999899</v>
      </c>
      <c r="F582" s="2">
        <v>523196.31880000001</v>
      </c>
      <c r="G582" s="2">
        <v>40261.668100000003</v>
      </c>
      <c r="H582" s="2">
        <v>852.18299999999999</v>
      </c>
      <c r="I582" s="2">
        <v>2444476.6560999998</v>
      </c>
    </row>
    <row r="583" spans="1:9" x14ac:dyDescent="0.25">
      <c r="A583" t="s">
        <v>4</v>
      </c>
      <c r="B583">
        <v>2008</v>
      </c>
      <c r="C583" s="2">
        <v>516260.21019999997</v>
      </c>
      <c r="D583" s="2">
        <v>1358029.3877999999</v>
      </c>
      <c r="E583" s="2">
        <v>191232.78090000001</v>
      </c>
      <c r="F583" s="2">
        <v>587665.67509999999</v>
      </c>
      <c r="G583" s="2">
        <v>70789.681299999997</v>
      </c>
      <c r="H583" s="2">
        <v>337.20940000000002</v>
      </c>
      <c r="I583" s="2">
        <v>2724314.9446999999</v>
      </c>
    </row>
    <row r="584" spans="1:9" x14ac:dyDescent="0.25">
      <c r="A584" t="s">
        <v>4</v>
      </c>
      <c r="B584">
        <v>2009</v>
      </c>
      <c r="C584" s="2">
        <v>494415.2879</v>
      </c>
      <c r="D584" s="2">
        <v>1417293.17419999</v>
      </c>
      <c r="E584" s="2">
        <v>183003.4938</v>
      </c>
      <c r="F584" s="2">
        <v>585893.37089999998</v>
      </c>
      <c r="G584" s="2">
        <v>53719.799800000001</v>
      </c>
      <c r="H584" s="2">
        <v>9829.9838</v>
      </c>
      <c r="I584" s="2">
        <v>2744155.1103999899</v>
      </c>
    </row>
    <row r="585" spans="1:9" x14ac:dyDescent="0.25">
      <c r="A585" t="s">
        <v>4</v>
      </c>
      <c r="B585">
        <v>2010</v>
      </c>
      <c r="C585" s="2">
        <v>542666.78</v>
      </c>
      <c r="D585" s="2">
        <v>1655902.0257999999</v>
      </c>
      <c r="E585" s="2">
        <v>207479.73259999999</v>
      </c>
      <c r="F585" s="2">
        <v>606921.61529999995</v>
      </c>
      <c r="G585" s="2">
        <v>15075.815199999999</v>
      </c>
      <c r="H585" s="2">
        <v>15690.734899999999</v>
      </c>
      <c r="I585" s="2">
        <v>3043736.7037999998</v>
      </c>
    </row>
    <row r="586" spans="1:9" x14ac:dyDescent="0.25">
      <c r="A586" t="s">
        <v>4</v>
      </c>
      <c r="B586">
        <v>2011</v>
      </c>
      <c r="C586" s="2">
        <v>629531.02410000004</v>
      </c>
      <c r="D586" s="2">
        <v>2005014.3466</v>
      </c>
      <c r="E586" s="2">
        <v>240373.87479999999</v>
      </c>
      <c r="F586" s="2">
        <v>582645.60889999999</v>
      </c>
      <c r="G586" s="2">
        <v>18649.9414</v>
      </c>
      <c r="H586" s="2">
        <v>38509.244899999998</v>
      </c>
      <c r="I586" s="2">
        <v>3514724.0406999998</v>
      </c>
    </row>
    <row r="587" spans="1:9" x14ac:dyDescent="0.25">
      <c r="A587" t="s">
        <v>4</v>
      </c>
      <c r="B587">
        <v>2012</v>
      </c>
      <c r="C587" s="2">
        <v>577493.17359999998</v>
      </c>
      <c r="D587" s="2">
        <v>1811980.4446</v>
      </c>
      <c r="E587" s="2">
        <v>246491.42619999999</v>
      </c>
      <c r="F587" s="2">
        <v>581252.72660000005</v>
      </c>
      <c r="G587" s="2">
        <v>16732.958299999998</v>
      </c>
      <c r="H587" s="2">
        <v>27867.480299999999</v>
      </c>
      <c r="I587" s="2">
        <v>3261818.2096000002</v>
      </c>
    </row>
    <row r="588" spans="1:9" x14ac:dyDescent="0.25">
      <c r="A588" t="s">
        <v>4</v>
      </c>
      <c r="B588">
        <v>2013</v>
      </c>
      <c r="C588" s="2">
        <v>637241.71809999901</v>
      </c>
      <c r="D588" s="2">
        <v>2401809.1253999998</v>
      </c>
      <c r="E588" s="2">
        <v>260651.0534</v>
      </c>
      <c r="F588" s="2">
        <v>614880.83199999901</v>
      </c>
      <c r="G588" s="2">
        <v>19970.2232</v>
      </c>
      <c r="H588" s="2">
        <v>30686.826099999998</v>
      </c>
      <c r="I588" s="2">
        <v>3965239.7782000001</v>
      </c>
    </row>
    <row r="589" spans="1:9" x14ac:dyDescent="0.25">
      <c r="A589" t="s">
        <v>4</v>
      </c>
      <c r="B589">
        <v>2014</v>
      </c>
      <c r="C589" s="2">
        <v>642577.44609999994</v>
      </c>
      <c r="D589" s="2">
        <v>2274851.5019</v>
      </c>
      <c r="E589" s="2">
        <v>271113.50439999998</v>
      </c>
      <c r="F589" s="2">
        <v>516253.04239999998</v>
      </c>
      <c r="G589" s="2">
        <v>0</v>
      </c>
      <c r="H589" s="2">
        <v>81619.002999999997</v>
      </c>
      <c r="I589" s="2">
        <v>3786414.4978</v>
      </c>
    </row>
    <row r="590" spans="1:9" x14ac:dyDescent="0.25">
      <c r="A590" t="s">
        <v>4</v>
      </c>
      <c r="B590">
        <v>2015</v>
      </c>
      <c r="C590" s="2">
        <v>706457.70049999899</v>
      </c>
      <c r="D590" s="2">
        <v>2347531.2977</v>
      </c>
      <c r="E590" s="2">
        <v>338714.82869999902</v>
      </c>
      <c r="F590" s="2">
        <v>617269.22259999998</v>
      </c>
      <c r="G590" s="2">
        <v>12712.3398</v>
      </c>
      <c r="H590" s="2">
        <v>118148.152</v>
      </c>
      <c r="I590" s="2">
        <v>4140833.5412999899</v>
      </c>
    </row>
    <row r="591" spans="1:9" x14ac:dyDescent="0.25">
      <c r="A591" t="s">
        <v>4</v>
      </c>
      <c r="B591">
        <v>2016</v>
      </c>
      <c r="C591" s="2">
        <v>610668.40549999999</v>
      </c>
      <c r="D591" s="2">
        <v>2141645.9287</v>
      </c>
      <c r="E591" s="2">
        <v>300606.17</v>
      </c>
      <c r="F591" s="2">
        <v>563287.37520000001</v>
      </c>
      <c r="G591" s="2">
        <v>269</v>
      </c>
      <c r="H591" s="2">
        <v>113451.664</v>
      </c>
      <c r="I591" s="2">
        <v>3729928.5433999998</v>
      </c>
    </row>
    <row r="592" spans="1:9" x14ac:dyDescent="0.25">
      <c r="A592" t="s">
        <v>4</v>
      </c>
      <c r="B592">
        <v>2017</v>
      </c>
      <c r="C592" s="2">
        <v>642897.02099999995</v>
      </c>
      <c r="D592" s="2">
        <v>2115049.0172999999</v>
      </c>
      <c r="E592" s="2">
        <v>282463.35759999999</v>
      </c>
      <c r="F592" s="2">
        <v>592437.61919999996</v>
      </c>
      <c r="G592" s="2">
        <v>25048</v>
      </c>
      <c r="H592" s="2">
        <v>227322.34049999999</v>
      </c>
      <c r="I592" s="2">
        <v>3885217.3555999999</v>
      </c>
    </row>
    <row r="593" spans="1:9" x14ac:dyDescent="0.25">
      <c r="A593" t="s">
        <v>4</v>
      </c>
      <c r="B593">
        <v>2018</v>
      </c>
      <c r="C593" s="2">
        <v>640778.66390000004</v>
      </c>
      <c r="D593" s="2">
        <v>2114507.9436999899</v>
      </c>
      <c r="E593" s="2">
        <v>463298.8003</v>
      </c>
      <c r="F593" s="2">
        <v>534656.39409999899</v>
      </c>
      <c r="G593" s="2">
        <v>8520</v>
      </c>
      <c r="H593" s="2">
        <v>252095.9748</v>
      </c>
      <c r="I593" s="2">
        <v>4013857.7768000001</v>
      </c>
    </row>
    <row r="594" spans="1:9" x14ac:dyDescent="0.25">
      <c r="A594" t="s">
        <v>4</v>
      </c>
      <c r="B594">
        <v>2019</v>
      </c>
      <c r="C594" s="2">
        <v>581441.57609999995</v>
      </c>
      <c r="D594" s="2">
        <v>1674210.7841</v>
      </c>
      <c r="E594" s="2">
        <v>515028.98019999999</v>
      </c>
      <c r="F594" s="2">
        <v>547152.44689999998</v>
      </c>
      <c r="G594" s="2">
        <v>1608.4357</v>
      </c>
      <c r="H594" s="2">
        <v>157761.86569999999</v>
      </c>
      <c r="I594" s="2">
        <v>3477204.08869999</v>
      </c>
    </row>
    <row r="595" spans="1:9" x14ac:dyDescent="0.25">
      <c r="A595" t="s">
        <v>4</v>
      </c>
      <c r="B595">
        <v>2020</v>
      </c>
      <c r="C595" s="2">
        <v>499676.965733914</v>
      </c>
      <c r="D595" s="2">
        <v>1605092.3224257899</v>
      </c>
      <c r="E595" s="2">
        <v>498005.82650397602</v>
      </c>
      <c r="F595" s="2">
        <v>476816.63796099997</v>
      </c>
      <c r="G595" s="2">
        <v>606.54552999999999</v>
      </c>
      <c r="H595" s="2">
        <v>421509.48383300001</v>
      </c>
      <c r="I595" s="2">
        <v>3501707.7819876801</v>
      </c>
    </row>
    <row r="596" spans="1:9" x14ac:dyDescent="0.25">
      <c r="A596" t="s">
        <v>4</v>
      </c>
      <c r="B596">
        <v>2021</v>
      </c>
      <c r="C596" s="2">
        <v>673456.14431700704</v>
      </c>
      <c r="D596" s="2">
        <v>2037175.5963820401</v>
      </c>
      <c r="E596" s="2">
        <v>588326.04359025101</v>
      </c>
      <c r="F596" s="2">
        <v>492300.600071427</v>
      </c>
      <c r="G596" s="2">
        <v>2245</v>
      </c>
      <c r="H596" s="2">
        <v>368599.88320549898</v>
      </c>
      <c r="I596" s="2">
        <v>4162103.2675662199</v>
      </c>
    </row>
    <row r="597" spans="1:9" x14ac:dyDescent="0.25">
      <c r="A597" t="s">
        <v>4</v>
      </c>
      <c r="B597">
        <v>2022</v>
      </c>
      <c r="C597" s="2">
        <v>667071.47496743698</v>
      </c>
      <c r="D597" s="2">
        <v>2566503.80537064</v>
      </c>
      <c r="E597" s="2">
        <v>619672.56464893301</v>
      </c>
      <c r="F597" s="2">
        <v>522851.21808527998</v>
      </c>
      <c r="G597" s="2">
        <v>17493.509999999998</v>
      </c>
      <c r="H597" s="2">
        <v>61906.7258</v>
      </c>
      <c r="I597" s="2">
        <v>4455499.2988722902</v>
      </c>
    </row>
    <row r="598" spans="1:9" x14ac:dyDescent="0.25">
      <c r="A598" t="s">
        <v>4</v>
      </c>
      <c r="B598">
        <v>2023</v>
      </c>
      <c r="C598" s="2">
        <v>649546.62306254299</v>
      </c>
      <c r="D598" s="2">
        <v>2394237.2247248399</v>
      </c>
      <c r="E598" s="2">
        <v>663590.89001163398</v>
      </c>
      <c r="F598" s="2">
        <v>574821.86699999997</v>
      </c>
      <c r="G598" s="2">
        <v>24733.68</v>
      </c>
      <c r="H598" s="2">
        <v>49728.313999999998</v>
      </c>
      <c r="I598" s="2">
        <v>4356658.5987990201</v>
      </c>
    </row>
    <row r="599" spans="1:9" x14ac:dyDescent="0.25">
      <c r="C599" s="2"/>
      <c r="D599" s="2"/>
      <c r="E599" s="2"/>
      <c r="F599" s="2"/>
      <c r="G599" s="2"/>
      <c r="H599" s="2"/>
      <c r="I599" s="2"/>
    </row>
    <row r="600" spans="1:9" x14ac:dyDescent="0.25">
      <c r="C600" s="2"/>
      <c r="D600" s="2"/>
      <c r="E600" s="2"/>
      <c r="F600" s="2"/>
      <c r="G600" s="2"/>
      <c r="H600" s="2"/>
      <c r="I600" s="2"/>
    </row>
    <row r="601" spans="1:9" x14ac:dyDescent="0.25">
      <c r="C601" s="2"/>
      <c r="D601" s="2"/>
      <c r="E601" s="2"/>
      <c r="F601" s="2"/>
      <c r="G601" s="2"/>
      <c r="H601" s="2"/>
      <c r="I601" s="2"/>
    </row>
    <row r="602" spans="1:9" x14ac:dyDescent="0.25">
      <c r="C602" s="2"/>
      <c r="D602" s="2"/>
      <c r="E602" s="2"/>
      <c r="F602" s="2"/>
      <c r="G602" s="2"/>
      <c r="H602" s="2"/>
      <c r="I602" s="2"/>
    </row>
    <row r="603" spans="1:9" x14ac:dyDescent="0.25">
      <c r="A603" s="1" t="s">
        <v>44</v>
      </c>
      <c r="C603" s="2"/>
      <c r="D603" s="2"/>
      <c r="E603" s="2"/>
      <c r="F603" s="2"/>
      <c r="G603" s="2"/>
      <c r="H603" s="2"/>
      <c r="I603" s="2"/>
    </row>
    <row r="604" spans="1:9" x14ac:dyDescent="0.25">
      <c r="C604" s="2"/>
      <c r="D604" s="2"/>
      <c r="E604" s="2"/>
      <c r="F604" s="2"/>
      <c r="G604" s="2"/>
      <c r="H604" s="2"/>
      <c r="I604" s="2"/>
    </row>
    <row r="605" spans="1:9" x14ac:dyDescent="0.25">
      <c r="C605" s="2"/>
      <c r="D605" s="2"/>
      <c r="E605" s="2"/>
      <c r="F605" s="2"/>
      <c r="G605" s="2"/>
      <c r="H605" s="2"/>
      <c r="I605" s="2"/>
    </row>
    <row r="606" spans="1:9" x14ac:dyDescent="0.25">
      <c r="A606" t="s">
        <v>1</v>
      </c>
      <c r="B606" t="s">
        <v>2</v>
      </c>
      <c r="C606" s="2" t="s">
        <v>37</v>
      </c>
      <c r="D606" s="2" t="s">
        <v>38</v>
      </c>
      <c r="E606" s="2" t="s">
        <v>39</v>
      </c>
      <c r="F606" s="2" t="s">
        <v>40</v>
      </c>
      <c r="G606" s="2" t="s">
        <v>41</v>
      </c>
      <c r="H606" s="2" t="s">
        <v>42</v>
      </c>
      <c r="I606" s="2"/>
    </row>
    <row r="607" spans="1:9" x14ac:dyDescent="0.25">
      <c r="A607" t="s">
        <v>4</v>
      </c>
      <c r="B607">
        <v>1990</v>
      </c>
      <c r="C607" s="2">
        <v>1.93392884361239</v>
      </c>
      <c r="D607" s="2">
        <v>1.2047274560611501</v>
      </c>
      <c r="E607" s="2">
        <v>1.26628287352413</v>
      </c>
      <c r="F607" s="2">
        <v>0.52853910150865202</v>
      </c>
      <c r="G607" s="2">
        <v>0</v>
      </c>
      <c r="H607" s="2">
        <v>13.2550169758954</v>
      </c>
      <c r="I607" s="2"/>
    </row>
    <row r="608" spans="1:9" x14ac:dyDescent="0.25">
      <c r="A608" t="s">
        <v>4</v>
      </c>
      <c r="B608">
        <v>2000</v>
      </c>
      <c r="C608" s="2">
        <v>5.0404028510222396</v>
      </c>
      <c r="D608" s="2">
        <v>11.447585997975199</v>
      </c>
      <c r="E608" s="2">
        <v>3.25724268382268</v>
      </c>
      <c r="F608" s="2">
        <v>1.3324892921767</v>
      </c>
      <c r="G608" s="2">
        <v>0.65554245304512904</v>
      </c>
      <c r="H608" s="2">
        <v>0</v>
      </c>
      <c r="I608" s="2"/>
    </row>
    <row r="609" spans="1:9" x14ac:dyDescent="0.25">
      <c r="A609" t="s">
        <v>4</v>
      </c>
      <c r="B609">
        <v>2005</v>
      </c>
      <c r="C609" s="2">
        <v>5.5460322753679403</v>
      </c>
      <c r="D609" s="2">
        <v>13.8397453308003</v>
      </c>
      <c r="E609" s="2">
        <v>4.1392318595828801</v>
      </c>
      <c r="F609" s="2">
        <v>1.48612358899212</v>
      </c>
      <c r="G609" s="2">
        <v>7.6661753128793196E-3</v>
      </c>
      <c r="H609" s="2">
        <v>0</v>
      </c>
      <c r="I609" s="2"/>
    </row>
    <row r="610" spans="1:9" x14ac:dyDescent="0.25">
      <c r="A610" t="s">
        <v>4</v>
      </c>
      <c r="B610">
        <v>2006</v>
      </c>
      <c r="C610" s="2">
        <v>5.4470771644458296</v>
      </c>
      <c r="D610" s="2">
        <v>12.697027850639399</v>
      </c>
      <c r="E610" s="2">
        <v>4.2763601218617397</v>
      </c>
      <c r="F610" s="2">
        <v>0.95649558976066096</v>
      </c>
      <c r="G610" s="2">
        <v>2.09903090233573E-4</v>
      </c>
      <c r="H610" s="2">
        <v>0</v>
      </c>
      <c r="I610" s="2"/>
    </row>
    <row r="611" spans="1:9" x14ac:dyDescent="0.25">
      <c r="A611" t="s">
        <v>4</v>
      </c>
      <c r="B611">
        <v>2007</v>
      </c>
      <c r="C611" s="2">
        <v>4.9031214509336696</v>
      </c>
      <c r="D611" s="2">
        <v>12.9420017958104</v>
      </c>
      <c r="E611" s="2">
        <v>2.24783682669048</v>
      </c>
      <c r="F611" s="2">
        <v>1.4651431385257201</v>
      </c>
      <c r="G611" s="2">
        <v>0</v>
      </c>
      <c r="H611" s="2">
        <v>9.7278596898226696E-3</v>
      </c>
      <c r="I611" s="2"/>
    </row>
    <row r="612" spans="1:9" x14ac:dyDescent="0.25">
      <c r="A612" t="s">
        <v>4</v>
      </c>
      <c r="B612">
        <v>2008</v>
      </c>
      <c r="C612" s="2">
        <v>4.7133862415780197</v>
      </c>
      <c r="D612" s="2">
        <v>14.1404636462167</v>
      </c>
      <c r="E612" s="2">
        <v>2.0928498702301801</v>
      </c>
      <c r="F612" s="2">
        <v>2.1761897322680301</v>
      </c>
      <c r="G612" s="2">
        <v>2.0935885797862E-2</v>
      </c>
      <c r="H612" s="2">
        <v>3.6904167042335601E-3</v>
      </c>
      <c r="I612" s="2"/>
    </row>
    <row r="613" spans="1:9" x14ac:dyDescent="0.25">
      <c r="A613" t="s">
        <v>4</v>
      </c>
      <c r="B613">
        <v>2009</v>
      </c>
      <c r="C613" s="2">
        <v>5.03020509825103</v>
      </c>
      <c r="D613" s="2">
        <v>15.338433205187</v>
      </c>
      <c r="E613" s="2">
        <v>1.93414297681646</v>
      </c>
      <c r="F613" s="2">
        <v>2.5133361600886599</v>
      </c>
      <c r="G613" s="2">
        <v>2.2825858373858501E-3</v>
      </c>
      <c r="H613" s="2">
        <v>0.115547529044807</v>
      </c>
      <c r="I613" s="2"/>
    </row>
    <row r="614" spans="1:9" x14ac:dyDescent="0.25">
      <c r="A614" t="s">
        <v>4</v>
      </c>
      <c r="B614">
        <v>2010</v>
      </c>
      <c r="C614" s="2">
        <v>4.8759837440652403</v>
      </c>
      <c r="D614" s="2">
        <v>15.8211803399297</v>
      </c>
      <c r="E614" s="2">
        <v>1.9838884094982101</v>
      </c>
      <c r="F614" s="2">
        <v>2.3355942124780298</v>
      </c>
      <c r="G614" s="2">
        <v>0</v>
      </c>
      <c r="H614" s="2">
        <v>0.16449590244414899</v>
      </c>
      <c r="I614" s="2"/>
    </row>
    <row r="615" spans="1:9" x14ac:dyDescent="0.25">
      <c r="A615" t="s">
        <v>4</v>
      </c>
      <c r="B615">
        <v>2011</v>
      </c>
      <c r="C615" s="2">
        <v>5.0286688484832904</v>
      </c>
      <c r="D615" s="2">
        <v>17.081730313891899</v>
      </c>
      <c r="E615" s="2">
        <v>2.07335324599044</v>
      </c>
      <c r="F615" s="2">
        <v>1.9736631409463401</v>
      </c>
      <c r="G615" s="2">
        <v>0</v>
      </c>
      <c r="H615" s="2">
        <v>0.36323620469962198</v>
      </c>
      <c r="I615" s="2"/>
    </row>
    <row r="616" spans="1:9" x14ac:dyDescent="0.25">
      <c r="A616" t="s">
        <v>4</v>
      </c>
      <c r="B616">
        <v>2012</v>
      </c>
      <c r="C616" s="2">
        <v>5.0305332857655403</v>
      </c>
      <c r="D616" s="2">
        <v>17.0103793469099</v>
      </c>
      <c r="E616" s="2">
        <v>2.2637200598791898</v>
      </c>
      <c r="F616" s="2">
        <v>1.9854285843406001</v>
      </c>
      <c r="G616" s="2">
        <v>0</v>
      </c>
      <c r="H616" s="2">
        <v>0.278085860997766</v>
      </c>
      <c r="I616" s="2"/>
    </row>
    <row r="617" spans="1:9" x14ac:dyDescent="0.25">
      <c r="A617" t="s">
        <v>4</v>
      </c>
      <c r="B617">
        <v>2013</v>
      </c>
      <c r="C617" s="2">
        <v>5.1680533199473198</v>
      </c>
      <c r="D617" s="2">
        <v>17.168476939145901</v>
      </c>
      <c r="E617" s="2">
        <v>2.23721150619081</v>
      </c>
      <c r="F617" s="2">
        <v>2.0510367681459898</v>
      </c>
      <c r="G617" s="2">
        <v>0</v>
      </c>
      <c r="H617" s="2">
        <v>0.27704183354530898</v>
      </c>
      <c r="I617" s="2"/>
    </row>
    <row r="618" spans="1:9" x14ac:dyDescent="0.25">
      <c r="A618" t="s">
        <v>4</v>
      </c>
      <c r="B618">
        <v>2014</v>
      </c>
      <c r="C618" s="2">
        <v>5.3780176240740198</v>
      </c>
      <c r="D618" s="2">
        <v>17.177942915472901</v>
      </c>
      <c r="E618" s="2">
        <v>2.35343215927533</v>
      </c>
      <c r="F618" s="2">
        <v>1.56790704386802</v>
      </c>
      <c r="G618" s="2">
        <v>0</v>
      </c>
      <c r="H618" s="2">
        <v>0.754802504473018</v>
      </c>
      <c r="I618" s="2"/>
    </row>
    <row r="619" spans="1:9" x14ac:dyDescent="0.25">
      <c r="A619" t="s">
        <v>4</v>
      </c>
      <c r="B619">
        <v>2015</v>
      </c>
      <c r="C619" s="2">
        <v>5.5544333535676396</v>
      </c>
      <c r="D619" s="2">
        <v>16.070050334019001</v>
      </c>
      <c r="E619" s="2">
        <v>2.9080629980133401</v>
      </c>
      <c r="F619" s="2">
        <v>1.79021548057153</v>
      </c>
      <c r="G619" s="2">
        <v>0</v>
      </c>
      <c r="H619" s="2">
        <v>1.08209428463351</v>
      </c>
      <c r="I619" s="2"/>
    </row>
    <row r="620" spans="1:9" x14ac:dyDescent="0.25">
      <c r="A620" t="s">
        <v>4</v>
      </c>
      <c r="B620">
        <v>2016</v>
      </c>
      <c r="C620" s="2">
        <v>5.3387473528535798</v>
      </c>
      <c r="D620" s="2">
        <v>16.4004137356124</v>
      </c>
      <c r="E620" s="2">
        <v>2.8603104215807602</v>
      </c>
      <c r="F620" s="2">
        <v>1.3172111095825201</v>
      </c>
      <c r="G620" s="2">
        <v>0</v>
      </c>
      <c r="H620" s="2">
        <v>1.1512020752725201</v>
      </c>
      <c r="I620" s="2"/>
    </row>
    <row r="621" spans="1:9" x14ac:dyDescent="0.25">
      <c r="A621" t="s">
        <v>4</v>
      </c>
      <c r="B621">
        <v>2017</v>
      </c>
      <c r="C621" s="2">
        <v>5.395792247837</v>
      </c>
      <c r="D621" s="2">
        <v>16.027384296512501</v>
      </c>
      <c r="E621" s="2">
        <v>2.6976574923098098</v>
      </c>
      <c r="F621" s="2">
        <v>1.1535277463083</v>
      </c>
      <c r="G621" s="2">
        <v>0</v>
      </c>
      <c r="H621" s="2">
        <v>1.25988995885788</v>
      </c>
      <c r="I621" s="2"/>
    </row>
    <row r="622" spans="1:9" x14ac:dyDescent="0.25">
      <c r="A622" t="s">
        <v>4</v>
      </c>
      <c r="B622">
        <v>2018</v>
      </c>
      <c r="C622" s="2">
        <v>5.1431219458766604</v>
      </c>
      <c r="D622" s="2">
        <v>15.7066360769588</v>
      </c>
      <c r="E622" s="2">
        <v>4.1915605883606597</v>
      </c>
      <c r="F622" s="2">
        <v>0.90649804700587899</v>
      </c>
      <c r="G622" s="2">
        <v>0</v>
      </c>
      <c r="H622" s="2">
        <v>0.89096569060448405</v>
      </c>
      <c r="I622" s="2"/>
    </row>
    <row r="623" spans="1:9" x14ac:dyDescent="0.25">
      <c r="A623" t="s">
        <v>4</v>
      </c>
      <c r="B623">
        <v>2019</v>
      </c>
      <c r="C623" s="2">
        <v>5.08361536713155</v>
      </c>
      <c r="D623" s="2">
        <v>15.8786527935927</v>
      </c>
      <c r="E623" s="2">
        <v>4.9533332832972699</v>
      </c>
      <c r="F623" s="2">
        <v>0.64251800128058201</v>
      </c>
      <c r="G623" s="2">
        <v>0</v>
      </c>
      <c r="H623" s="2">
        <v>0.84629702384832795</v>
      </c>
      <c r="I623" s="2"/>
    </row>
    <row r="624" spans="1:9" x14ac:dyDescent="0.25">
      <c r="A624" t="s">
        <v>4</v>
      </c>
      <c r="B624">
        <v>2020</v>
      </c>
      <c r="C624" s="2">
        <v>4.7069800212905903</v>
      </c>
      <c r="D624" s="2">
        <v>16.273739251124798</v>
      </c>
      <c r="E624" s="2">
        <v>5.28502132078538</v>
      </c>
      <c r="F624" s="2">
        <v>0.15424131998073501</v>
      </c>
      <c r="G624" s="2">
        <v>0</v>
      </c>
      <c r="H624" s="2">
        <v>0.509387465761585</v>
      </c>
      <c r="I624" s="2"/>
    </row>
    <row r="625" spans="1:9" x14ac:dyDescent="0.25">
      <c r="A625" t="s">
        <v>4</v>
      </c>
      <c r="B625">
        <v>2021</v>
      </c>
      <c r="C625" s="2">
        <v>5.0759544197303796</v>
      </c>
      <c r="D625" s="2">
        <v>16.524322719117901</v>
      </c>
      <c r="E625" s="2">
        <v>4.6980148371050197</v>
      </c>
      <c r="F625" s="2">
        <v>2.5552288168851901E-2</v>
      </c>
      <c r="G625" s="2">
        <v>0</v>
      </c>
      <c r="H625" s="2">
        <v>0.45627487313279302</v>
      </c>
      <c r="I625" s="2"/>
    </row>
    <row r="626" spans="1:9" x14ac:dyDescent="0.25">
      <c r="A626" t="s">
        <v>4</v>
      </c>
      <c r="B626">
        <v>2022</v>
      </c>
      <c r="C626" s="2">
        <v>6.0132077510908601</v>
      </c>
      <c r="D626" s="2">
        <v>20.024095395215699</v>
      </c>
      <c r="E626" s="2">
        <v>5.8715171230749501</v>
      </c>
      <c r="F626" s="2">
        <v>0.116344550669343</v>
      </c>
      <c r="G626" s="2">
        <v>0</v>
      </c>
      <c r="H626" s="2">
        <v>0.61019318292519498</v>
      </c>
      <c r="I626" s="2"/>
    </row>
    <row r="627" spans="1:9" x14ac:dyDescent="0.25">
      <c r="A627" t="s">
        <v>4</v>
      </c>
      <c r="B627">
        <v>2023</v>
      </c>
      <c r="C627" s="2">
        <v>6.2896768543427397</v>
      </c>
      <c r="D627" s="2">
        <v>19.420243588290301</v>
      </c>
      <c r="E627" s="2">
        <v>6.5865481704309996</v>
      </c>
      <c r="F627" s="2">
        <v>0.18270333199291799</v>
      </c>
      <c r="G627" s="2">
        <v>0</v>
      </c>
      <c r="H627" s="2">
        <v>0.50678559067036699</v>
      </c>
      <c r="I627" s="2"/>
    </row>
    <row r="630" spans="1:9" x14ac:dyDescent="0.25">
      <c r="A630" s="1" t="s">
        <v>45</v>
      </c>
      <c r="C630" s="2"/>
      <c r="D630" s="2"/>
      <c r="E630" s="2"/>
      <c r="F630" s="2"/>
      <c r="G630" s="2"/>
      <c r="H630" s="2"/>
      <c r="I630" s="2"/>
    </row>
    <row r="631" spans="1:9" x14ac:dyDescent="0.25">
      <c r="C631" s="2"/>
      <c r="D631" s="2"/>
      <c r="E631" s="2"/>
      <c r="F631" s="2"/>
      <c r="G631" s="2"/>
      <c r="H631" s="2"/>
      <c r="I631" s="2"/>
    </row>
    <row r="632" spans="1:9" x14ac:dyDescent="0.25">
      <c r="C632" s="2"/>
      <c r="D632" s="2"/>
      <c r="E632" s="2"/>
      <c r="F632" s="2"/>
      <c r="G632" s="2"/>
      <c r="H632" s="2"/>
      <c r="I632" s="2"/>
    </row>
    <row r="633" spans="1:9" x14ac:dyDescent="0.25">
      <c r="A633" t="s">
        <v>1</v>
      </c>
      <c r="B633" t="s">
        <v>2</v>
      </c>
      <c r="C633" s="2" t="s">
        <v>46</v>
      </c>
      <c r="D633" s="2" t="s">
        <v>47</v>
      </c>
      <c r="E633" s="2" t="s">
        <v>43</v>
      </c>
      <c r="F633" s="2"/>
      <c r="G633" s="2"/>
      <c r="H633" s="2"/>
      <c r="I633" s="2"/>
    </row>
    <row r="634" spans="1:9" x14ac:dyDescent="0.25">
      <c r="A634" t="s">
        <v>4</v>
      </c>
      <c r="B634">
        <v>1990</v>
      </c>
      <c r="C634" s="2">
        <v>0</v>
      </c>
      <c r="D634" s="2">
        <v>0</v>
      </c>
      <c r="E634" s="2">
        <v>0</v>
      </c>
      <c r="F634" s="2"/>
      <c r="G634" s="2"/>
      <c r="H634" s="2"/>
      <c r="I634" s="2"/>
    </row>
    <row r="635" spans="1:9" x14ac:dyDescent="0.25">
      <c r="A635" t="s">
        <v>4</v>
      </c>
      <c r="B635">
        <v>2000</v>
      </c>
      <c r="C635" s="2">
        <v>0</v>
      </c>
      <c r="D635" s="2">
        <v>0</v>
      </c>
      <c r="E635" s="2">
        <v>0</v>
      </c>
      <c r="F635" s="2"/>
      <c r="G635" s="2"/>
      <c r="H635" s="2"/>
      <c r="I635" s="2"/>
    </row>
    <row r="636" spans="1:9" x14ac:dyDescent="0.25">
      <c r="A636" t="s">
        <v>4</v>
      </c>
      <c r="B636">
        <v>2005</v>
      </c>
      <c r="C636" s="2">
        <v>0</v>
      </c>
      <c r="D636" s="2">
        <v>0</v>
      </c>
      <c r="E636" s="2">
        <v>0</v>
      </c>
      <c r="F636" s="2"/>
      <c r="G636" s="2"/>
      <c r="H636" s="2"/>
      <c r="I636" s="2"/>
    </row>
    <row r="637" spans="1:9" x14ac:dyDescent="0.25">
      <c r="A637" t="s">
        <v>4</v>
      </c>
      <c r="B637">
        <v>2006</v>
      </c>
      <c r="C637" s="2">
        <v>0</v>
      </c>
      <c r="D637" s="2">
        <v>0</v>
      </c>
      <c r="E637" s="2">
        <v>0</v>
      </c>
      <c r="F637" s="2"/>
      <c r="G637" s="2"/>
      <c r="H637" s="2"/>
      <c r="I637" s="2"/>
    </row>
    <row r="638" spans="1:9" x14ac:dyDescent="0.25">
      <c r="A638" t="s">
        <v>4</v>
      </c>
      <c r="B638">
        <v>2007</v>
      </c>
      <c r="C638" s="2">
        <v>48230.74</v>
      </c>
      <c r="D638" s="2">
        <v>209993.65109999999</v>
      </c>
      <c r="E638" s="2">
        <v>258224.39109999899</v>
      </c>
      <c r="F638" s="2"/>
      <c r="G638" s="2"/>
      <c r="H638" s="2"/>
      <c r="I638" s="2"/>
    </row>
    <row r="639" spans="1:9" x14ac:dyDescent="0.25">
      <c r="A639" t="s">
        <v>4</v>
      </c>
      <c r="B639">
        <v>2008</v>
      </c>
      <c r="C639" s="2">
        <v>26355.45</v>
      </c>
      <c r="D639" s="2">
        <v>201312.878</v>
      </c>
      <c r="E639" s="2">
        <v>227668.32800000001</v>
      </c>
      <c r="F639" s="2"/>
      <c r="G639" s="2"/>
      <c r="H639" s="2"/>
      <c r="I639" s="2"/>
    </row>
    <row r="640" spans="1:9" x14ac:dyDescent="0.25">
      <c r="A640" t="s">
        <v>4</v>
      </c>
      <c r="B640">
        <v>2009</v>
      </c>
      <c r="C640" s="2">
        <v>3595.22</v>
      </c>
      <c r="D640" s="2">
        <v>165821.21400000001</v>
      </c>
      <c r="E640" s="2">
        <v>169416.43400000001</v>
      </c>
      <c r="F640" s="2"/>
      <c r="G640" s="2"/>
      <c r="H640" s="2"/>
      <c r="I640" s="2"/>
    </row>
    <row r="641" spans="1:9" x14ac:dyDescent="0.25">
      <c r="A641" t="s">
        <v>4</v>
      </c>
      <c r="B641">
        <v>2010</v>
      </c>
      <c r="C641" s="2">
        <v>0</v>
      </c>
      <c r="D641" s="2">
        <v>177125.14899999899</v>
      </c>
      <c r="E641" s="2">
        <v>177125.14899999899</v>
      </c>
      <c r="F641" s="2"/>
      <c r="G641" s="2"/>
      <c r="H641" s="2"/>
      <c r="I641" s="2"/>
    </row>
    <row r="642" spans="1:9" x14ac:dyDescent="0.25">
      <c r="A642" t="s">
        <v>4</v>
      </c>
      <c r="B642">
        <v>2011</v>
      </c>
      <c r="C642" s="2">
        <v>0</v>
      </c>
      <c r="D642" s="2">
        <v>198530.58600000001</v>
      </c>
      <c r="E642" s="2">
        <v>198530.58600000001</v>
      </c>
      <c r="F642" s="2"/>
      <c r="G642" s="2"/>
      <c r="H642" s="2"/>
      <c r="I642" s="2"/>
    </row>
    <row r="643" spans="1:9" x14ac:dyDescent="0.25">
      <c r="A643" t="s">
        <v>4</v>
      </c>
      <c r="B643">
        <v>2012</v>
      </c>
      <c r="C643" s="2">
        <v>0</v>
      </c>
      <c r="D643" s="2">
        <v>0</v>
      </c>
      <c r="E643" s="2">
        <v>0</v>
      </c>
      <c r="F643" s="2"/>
      <c r="G643" s="2"/>
      <c r="H643" s="2"/>
      <c r="I643" s="2"/>
    </row>
    <row r="644" spans="1:9" x14ac:dyDescent="0.25">
      <c r="A644" t="s">
        <v>4</v>
      </c>
      <c r="B644">
        <v>2013</v>
      </c>
      <c r="C644" s="2">
        <v>0</v>
      </c>
      <c r="D644" s="2">
        <v>0</v>
      </c>
      <c r="E644" s="2">
        <v>0</v>
      </c>
      <c r="F644" s="2"/>
      <c r="G644" s="2"/>
      <c r="H644" s="2"/>
      <c r="I644" s="2"/>
    </row>
    <row r="645" spans="1:9" x14ac:dyDescent="0.25">
      <c r="A645" t="s">
        <v>4</v>
      </c>
      <c r="B645">
        <v>2014</v>
      </c>
      <c r="C645" s="2">
        <v>204879</v>
      </c>
      <c r="D645" s="2">
        <v>0</v>
      </c>
      <c r="E645" s="2">
        <v>204879</v>
      </c>
      <c r="F645" s="2"/>
      <c r="G645" s="2"/>
      <c r="H645" s="2"/>
      <c r="I645" s="2"/>
    </row>
    <row r="646" spans="1:9" x14ac:dyDescent="0.25">
      <c r="A646" t="s">
        <v>4</v>
      </c>
      <c r="B646">
        <v>2015</v>
      </c>
      <c r="C646" s="2">
        <v>187758.58</v>
      </c>
      <c r="D646" s="2">
        <v>0</v>
      </c>
      <c r="E646" s="2">
        <v>187758.58</v>
      </c>
      <c r="F646" s="2"/>
      <c r="G646" s="2"/>
      <c r="H646" s="2"/>
      <c r="I646" s="2"/>
    </row>
    <row r="647" spans="1:9" x14ac:dyDescent="0.25">
      <c r="A647" t="s">
        <v>4</v>
      </c>
      <c r="B647">
        <v>2016</v>
      </c>
      <c r="C647" s="2">
        <v>191974.59</v>
      </c>
      <c r="D647" s="2">
        <v>0</v>
      </c>
      <c r="E647" s="2">
        <v>191974.59</v>
      </c>
      <c r="F647" s="2"/>
      <c r="G647" s="2"/>
      <c r="H647" s="2"/>
      <c r="I647" s="2"/>
    </row>
    <row r="648" spans="1:9" x14ac:dyDescent="0.25">
      <c r="A648" t="s">
        <v>4</v>
      </c>
      <c r="B648">
        <v>2017</v>
      </c>
      <c r="C648" s="2">
        <v>207316</v>
      </c>
      <c r="D648" s="2">
        <v>0</v>
      </c>
      <c r="E648" s="2">
        <v>207316</v>
      </c>
      <c r="F648" s="2"/>
      <c r="G648" s="2"/>
      <c r="H648" s="2"/>
      <c r="I648" s="2"/>
    </row>
    <row r="649" spans="1:9" x14ac:dyDescent="0.25">
      <c r="A649" t="s">
        <v>4</v>
      </c>
      <c r="B649">
        <v>2018</v>
      </c>
      <c r="C649" s="2">
        <v>236939</v>
      </c>
      <c r="D649" s="2">
        <v>0</v>
      </c>
      <c r="E649" s="2">
        <v>236939</v>
      </c>
      <c r="F649" s="2"/>
      <c r="G649" s="2"/>
      <c r="H649" s="2"/>
      <c r="I649" s="2"/>
    </row>
    <row r="650" spans="1:9" x14ac:dyDescent="0.25">
      <c r="A650" t="s">
        <v>4</v>
      </c>
      <c r="B650">
        <v>2019</v>
      </c>
      <c r="C650" s="2">
        <v>236702.66</v>
      </c>
      <c r="D650" s="2">
        <v>0</v>
      </c>
      <c r="E650" s="2">
        <v>236702.66</v>
      </c>
      <c r="F650" s="2"/>
      <c r="G650" s="2"/>
      <c r="H650" s="2"/>
      <c r="I650" s="2"/>
    </row>
    <row r="651" spans="1:9" x14ac:dyDescent="0.25">
      <c r="A651" t="s">
        <v>4</v>
      </c>
      <c r="B651">
        <v>2020</v>
      </c>
      <c r="C651" s="2">
        <v>6539.7643399999897</v>
      </c>
      <c r="D651" s="2">
        <v>0</v>
      </c>
      <c r="E651" s="2">
        <v>6539.7643399999897</v>
      </c>
      <c r="F651" s="2"/>
      <c r="G651" s="2"/>
      <c r="H651" s="2"/>
      <c r="I651" s="2"/>
    </row>
    <row r="652" spans="1:9" x14ac:dyDescent="0.25">
      <c r="A652" t="s">
        <v>4</v>
      </c>
      <c r="B652">
        <v>2021</v>
      </c>
      <c r="C652" s="2">
        <v>247382.44</v>
      </c>
      <c r="D652" s="2">
        <v>0</v>
      </c>
      <c r="E652" s="2">
        <v>247382.44</v>
      </c>
      <c r="F652" s="2"/>
      <c r="G652" s="2"/>
      <c r="H652" s="2"/>
      <c r="I652" s="2"/>
    </row>
    <row r="653" spans="1:9" x14ac:dyDescent="0.25">
      <c r="A653" t="s">
        <v>4</v>
      </c>
      <c r="B653">
        <v>2022</v>
      </c>
      <c r="C653" s="2">
        <v>6228.3799999999901</v>
      </c>
      <c r="D653" s="2">
        <v>0</v>
      </c>
      <c r="E653" s="2">
        <v>6228.3799999999901</v>
      </c>
      <c r="F653" s="2"/>
      <c r="G653" s="2"/>
      <c r="H653" s="2"/>
      <c r="I653" s="2"/>
    </row>
    <row r="654" spans="1:9" x14ac:dyDescent="0.25">
      <c r="A654" t="s">
        <v>4</v>
      </c>
      <c r="B654">
        <v>2023</v>
      </c>
      <c r="C654" s="2">
        <v>6624</v>
      </c>
      <c r="D654" s="2">
        <v>0</v>
      </c>
      <c r="E654" s="2">
        <v>6624</v>
      </c>
      <c r="F654" s="2"/>
      <c r="G654" s="2"/>
      <c r="H654" s="2"/>
      <c r="I654" s="2"/>
    </row>
    <row r="660" spans="1:9" x14ac:dyDescent="0.25">
      <c r="A660" s="1" t="s">
        <v>48</v>
      </c>
      <c r="C660" s="2"/>
      <c r="D660" s="2"/>
      <c r="E660" s="2"/>
      <c r="F660" s="2"/>
      <c r="G660" s="2"/>
      <c r="H660" s="2"/>
      <c r="I660" s="2"/>
    </row>
    <row r="661" spans="1:9" x14ac:dyDescent="0.25">
      <c r="A661" s="6"/>
      <c r="C661" s="2"/>
      <c r="D661" s="2"/>
      <c r="E661" s="2"/>
      <c r="F661" s="2"/>
      <c r="G661" s="2"/>
      <c r="H661" s="2"/>
      <c r="I661" s="2"/>
    </row>
    <row r="662" spans="1:9" x14ac:dyDescent="0.25">
      <c r="A662" s="6"/>
      <c r="C662" s="2"/>
      <c r="D662" s="2"/>
      <c r="E662" s="2"/>
      <c r="F662" s="2"/>
      <c r="G662" s="2"/>
      <c r="H662" s="2"/>
      <c r="I662" s="2"/>
    </row>
    <row r="663" spans="1:9" x14ac:dyDescent="0.25">
      <c r="A663" s="5" t="s">
        <v>1</v>
      </c>
      <c r="B663" t="s">
        <v>2</v>
      </c>
      <c r="C663" s="2" t="s">
        <v>46</v>
      </c>
      <c r="D663" s="2" t="s">
        <v>49</v>
      </c>
      <c r="E663" s="2"/>
      <c r="F663" s="2"/>
      <c r="G663" s="2"/>
      <c r="H663" s="2"/>
      <c r="I663" s="2"/>
    </row>
    <row r="664" spans="1:9" x14ac:dyDescent="0.25">
      <c r="A664" s="6" t="s">
        <v>4</v>
      </c>
      <c r="B664">
        <v>1990</v>
      </c>
      <c r="C664" s="2">
        <v>0</v>
      </c>
      <c r="D664" s="2">
        <v>0</v>
      </c>
      <c r="E664" s="2"/>
      <c r="F664" s="2"/>
      <c r="G664" s="2"/>
      <c r="H664" s="2"/>
      <c r="I664" s="2"/>
    </row>
    <row r="665" spans="1:9" x14ac:dyDescent="0.25">
      <c r="A665" s="6" t="s">
        <v>4</v>
      </c>
      <c r="B665">
        <v>2000</v>
      </c>
      <c r="C665" s="2">
        <v>0</v>
      </c>
      <c r="D665" s="2">
        <v>0</v>
      </c>
      <c r="E665" s="2"/>
      <c r="F665" s="2"/>
      <c r="G665" s="2"/>
      <c r="H665" s="2"/>
      <c r="I665" s="2"/>
    </row>
    <row r="666" spans="1:9" x14ac:dyDescent="0.25">
      <c r="A666" s="6" t="s">
        <v>4</v>
      </c>
      <c r="B666">
        <v>2005</v>
      </c>
      <c r="C666" s="2">
        <v>0</v>
      </c>
      <c r="D666" s="2">
        <v>0</v>
      </c>
      <c r="E666" s="2"/>
      <c r="F666" s="2"/>
      <c r="G666" s="2"/>
      <c r="H666" s="2"/>
      <c r="I666" s="2"/>
    </row>
    <row r="667" spans="1:9" x14ac:dyDescent="0.25">
      <c r="A667" s="6" t="s">
        <v>4</v>
      </c>
      <c r="B667">
        <v>2006</v>
      </c>
      <c r="C667" s="2">
        <v>0</v>
      </c>
      <c r="D667" s="2">
        <v>0</v>
      </c>
      <c r="E667" s="2"/>
      <c r="F667" s="2"/>
      <c r="G667" s="2"/>
      <c r="H667" s="2"/>
      <c r="I667" s="2"/>
    </row>
    <row r="668" spans="1:9" x14ac:dyDescent="0.25">
      <c r="A668" s="6" t="s">
        <v>4</v>
      </c>
      <c r="B668">
        <v>2007</v>
      </c>
      <c r="C668" s="2">
        <v>0.45702959759536999</v>
      </c>
      <c r="D668" s="2">
        <v>1.9898785268443999</v>
      </c>
      <c r="E668" s="2"/>
      <c r="F668" s="2"/>
      <c r="G668" s="2"/>
      <c r="H668" s="2"/>
      <c r="I668" s="2"/>
    </row>
    <row r="669" spans="1:9" x14ac:dyDescent="0.25">
      <c r="A669" s="6" t="s">
        <v>4</v>
      </c>
      <c r="B669">
        <v>2008</v>
      </c>
      <c r="C669" s="2">
        <v>0.240677022503029</v>
      </c>
      <c r="D669" s="2">
        <v>1.8383819691394201</v>
      </c>
      <c r="E669" s="2"/>
      <c r="F669" s="2"/>
      <c r="G669" s="2"/>
      <c r="H669" s="2"/>
      <c r="I669" s="2"/>
    </row>
    <row r="670" spans="1:9" x14ac:dyDescent="0.25">
      <c r="A670" s="6" t="s">
        <v>4</v>
      </c>
      <c r="B670">
        <v>2009</v>
      </c>
      <c r="C670" s="2">
        <v>3.4691094674270097E-2</v>
      </c>
      <c r="D670" s="2">
        <v>1.6000465712463801</v>
      </c>
      <c r="E670" s="2"/>
      <c r="F670" s="2"/>
      <c r="G670" s="2"/>
      <c r="H670" s="2"/>
      <c r="I670" s="2"/>
    </row>
    <row r="671" spans="1:9" x14ac:dyDescent="0.25">
      <c r="A671" s="6" t="s">
        <v>4</v>
      </c>
      <c r="B671">
        <v>2010</v>
      </c>
      <c r="C671" s="2">
        <v>0</v>
      </c>
      <c r="D671" s="2">
        <v>1.5391466088006001</v>
      </c>
      <c r="E671" s="2"/>
      <c r="F671" s="2"/>
      <c r="G671" s="2"/>
      <c r="H671" s="2"/>
      <c r="I671" s="2"/>
    </row>
    <row r="672" spans="1:9" x14ac:dyDescent="0.25">
      <c r="A672" s="6" t="s">
        <v>4</v>
      </c>
      <c r="B672">
        <v>2011</v>
      </c>
      <c r="C672" s="2">
        <v>0</v>
      </c>
      <c r="D672" s="2">
        <v>1.55701800904506</v>
      </c>
      <c r="E672" s="2"/>
      <c r="F672" s="2"/>
      <c r="G672" s="2"/>
      <c r="H672" s="2"/>
      <c r="I672" s="2"/>
    </row>
    <row r="673" spans="1:9" x14ac:dyDescent="0.25">
      <c r="A673" s="6" t="s">
        <v>4</v>
      </c>
      <c r="B673">
        <v>2012</v>
      </c>
      <c r="C673" s="2">
        <v>0</v>
      </c>
      <c r="D673" s="2">
        <v>0</v>
      </c>
      <c r="E673" s="2"/>
      <c r="F673" s="2"/>
      <c r="G673" s="2"/>
      <c r="H673" s="2"/>
      <c r="I673" s="2"/>
    </row>
    <row r="674" spans="1:9" x14ac:dyDescent="0.25">
      <c r="A674" s="6" t="s">
        <v>4</v>
      </c>
      <c r="B674">
        <v>2013</v>
      </c>
      <c r="C674" s="2">
        <v>0</v>
      </c>
      <c r="D674" s="2">
        <v>0</v>
      </c>
      <c r="E674" s="2"/>
      <c r="F674" s="2"/>
      <c r="G674" s="2"/>
      <c r="H674" s="2"/>
      <c r="I674" s="2"/>
    </row>
    <row r="675" spans="1:9" x14ac:dyDescent="0.25">
      <c r="A675" s="6" t="s">
        <v>4</v>
      </c>
      <c r="B675">
        <v>2014</v>
      </c>
      <c r="C675" s="2">
        <v>1.4582074668276099</v>
      </c>
      <c r="D675" s="2">
        <v>0</v>
      </c>
      <c r="E675" s="2"/>
      <c r="F675" s="2"/>
      <c r="G675" s="2"/>
      <c r="H675" s="2"/>
      <c r="I675" s="2"/>
    </row>
    <row r="676" spans="1:9" x14ac:dyDescent="0.25">
      <c r="A676" s="6" t="s">
        <v>4</v>
      </c>
      <c r="B676">
        <v>2015</v>
      </c>
      <c r="C676" s="2">
        <v>1.2633500820686301</v>
      </c>
      <c r="D676" s="2">
        <v>0</v>
      </c>
      <c r="E676" s="2"/>
      <c r="F676" s="2"/>
      <c r="G676" s="2"/>
      <c r="H676" s="2"/>
      <c r="I676" s="2"/>
    </row>
    <row r="677" spans="1:9" x14ac:dyDescent="0.25">
      <c r="A677" s="6" t="s">
        <v>4</v>
      </c>
      <c r="B677">
        <v>2016</v>
      </c>
      <c r="C677" s="2">
        <v>1.4021269614877701</v>
      </c>
      <c r="D677" s="2">
        <v>0</v>
      </c>
      <c r="E677" s="2"/>
      <c r="F677" s="2"/>
      <c r="G677" s="2"/>
      <c r="H677" s="2"/>
      <c r="I677" s="2"/>
    </row>
    <row r="678" spans="1:9" x14ac:dyDescent="0.25">
      <c r="A678" s="6" t="s">
        <v>4</v>
      </c>
      <c r="B678">
        <v>2017</v>
      </c>
      <c r="C678" s="2">
        <v>1.4646717687258901</v>
      </c>
      <c r="D678" s="2">
        <v>0</v>
      </c>
      <c r="E678" s="2"/>
      <c r="F678" s="2"/>
      <c r="G678" s="2"/>
      <c r="H678" s="2"/>
      <c r="I678" s="2"/>
    </row>
    <row r="679" spans="1:9" x14ac:dyDescent="0.25">
      <c r="A679" s="6" t="s">
        <v>4</v>
      </c>
      <c r="B679">
        <v>2018</v>
      </c>
      <c r="C679" s="2">
        <v>1.6232395358499101</v>
      </c>
      <c r="D679" s="2">
        <v>0</v>
      </c>
      <c r="E679" s="2"/>
      <c r="F679" s="2"/>
      <c r="G679" s="2"/>
      <c r="H679" s="2"/>
      <c r="I679" s="2"/>
    </row>
    <row r="680" spans="1:9" x14ac:dyDescent="0.25">
      <c r="A680" s="6" t="s">
        <v>4</v>
      </c>
      <c r="B680">
        <v>2019</v>
      </c>
      <c r="C680" s="2">
        <v>1.7573853183365999</v>
      </c>
      <c r="D680" s="2">
        <v>0</v>
      </c>
      <c r="E680" s="2"/>
      <c r="F680" s="2"/>
      <c r="G680" s="2"/>
      <c r="H680" s="2"/>
      <c r="I680" s="2"/>
    </row>
    <row r="681" spans="1:9" x14ac:dyDescent="0.25">
      <c r="A681" s="6" t="s">
        <v>4</v>
      </c>
      <c r="B681">
        <v>2020</v>
      </c>
      <c r="C681" s="2">
        <v>5.6303969494287301E-2</v>
      </c>
      <c r="D681" s="2">
        <v>0</v>
      </c>
      <c r="E681" s="2"/>
      <c r="F681" s="2"/>
      <c r="G681" s="2"/>
      <c r="H681" s="2"/>
      <c r="I681" s="2"/>
    </row>
    <row r="682" spans="1:9" x14ac:dyDescent="0.25">
      <c r="A682" s="6" t="s">
        <v>4</v>
      </c>
      <c r="B682">
        <v>2021</v>
      </c>
      <c r="C682" s="2">
        <v>1.67799296777011</v>
      </c>
      <c r="D682" s="2">
        <v>0</v>
      </c>
      <c r="E682" s="2"/>
      <c r="F682" s="2"/>
      <c r="G682" s="2"/>
      <c r="H682" s="2"/>
      <c r="I682" s="2"/>
    </row>
    <row r="683" spans="1:9" x14ac:dyDescent="0.25">
      <c r="A683" s="6" t="s">
        <v>4</v>
      </c>
      <c r="B683">
        <v>2022</v>
      </c>
      <c r="C683" s="2">
        <v>4.6284435908476099E-2</v>
      </c>
      <c r="D683" s="2">
        <v>0</v>
      </c>
      <c r="E683" s="2"/>
      <c r="F683" s="2"/>
      <c r="G683" s="2"/>
      <c r="H683" s="2"/>
      <c r="I683" s="2"/>
    </row>
    <row r="684" spans="1:9" x14ac:dyDescent="0.25">
      <c r="A684" s="6" t="s">
        <v>4</v>
      </c>
      <c r="B684">
        <v>2023</v>
      </c>
      <c r="C684" s="2">
        <v>4.9356633594701202E-2</v>
      </c>
      <c r="D684" s="2">
        <v>0</v>
      </c>
      <c r="E684" s="2"/>
      <c r="F684" s="2"/>
      <c r="G684" s="2"/>
      <c r="H684" s="2"/>
      <c r="I684" s="2"/>
    </row>
    <row r="690" spans="1:9" x14ac:dyDescent="0.25">
      <c r="A690" s="1" t="s">
        <v>50</v>
      </c>
      <c r="C690" s="2"/>
      <c r="D690" s="2"/>
      <c r="E690" s="2"/>
      <c r="F690" s="2"/>
      <c r="G690" s="2"/>
      <c r="H690" s="2"/>
      <c r="I690" s="2"/>
    </row>
    <row r="691" spans="1:9" x14ac:dyDescent="0.25">
      <c r="C691" s="2"/>
      <c r="D691" s="2"/>
      <c r="E691" s="2"/>
      <c r="F691" s="2"/>
      <c r="G691" s="2"/>
      <c r="H691" s="2"/>
      <c r="I691" s="2"/>
    </row>
    <row r="692" spans="1:9" x14ac:dyDescent="0.25">
      <c r="C692" s="2"/>
      <c r="D692" s="2"/>
      <c r="E692" s="2"/>
      <c r="F692" s="2"/>
      <c r="G692" s="2"/>
      <c r="H692" s="2"/>
      <c r="I692" s="2"/>
    </row>
    <row r="693" spans="1:9" x14ac:dyDescent="0.25">
      <c r="C693" s="2"/>
      <c r="D693" s="2"/>
      <c r="E693" s="2"/>
      <c r="F693" s="2"/>
      <c r="G693" s="2"/>
      <c r="H693" s="2"/>
      <c r="I693" s="2"/>
    </row>
    <row r="694" spans="1:9" x14ac:dyDescent="0.25">
      <c r="A694" t="s">
        <v>1</v>
      </c>
      <c r="B694" t="s">
        <v>2</v>
      </c>
      <c r="C694" s="2" t="s">
        <v>3</v>
      </c>
      <c r="D694" s="2"/>
      <c r="E694" s="2"/>
      <c r="F694" s="2"/>
      <c r="G694" s="2"/>
      <c r="H694" s="2"/>
      <c r="I694" s="2"/>
    </row>
    <row r="695" spans="1:9" x14ac:dyDescent="0.25">
      <c r="A695" t="s">
        <v>4</v>
      </c>
      <c r="B695">
        <v>1990</v>
      </c>
      <c r="C695" s="2">
        <v>0.818098141026392</v>
      </c>
      <c r="D695" s="2"/>
      <c r="E695" s="2"/>
      <c r="F695" s="2"/>
      <c r="G695" s="2"/>
      <c r="H695" s="2"/>
      <c r="I695" s="2"/>
    </row>
    <row r="696" spans="1:9" x14ac:dyDescent="0.25">
      <c r="A696" t="s">
        <v>4</v>
      </c>
      <c r="B696">
        <v>2000</v>
      </c>
      <c r="C696" s="2">
        <v>0.78268815690753302</v>
      </c>
      <c r="D696" s="2"/>
      <c r="E696" s="2"/>
      <c r="F696" s="2"/>
      <c r="G696" s="2"/>
      <c r="H696" s="2"/>
      <c r="I696" s="2"/>
    </row>
    <row r="697" spans="1:9" x14ac:dyDescent="0.25">
      <c r="A697" t="s">
        <v>4</v>
      </c>
      <c r="B697">
        <v>2005</v>
      </c>
      <c r="C697" s="2">
        <v>0.74980832785543605</v>
      </c>
      <c r="D697" s="2"/>
      <c r="E697" s="2"/>
      <c r="F697" s="2"/>
      <c r="G697" s="2"/>
      <c r="H697" s="2"/>
      <c r="I697" s="2"/>
    </row>
    <row r="698" spans="1:9" x14ac:dyDescent="0.25">
      <c r="A698" t="s">
        <v>4</v>
      </c>
      <c r="B698">
        <v>2006</v>
      </c>
      <c r="C698" s="2">
        <v>0.76622015671257304</v>
      </c>
      <c r="D698" s="2"/>
      <c r="E698" s="2"/>
      <c r="F698" s="2"/>
      <c r="G698" s="2"/>
      <c r="H698" s="2"/>
      <c r="I698" s="2"/>
    </row>
    <row r="699" spans="1:9" x14ac:dyDescent="0.25">
      <c r="A699" t="s">
        <v>4</v>
      </c>
      <c r="B699">
        <v>2007</v>
      </c>
      <c r="C699" s="2">
        <v>0.76246893051388198</v>
      </c>
      <c r="D699" s="2"/>
      <c r="E699" s="2"/>
      <c r="F699" s="2"/>
      <c r="G699" s="2"/>
      <c r="H699" s="2"/>
      <c r="I699" s="2"/>
    </row>
    <row r="700" spans="1:9" x14ac:dyDescent="0.25">
      <c r="A700" t="s">
        <v>4</v>
      </c>
      <c r="B700">
        <v>2008</v>
      </c>
      <c r="C700" s="2">
        <v>0.74896649423424599</v>
      </c>
      <c r="D700" s="2"/>
      <c r="E700" s="2"/>
      <c r="F700" s="2"/>
      <c r="G700" s="2"/>
      <c r="H700" s="2"/>
      <c r="I700" s="2"/>
    </row>
    <row r="701" spans="1:9" x14ac:dyDescent="0.25">
      <c r="A701" t="s">
        <v>4</v>
      </c>
      <c r="B701">
        <v>2009</v>
      </c>
      <c r="C701" s="2">
        <v>0.73073480676859104</v>
      </c>
      <c r="D701" s="2"/>
      <c r="E701" s="2"/>
      <c r="F701" s="2"/>
      <c r="G701" s="2"/>
      <c r="H701" s="2"/>
      <c r="I701" s="2"/>
    </row>
    <row r="702" spans="1:9" x14ac:dyDescent="0.25">
      <c r="A702" t="s">
        <v>4</v>
      </c>
      <c r="B702">
        <v>2010</v>
      </c>
      <c r="C702" s="2">
        <v>0.72961689588087197</v>
      </c>
      <c r="D702" s="2"/>
      <c r="E702" s="2"/>
      <c r="F702" s="2"/>
      <c r="G702" s="2"/>
      <c r="H702" s="2"/>
      <c r="I702" s="2"/>
    </row>
    <row r="703" spans="1:9" x14ac:dyDescent="0.25">
      <c r="A703" t="s">
        <v>4</v>
      </c>
      <c r="B703">
        <v>2011</v>
      </c>
      <c r="C703" s="2">
        <v>0.71606460860086196</v>
      </c>
      <c r="D703" s="2"/>
      <c r="E703" s="2"/>
      <c r="F703" s="2"/>
      <c r="G703" s="2"/>
      <c r="H703" s="2"/>
      <c r="I703" s="2"/>
    </row>
    <row r="704" spans="1:9" x14ac:dyDescent="0.25">
      <c r="A704" t="s">
        <v>4</v>
      </c>
      <c r="B704">
        <v>2012</v>
      </c>
      <c r="C704" s="2">
        <v>0.73431204160701202</v>
      </c>
      <c r="D704" s="2"/>
      <c r="E704" s="2"/>
      <c r="F704" s="2"/>
      <c r="G704" s="2"/>
      <c r="H704" s="2"/>
      <c r="I704" s="2"/>
    </row>
    <row r="705" spans="1:9" x14ac:dyDescent="0.25">
      <c r="A705" t="s">
        <v>4</v>
      </c>
      <c r="B705">
        <v>2013</v>
      </c>
      <c r="C705" s="2">
        <v>0.73090711855841395</v>
      </c>
      <c r="D705" s="2"/>
      <c r="E705" s="2"/>
      <c r="F705" s="2"/>
      <c r="G705" s="2"/>
      <c r="H705" s="2"/>
      <c r="I705" s="2"/>
    </row>
    <row r="706" spans="1:9" x14ac:dyDescent="0.25">
      <c r="A706" t="s">
        <v>4</v>
      </c>
      <c r="B706">
        <v>2014</v>
      </c>
      <c r="C706" s="2">
        <v>0.72769912638852496</v>
      </c>
      <c r="D706" s="2"/>
      <c r="E706" s="2"/>
      <c r="F706" s="2"/>
      <c r="G706" s="2"/>
      <c r="H706" s="2"/>
      <c r="I706" s="2"/>
    </row>
    <row r="707" spans="1:9" x14ac:dyDescent="0.25">
      <c r="A707" t="s">
        <v>4</v>
      </c>
      <c r="B707">
        <v>2015</v>
      </c>
      <c r="C707" s="2">
        <v>0.72595196745675905</v>
      </c>
      <c r="D707" s="2"/>
      <c r="E707" s="2"/>
      <c r="F707" s="2"/>
      <c r="G707" s="2"/>
      <c r="H707" s="2"/>
      <c r="I707" s="2"/>
    </row>
    <row r="708" spans="1:9" x14ac:dyDescent="0.25">
      <c r="A708" t="s">
        <v>4</v>
      </c>
      <c r="B708">
        <v>2016</v>
      </c>
      <c r="C708" s="2">
        <v>0.72933411753563504</v>
      </c>
      <c r="D708" s="2"/>
      <c r="E708" s="2"/>
      <c r="F708" s="2"/>
      <c r="G708" s="2"/>
      <c r="H708" s="2"/>
      <c r="I708" s="2"/>
    </row>
    <row r="709" spans="1:9" x14ac:dyDescent="0.25">
      <c r="A709" t="s">
        <v>4</v>
      </c>
      <c r="B709">
        <v>2017</v>
      </c>
      <c r="C709" s="2">
        <v>0.734252374870351</v>
      </c>
      <c r="D709" s="2"/>
      <c r="E709" s="2"/>
      <c r="F709" s="2"/>
      <c r="G709" s="2"/>
      <c r="H709" s="2"/>
      <c r="I709" s="2"/>
    </row>
    <row r="710" spans="1:9" x14ac:dyDescent="0.25">
      <c r="A710" t="s">
        <v>4</v>
      </c>
      <c r="B710">
        <v>2018</v>
      </c>
      <c r="C710" s="2">
        <v>0.73162759264059196</v>
      </c>
      <c r="D710" s="2"/>
      <c r="E710" s="2"/>
      <c r="F710" s="2"/>
      <c r="G710" s="2"/>
      <c r="H710" s="2"/>
      <c r="I710" s="2"/>
    </row>
    <row r="711" spans="1:9" x14ac:dyDescent="0.25">
      <c r="A711" t="s">
        <v>4</v>
      </c>
      <c r="B711">
        <v>2019</v>
      </c>
      <c r="C711" s="2">
        <v>0.72595339598923603</v>
      </c>
      <c r="D711" s="2"/>
      <c r="E711" s="2"/>
      <c r="F711" s="2"/>
      <c r="G711" s="2"/>
      <c r="H711" s="2"/>
      <c r="I711" s="2"/>
    </row>
    <row r="712" spans="1:9" x14ac:dyDescent="0.25">
      <c r="A712" t="s">
        <v>4</v>
      </c>
      <c r="B712">
        <v>2020</v>
      </c>
      <c r="C712" s="2">
        <v>0.72997527682605401</v>
      </c>
      <c r="D712" s="2"/>
      <c r="E712" s="2"/>
      <c r="F712" s="2"/>
      <c r="G712" s="2"/>
      <c r="H712" s="2"/>
      <c r="I712" s="2"/>
    </row>
    <row r="713" spans="1:9" x14ac:dyDescent="0.25">
      <c r="A713" t="s">
        <v>4</v>
      </c>
      <c r="B713">
        <v>2021</v>
      </c>
      <c r="C713" s="2">
        <v>0.73219880862744902</v>
      </c>
      <c r="D713" s="2"/>
      <c r="E713" s="2"/>
      <c r="F713" s="2"/>
      <c r="G713" s="2"/>
      <c r="H713" s="2"/>
      <c r="I713" s="2"/>
    </row>
    <row r="714" spans="1:9" x14ac:dyDescent="0.25">
      <c r="A714" t="s">
        <v>4</v>
      </c>
      <c r="B714">
        <v>2022</v>
      </c>
      <c r="C714" s="2">
        <v>0.70880455092288996</v>
      </c>
      <c r="D714" s="2"/>
      <c r="E714" s="2"/>
      <c r="F714" s="2"/>
      <c r="G714" s="2"/>
      <c r="H714" s="2"/>
      <c r="I714" s="2"/>
    </row>
    <row r="715" spans="1:9" x14ac:dyDescent="0.25">
      <c r="A715" t="s">
        <v>4</v>
      </c>
      <c r="B715">
        <v>2023</v>
      </c>
      <c r="C715" s="2">
        <v>0.70426095872724803</v>
      </c>
      <c r="D715" s="2"/>
      <c r="E715" s="2"/>
      <c r="F715" s="2"/>
      <c r="G715" s="2"/>
      <c r="H715" s="2"/>
      <c r="I715" s="2"/>
    </row>
    <row r="716" spans="1:9" x14ac:dyDescent="0.25">
      <c r="C716" s="2"/>
      <c r="D716" s="2"/>
      <c r="E716" s="2"/>
      <c r="F716" s="2"/>
      <c r="G716" s="2"/>
      <c r="H716" s="2"/>
      <c r="I716" s="2"/>
    </row>
    <row r="717" spans="1:9" x14ac:dyDescent="0.25">
      <c r="C717" s="2"/>
      <c r="D717" s="2"/>
      <c r="E717" s="2"/>
      <c r="F717" s="2"/>
      <c r="G717" s="2"/>
      <c r="H717" s="2"/>
      <c r="I717" s="2"/>
    </row>
    <row r="718" spans="1:9" x14ac:dyDescent="0.25">
      <c r="C718" s="2"/>
      <c r="D718" s="2"/>
      <c r="E718" s="2"/>
      <c r="F718" s="2"/>
      <c r="G718" s="2"/>
      <c r="H718" s="2"/>
      <c r="I718" s="2"/>
    </row>
    <row r="719" spans="1:9" x14ac:dyDescent="0.25">
      <c r="A719" s="1" t="s">
        <v>51</v>
      </c>
      <c r="C719" s="2"/>
      <c r="D719" s="2"/>
      <c r="E719" s="2"/>
      <c r="F719" s="2"/>
      <c r="G719" s="2"/>
      <c r="H719" s="2"/>
      <c r="I719" s="2"/>
    </row>
    <row r="720" spans="1:9" x14ac:dyDescent="0.25">
      <c r="C720" s="2"/>
      <c r="D720" s="2"/>
      <c r="E720" s="2"/>
      <c r="F720" s="2"/>
      <c r="G720" s="2"/>
      <c r="H720" s="2"/>
      <c r="I720" s="2"/>
    </row>
    <row r="721" spans="1:9" x14ac:dyDescent="0.25">
      <c r="C721" s="2"/>
      <c r="D721" s="2"/>
      <c r="E721" s="2"/>
      <c r="F721" s="2"/>
      <c r="G721" s="2"/>
      <c r="H721" s="2"/>
      <c r="I721" s="2"/>
    </row>
    <row r="722" spans="1:9" x14ac:dyDescent="0.25">
      <c r="C722" s="2"/>
      <c r="D722" s="2"/>
      <c r="E722" s="2"/>
      <c r="F722" s="2"/>
      <c r="G722" s="2"/>
      <c r="H722" s="2"/>
      <c r="I722" s="2"/>
    </row>
    <row r="723" spans="1:9" x14ac:dyDescent="0.25">
      <c r="A723" t="s">
        <v>1</v>
      </c>
      <c r="B723" t="s">
        <v>2</v>
      </c>
      <c r="C723" s="2" t="s">
        <v>3</v>
      </c>
      <c r="D723" s="2"/>
      <c r="E723" s="2"/>
      <c r="F723" s="2"/>
      <c r="G723" s="2"/>
      <c r="H723" s="2"/>
      <c r="I723" s="2"/>
    </row>
    <row r="724" spans="1:9" x14ac:dyDescent="0.25">
      <c r="A724" t="s">
        <v>4</v>
      </c>
      <c r="B724">
        <v>2012</v>
      </c>
      <c r="C724" s="2">
        <v>0.73088061117542502</v>
      </c>
      <c r="D724" s="2"/>
      <c r="E724" s="2"/>
      <c r="F724" s="2"/>
      <c r="G724" s="2"/>
      <c r="H724" s="2"/>
      <c r="I724" s="2"/>
    </row>
    <row r="725" spans="1:9" x14ac:dyDescent="0.25">
      <c r="A725" t="s">
        <v>4</v>
      </c>
      <c r="B725">
        <v>2013</v>
      </c>
      <c r="C725" s="2">
        <v>0.72331365931036395</v>
      </c>
      <c r="D725" s="2"/>
      <c r="E725" s="2"/>
      <c r="F725" s="2"/>
      <c r="G725" s="2"/>
      <c r="H725" s="2"/>
      <c r="I725" s="2"/>
    </row>
    <row r="726" spans="1:9" x14ac:dyDescent="0.25">
      <c r="A726" t="s">
        <v>4</v>
      </c>
      <c r="B726">
        <v>2014</v>
      </c>
      <c r="C726" s="2">
        <v>0.72446187512572402</v>
      </c>
      <c r="D726" s="2"/>
      <c r="E726" s="2"/>
      <c r="F726" s="2"/>
      <c r="G726" s="2"/>
      <c r="H726" s="2"/>
      <c r="I726" s="2"/>
    </row>
    <row r="727" spans="1:9" x14ac:dyDescent="0.25">
      <c r="A727" t="s">
        <v>4</v>
      </c>
      <c r="B727">
        <v>2015</v>
      </c>
      <c r="C727" s="2">
        <v>0.71814072862501299</v>
      </c>
      <c r="D727" s="2"/>
      <c r="E727" s="2"/>
      <c r="F727" s="2"/>
      <c r="G727" s="2"/>
      <c r="H727" s="2"/>
      <c r="I727" s="2"/>
    </row>
    <row r="728" spans="1:9" x14ac:dyDescent="0.25">
      <c r="A728" t="s">
        <v>4</v>
      </c>
      <c r="B728">
        <v>2016</v>
      </c>
      <c r="C728" s="2">
        <v>0.73328688464405201</v>
      </c>
      <c r="D728" s="2"/>
      <c r="E728" s="2"/>
      <c r="F728" s="2"/>
      <c r="G728" s="2"/>
      <c r="H728" s="2"/>
      <c r="I728" s="2"/>
    </row>
    <row r="729" spans="1:9" x14ac:dyDescent="0.25">
      <c r="A729" t="s">
        <v>4</v>
      </c>
      <c r="B729">
        <v>2017</v>
      </c>
      <c r="C729" s="2">
        <v>0.73904936993522896</v>
      </c>
      <c r="D729" s="2"/>
      <c r="E729" s="2"/>
      <c r="F729" s="2"/>
      <c r="G729" s="2"/>
      <c r="H729" s="2"/>
      <c r="I729" s="2"/>
    </row>
    <row r="730" spans="1:9" x14ac:dyDescent="0.25">
      <c r="A730" t="s">
        <v>4</v>
      </c>
      <c r="B730">
        <v>2018</v>
      </c>
      <c r="C730" s="2">
        <v>0.73588052221128897</v>
      </c>
      <c r="D730" s="2"/>
      <c r="E730" s="2"/>
      <c r="F730" s="2"/>
      <c r="G730" s="2"/>
      <c r="H730" s="2"/>
      <c r="I730" s="2"/>
    </row>
    <row r="731" spans="1:9" x14ac:dyDescent="0.25">
      <c r="A731" t="s">
        <v>4</v>
      </c>
      <c r="B731">
        <v>2019</v>
      </c>
      <c r="C731" s="2">
        <v>0.72688229731010001</v>
      </c>
      <c r="D731" s="2"/>
      <c r="E731" s="2"/>
      <c r="F731" s="2"/>
      <c r="G731" s="2"/>
      <c r="H731" s="2"/>
      <c r="I731" s="2"/>
    </row>
    <row r="732" spans="1:9" x14ac:dyDescent="0.25">
      <c r="A732" t="s">
        <v>4</v>
      </c>
      <c r="B732">
        <v>2020</v>
      </c>
      <c r="C732" s="2">
        <v>0.73250078705050403</v>
      </c>
      <c r="D732" s="2"/>
      <c r="E732" s="2"/>
      <c r="F732" s="2"/>
      <c r="G732" s="2"/>
      <c r="H732" s="2"/>
      <c r="I732" s="2"/>
    </row>
    <row r="733" spans="1:9" x14ac:dyDescent="0.25">
      <c r="A733" t="s">
        <v>4</v>
      </c>
      <c r="B733">
        <v>2021</v>
      </c>
      <c r="C733" s="2">
        <v>0.74540872456215002</v>
      </c>
      <c r="D733" s="2"/>
      <c r="E733" s="2"/>
      <c r="F733" s="2"/>
      <c r="G733" s="2"/>
      <c r="H733" s="2"/>
      <c r="I733" s="2"/>
    </row>
    <row r="734" spans="1:9" x14ac:dyDescent="0.25">
      <c r="A734" t="s">
        <v>4</v>
      </c>
      <c r="B734">
        <v>2022</v>
      </c>
      <c r="C734" s="2">
        <v>0.70803257141569398</v>
      </c>
      <c r="D734" s="2"/>
      <c r="E734" s="2"/>
      <c r="F734" s="2"/>
      <c r="G734" s="2"/>
      <c r="H734" s="2"/>
      <c r="I734" s="2"/>
    </row>
    <row r="735" spans="1:9" x14ac:dyDescent="0.25">
      <c r="A735" t="s">
        <v>4</v>
      </c>
      <c r="B735">
        <v>2023</v>
      </c>
      <c r="C735" s="2">
        <v>0.704967879753575</v>
      </c>
      <c r="D735" s="2"/>
      <c r="E735" s="2"/>
      <c r="F735" s="2"/>
      <c r="G735" s="2"/>
      <c r="H735" s="2"/>
      <c r="I735" s="2"/>
    </row>
  </sheetData>
  <pageMargins left="0.7" right="0.7" top="0.75" bottom="0.75" header="0.3" footer="0.3"/>
  <drawing r:id="rId1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grossling portales</dc:creator>
  <cp:lastModifiedBy>eduardo grossling portales</cp:lastModifiedBy>
  <dcterms:created xsi:type="dcterms:W3CDTF">2025-12-17T15:14:15Z</dcterms:created>
  <dcterms:modified xsi:type="dcterms:W3CDTF">2025-12-17T15:14:27Z</dcterms:modified>
</cp:coreProperties>
</file>